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9"/>
  <workbookPr codeName="ThisWorkbook" defaultThemeVersion="166925"/>
  <mc:AlternateContent xmlns:mc="http://schemas.openxmlformats.org/markup-compatibility/2006">
    <mc:Choice Requires="x15">
      <x15ac:absPath xmlns:x15ac="http://schemas.microsoft.com/office/spreadsheetml/2010/11/ac" url="/Users/igorpolidva/Downloads/"/>
    </mc:Choice>
  </mc:AlternateContent>
  <xr:revisionPtr revIDLastSave="0" documentId="13_ncr:1_{064A61F7-0930-6C46-A14E-6398ACB71303}" xr6:coauthVersionLast="47" xr6:coauthVersionMax="47" xr10:uidLastSave="{00000000-0000-0000-0000-000000000000}"/>
  <bookViews>
    <workbookView xWindow="0" yWindow="500" windowWidth="28800" windowHeight="15560" activeTab="4" xr2:uid="{00000000-000D-0000-FFFF-FFFF00000000}"/>
  </bookViews>
  <sheets>
    <sheet name="Shipping Data" sheetId="1" r:id="rId1"/>
    <sheet name="Stevie Bacata" sheetId="14" r:id="rId2"/>
    <sheet name="Leighton Forrest" sheetId="13" r:id="rId3"/>
    <sheet name="Mihael Khan" sheetId="12" r:id="rId4"/>
    <sheet name="Main Pivots" sheetId="11" r:id="rId5"/>
  </sheets>
  <definedNames>
    <definedName name="_xlnm._FilterDatabase" localSheetId="0" hidden="1">'Shipping Data'!$A$5:$Y$1044</definedName>
    <definedName name="Account_Manager">'Shipping Data'!$I$6:$I$1044</definedName>
    <definedName name="Address">'Shipping Data'!$E$6:$E$1044</definedName>
    <definedName name="City">'Shipping Data'!$F$6:$F$1044</definedName>
    <definedName name="Cost_Price">'Shipping Data'!$P$6:$P$1044</definedName>
    <definedName name="Customer_Name">'Shipping Data'!$D$6:$D$1044</definedName>
    <definedName name="Customer_Type">'Shipping Data'!$H$6:$H$1044</definedName>
    <definedName name="Discount">'Shipping Data'!$V$6:$V$1044</definedName>
    <definedName name="Order_Date">'Shipping Data'!$B$6:$B$1044</definedName>
    <definedName name="Order_Month">'Shipping Data'!#REF!</definedName>
    <definedName name="Order_No">'Shipping Data'!$A$6:$A$1044</definedName>
    <definedName name="Order_Priority">'Shipping Data'!$J$6:$J$1044</definedName>
    <definedName name="Order_Quantity">'Shipping Data'!$S$6:$S$1044</definedName>
    <definedName name="Order_Total">'Shipping Data'!$W$6:$W$1044</definedName>
    <definedName name="Order_Year">'Shipping Data'!$C$6:$C$1044</definedName>
    <definedName name="Product_Category">'Shipping Data'!$L$6:$L$1044</definedName>
    <definedName name="Product_Container">'Shipping Data'!$M$6:$M$1044</definedName>
    <definedName name="Product_Name">'Shipping Data'!$K$6:$K$1044</definedName>
    <definedName name="Profit_Margin">'Shipping Data'!$R$6:$R$1044</definedName>
    <definedName name="Retail_Price">'Shipping Data'!$Q$6:$Q$1044</definedName>
    <definedName name="Ship_Date">'Shipping Data'!$O$6:$O$1044</definedName>
    <definedName name="Ship_Mode">'Shipping Data'!$N$6:$N$1044</definedName>
    <definedName name="Ship_Time">'Shipping Data'!#REF!</definedName>
    <definedName name="Shipping_Cost">'Shipping Data'!$X$6:$X$1044</definedName>
    <definedName name="Slicer_Account_Manager">#N/A</definedName>
    <definedName name="Slicer_Customer_Type">#N/A</definedName>
    <definedName name="Slicer_State">#N/A</definedName>
    <definedName name="State">'Shipping Data'!$G$6:$G$1044</definedName>
    <definedName name="Sub_Total">'Shipping Data'!$T$6:$T$1044</definedName>
    <definedName name="Total">'Shipping Data'!$Y$6:$Y$1044</definedName>
  </definedNames>
  <calcPr calcId="191029"/>
  <pivotCaches>
    <pivotCache cacheId="5"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44" i="1" l="1"/>
  <c r="C1042" i="1"/>
  <c r="C1041" i="1"/>
  <c r="C1040" i="1"/>
  <c r="C1039" i="1"/>
  <c r="C1038" i="1"/>
  <c r="C1037" i="1"/>
  <c r="C1036" i="1"/>
  <c r="C1035" i="1"/>
  <c r="C1034" i="1"/>
  <c r="C1033" i="1"/>
  <c r="C1032" i="1"/>
  <c r="C1029" i="1"/>
  <c r="C1030" i="1"/>
  <c r="C1031" i="1"/>
  <c r="C1028" i="1"/>
  <c r="C1027" i="1"/>
  <c r="C1026" i="1"/>
  <c r="C1025" i="1"/>
  <c r="C1024" i="1"/>
  <c r="C1023" i="1"/>
  <c r="C1021" i="1"/>
  <c r="C1022" i="1"/>
  <c r="C1020" i="1"/>
  <c r="C1019" i="1"/>
  <c r="C1016" i="1"/>
  <c r="C1017" i="1"/>
  <c r="C1018" i="1"/>
  <c r="C1015" i="1"/>
  <c r="C1014" i="1"/>
  <c r="C1013" i="1"/>
  <c r="C1012" i="1"/>
  <c r="C1011" i="1"/>
  <c r="C1010" i="1"/>
  <c r="C1009" i="1"/>
  <c r="C1008" i="1"/>
  <c r="C1007" i="1"/>
  <c r="C1002" i="1"/>
  <c r="C1003" i="1"/>
  <c r="C1004" i="1"/>
  <c r="C1005" i="1"/>
  <c r="C1001" i="1"/>
  <c r="C998" i="1"/>
  <c r="C999" i="1"/>
  <c r="C1000" i="1"/>
  <c r="C997" i="1"/>
  <c r="C996" i="1"/>
  <c r="C995" i="1"/>
  <c r="C994" i="1"/>
  <c r="C993" i="1"/>
  <c r="C992" i="1"/>
  <c r="C990" i="1"/>
  <c r="C988" i="1"/>
  <c r="C989" i="1"/>
  <c r="C985" i="1"/>
  <c r="C986" i="1"/>
  <c r="C987" i="1"/>
  <c r="C984" i="1"/>
  <c r="C983" i="1"/>
  <c r="C982" i="1"/>
  <c r="C980" i="1"/>
  <c r="C981" i="1"/>
  <c r="C979" i="1"/>
  <c r="C978" i="1"/>
  <c r="C977" i="1"/>
  <c r="C976" i="1"/>
  <c r="C975" i="1"/>
  <c r="C974" i="1"/>
  <c r="C971" i="1"/>
  <c r="C972" i="1"/>
  <c r="C973" i="1"/>
  <c r="C970" i="1"/>
  <c r="C969" i="1"/>
  <c r="C965" i="1"/>
  <c r="C966" i="1"/>
  <c r="C967" i="1"/>
  <c r="C968" i="1"/>
  <c r="C962" i="1"/>
  <c r="C963" i="1"/>
  <c r="C964" i="1"/>
  <c r="C961" i="1"/>
  <c r="C959" i="1"/>
  <c r="C960" i="1"/>
  <c r="C957" i="1"/>
  <c r="C958" i="1"/>
  <c r="C955" i="1"/>
  <c r="C956" i="1"/>
  <c r="C952" i="1"/>
  <c r="C953" i="1"/>
  <c r="C954" i="1"/>
  <c r="C951" i="1"/>
  <c r="C950" i="1"/>
  <c r="C949" i="1"/>
  <c r="C948" i="1"/>
  <c r="C947" i="1"/>
  <c r="C944" i="1"/>
  <c r="C943" i="1"/>
  <c r="C942" i="1"/>
  <c r="C941" i="1"/>
  <c r="C940" i="1"/>
  <c r="C939" i="1"/>
  <c r="C938" i="1"/>
  <c r="C936" i="1"/>
  <c r="C937" i="1"/>
  <c r="C935" i="1"/>
  <c r="C934" i="1"/>
  <c r="C931" i="1"/>
  <c r="C932" i="1"/>
  <c r="C933" i="1"/>
  <c r="C930" i="1"/>
  <c r="C929" i="1"/>
  <c r="C928" i="1"/>
  <c r="C927" i="1"/>
  <c r="C925" i="1"/>
  <c r="C926" i="1"/>
  <c r="C923" i="1"/>
  <c r="C924" i="1"/>
  <c r="C922" i="1"/>
  <c r="C921" i="1"/>
  <c r="C920" i="1"/>
  <c r="C919" i="1"/>
  <c r="C918" i="1"/>
  <c r="C916" i="1"/>
  <c r="C917" i="1"/>
  <c r="C915" i="1"/>
  <c r="C913" i="1"/>
  <c r="C912" i="1"/>
  <c r="C907" i="1"/>
  <c r="C908" i="1"/>
  <c r="C905" i="1"/>
  <c r="C906" i="1"/>
  <c r="C909" i="1"/>
  <c r="C910" i="1"/>
  <c r="C904" i="1"/>
  <c r="C903" i="1"/>
  <c r="C901" i="1"/>
  <c r="C902" i="1"/>
  <c r="C900" i="1"/>
  <c r="C899" i="1"/>
  <c r="C897" i="1"/>
  <c r="C898" i="1"/>
  <c r="C896" i="1"/>
  <c r="C895" i="1"/>
  <c r="C894" i="1"/>
  <c r="C893" i="1"/>
  <c r="C892" i="1"/>
  <c r="C891" i="1"/>
  <c r="C890" i="1"/>
  <c r="C889" i="1"/>
  <c r="C888" i="1"/>
  <c r="C887" i="1"/>
  <c r="C886" i="1"/>
  <c r="C885" i="1"/>
  <c r="C884" i="1"/>
  <c r="C883" i="1"/>
  <c r="C882" i="1"/>
  <c r="C879" i="1"/>
  <c r="C880" i="1"/>
  <c r="C877" i="1"/>
  <c r="C878" i="1"/>
  <c r="C876" i="1"/>
  <c r="C872" i="1"/>
  <c r="C870" i="1"/>
  <c r="C871" i="1"/>
  <c r="C869" i="1"/>
  <c r="C868" i="1"/>
  <c r="C867" i="1"/>
  <c r="C865" i="1"/>
  <c r="C866" i="1"/>
  <c r="C860" i="1"/>
  <c r="C861" i="1"/>
  <c r="C862" i="1"/>
  <c r="C864" i="1"/>
  <c r="C863" i="1"/>
  <c r="C859" i="1"/>
  <c r="C858" i="1"/>
  <c r="C856" i="1"/>
  <c r="C857" i="1"/>
  <c r="C855" i="1"/>
  <c r="C853" i="1"/>
  <c r="C854" i="1"/>
  <c r="C852" i="1"/>
  <c r="C851" i="1"/>
  <c r="C850" i="1"/>
  <c r="C849" i="1"/>
  <c r="C848" i="1"/>
  <c r="C846" i="1"/>
  <c r="C847" i="1"/>
  <c r="C843" i="1"/>
  <c r="C844" i="1"/>
  <c r="C845" i="1"/>
  <c r="C842" i="1"/>
  <c r="C841" i="1"/>
  <c r="C838" i="1"/>
  <c r="C839" i="1"/>
  <c r="C837" i="1"/>
  <c r="C836" i="1"/>
  <c r="C835" i="1"/>
  <c r="C833" i="1"/>
  <c r="C834" i="1"/>
  <c r="C832" i="1"/>
  <c r="C829" i="1"/>
  <c r="C830" i="1"/>
  <c r="C831" i="1"/>
  <c r="C827" i="1"/>
  <c r="C828" i="1"/>
  <c r="C826" i="1"/>
  <c r="C824" i="1"/>
  <c r="C825" i="1"/>
  <c r="C823" i="1"/>
  <c r="C820" i="1"/>
  <c r="C821" i="1"/>
  <c r="C822" i="1"/>
  <c r="C818" i="1"/>
  <c r="C819" i="1"/>
  <c r="C817" i="1"/>
  <c r="C816" i="1"/>
  <c r="C813" i="1"/>
  <c r="C814" i="1"/>
  <c r="C815" i="1"/>
  <c r="C811" i="1"/>
  <c r="C810" i="1"/>
  <c r="C809" i="1"/>
  <c r="C808" i="1"/>
  <c r="C807" i="1"/>
  <c r="C805" i="1"/>
  <c r="C806" i="1"/>
  <c r="C803" i="1"/>
  <c r="C804" i="1"/>
  <c r="C801" i="1"/>
  <c r="C802" i="1"/>
  <c r="C800" i="1"/>
  <c r="C799" i="1"/>
  <c r="C798" i="1"/>
  <c r="C796" i="1"/>
  <c r="C797" i="1"/>
  <c r="C794" i="1"/>
  <c r="C795" i="1"/>
  <c r="C792" i="1"/>
  <c r="C790" i="1"/>
  <c r="C791" i="1"/>
  <c r="C789" i="1"/>
  <c r="C788" i="1"/>
  <c r="C787" i="1"/>
  <c r="C785" i="1"/>
  <c r="C786" i="1"/>
  <c r="C784" i="1"/>
  <c r="C783" i="1"/>
  <c r="C782" i="1"/>
  <c r="C781" i="1"/>
  <c r="C780" i="1"/>
  <c r="C779" i="1"/>
  <c r="C778" i="1"/>
  <c r="C776" i="1"/>
  <c r="C777" i="1"/>
  <c r="C773" i="1"/>
  <c r="C774" i="1"/>
  <c r="C775" i="1"/>
  <c r="C771" i="1"/>
  <c r="C772" i="1"/>
  <c r="C769" i="1"/>
  <c r="C770" i="1"/>
  <c r="C768" i="1"/>
  <c r="C767" i="1"/>
  <c r="C766" i="1"/>
  <c r="C765" i="1"/>
  <c r="C764" i="1"/>
  <c r="C762" i="1"/>
  <c r="C761" i="1"/>
  <c r="C759" i="1"/>
  <c r="C760" i="1"/>
  <c r="C758" i="1"/>
  <c r="C757" i="1"/>
  <c r="C754" i="1"/>
  <c r="C755" i="1"/>
  <c r="C756" i="1"/>
  <c r="C753" i="1"/>
  <c r="C751" i="1"/>
  <c r="C752" i="1"/>
  <c r="C749" i="1"/>
  <c r="C748" i="1"/>
  <c r="C747" i="1"/>
  <c r="C744" i="1"/>
  <c r="C745" i="1"/>
  <c r="C746" i="1"/>
  <c r="C741" i="1"/>
  <c r="C742" i="1"/>
  <c r="C743" i="1"/>
  <c r="C739" i="1"/>
  <c r="C740" i="1"/>
  <c r="C738" i="1"/>
  <c r="C737" i="1"/>
  <c r="C735" i="1"/>
  <c r="C736" i="1"/>
  <c r="C732" i="1"/>
  <c r="C733" i="1"/>
  <c r="C734" i="1"/>
  <c r="C1006" i="1"/>
  <c r="C730" i="1"/>
  <c r="C731" i="1"/>
  <c r="C729" i="1"/>
  <c r="C727" i="1"/>
  <c r="C728" i="1"/>
  <c r="C726" i="1"/>
  <c r="C724" i="1"/>
  <c r="C725" i="1"/>
  <c r="C723" i="1"/>
  <c r="C991" i="1"/>
  <c r="C722" i="1"/>
  <c r="C721" i="1"/>
  <c r="C720" i="1"/>
  <c r="C718" i="1"/>
  <c r="C719" i="1"/>
  <c r="C717" i="1"/>
  <c r="C716" i="1"/>
  <c r="C715" i="1"/>
  <c r="C714" i="1"/>
  <c r="C712" i="1"/>
  <c r="C713" i="1"/>
  <c r="C711" i="1"/>
  <c r="C709" i="1"/>
  <c r="C710" i="1"/>
  <c r="C707" i="1"/>
  <c r="C708" i="1"/>
  <c r="C705" i="1"/>
  <c r="C706" i="1"/>
  <c r="C704" i="1"/>
  <c r="C702" i="1"/>
  <c r="C703" i="1"/>
  <c r="C700" i="1"/>
  <c r="C701" i="1"/>
  <c r="C699" i="1"/>
  <c r="C945" i="1"/>
  <c r="C946" i="1"/>
  <c r="C698" i="1"/>
  <c r="C697" i="1"/>
  <c r="C696" i="1"/>
  <c r="C695" i="1"/>
  <c r="C694" i="1"/>
  <c r="C693" i="1"/>
  <c r="C692" i="1"/>
  <c r="C690" i="1"/>
  <c r="C691" i="1"/>
  <c r="C689" i="1"/>
  <c r="C687" i="1"/>
  <c r="C688" i="1"/>
  <c r="C686" i="1"/>
  <c r="C685" i="1"/>
  <c r="C684" i="1"/>
  <c r="C683" i="1"/>
  <c r="C682" i="1"/>
  <c r="C681" i="1"/>
  <c r="C679" i="1"/>
  <c r="C680" i="1"/>
  <c r="C678" i="1"/>
  <c r="C677" i="1"/>
  <c r="C914" i="1"/>
  <c r="C676" i="1"/>
  <c r="C675" i="1"/>
  <c r="C673" i="1"/>
  <c r="C674" i="1"/>
  <c r="C671" i="1"/>
  <c r="C672" i="1"/>
  <c r="C670" i="1"/>
  <c r="C669" i="1"/>
  <c r="C911" i="1"/>
  <c r="C667" i="1"/>
  <c r="C668" i="1"/>
  <c r="C664" i="1"/>
  <c r="C665" i="1"/>
  <c r="C666" i="1"/>
  <c r="C663" i="1"/>
  <c r="C662" i="1"/>
  <c r="C661" i="1"/>
  <c r="C660" i="1"/>
  <c r="C659" i="1"/>
  <c r="C658" i="1"/>
  <c r="C655" i="1"/>
  <c r="C656" i="1"/>
  <c r="C657" i="1"/>
  <c r="C653" i="1"/>
  <c r="C654" i="1"/>
  <c r="C652" i="1"/>
  <c r="C651" i="1"/>
  <c r="C650" i="1"/>
  <c r="C648" i="1"/>
  <c r="C649" i="1"/>
  <c r="C647" i="1"/>
  <c r="C645" i="1"/>
  <c r="C646" i="1"/>
  <c r="C643" i="1"/>
  <c r="C644" i="1"/>
  <c r="C641" i="1"/>
  <c r="C642" i="1"/>
  <c r="C639" i="1"/>
  <c r="C640" i="1"/>
  <c r="C636" i="1"/>
  <c r="C637" i="1"/>
  <c r="C638" i="1"/>
  <c r="C634" i="1"/>
  <c r="C635" i="1"/>
  <c r="C631" i="1"/>
  <c r="C632" i="1"/>
  <c r="C633" i="1"/>
  <c r="C630" i="1"/>
  <c r="C629" i="1"/>
  <c r="C627" i="1"/>
  <c r="C628" i="1"/>
  <c r="C626" i="1"/>
  <c r="C625" i="1"/>
  <c r="C624" i="1"/>
  <c r="C623" i="1"/>
  <c r="C622" i="1"/>
  <c r="C621" i="1"/>
  <c r="C620" i="1"/>
  <c r="C619" i="1"/>
  <c r="C617" i="1"/>
  <c r="C618" i="1"/>
  <c r="C881" i="1"/>
  <c r="C616" i="1"/>
  <c r="C615" i="1"/>
  <c r="C613" i="1"/>
  <c r="C873" i="1"/>
  <c r="C614" i="1"/>
  <c r="C610" i="1"/>
  <c r="C611" i="1"/>
  <c r="C612" i="1"/>
  <c r="C607" i="1"/>
  <c r="C608" i="1"/>
  <c r="C609" i="1"/>
  <c r="C606" i="1"/>
  <c r="C605" i="1"/>
  <c r="C604" i="1"/>
  <c r="C603" i="1"/>
  <c r="C601" i="1"/>
  <c r="C602" i="1"/>
  <c r="C599" i="1"/>
  <c r="C600" i="1"/>
  <c r="C597" i="1"/>
  <c r="C598" i="1"/>
  <c r="C596" i="1"/>
  <c r="C593" i="1"/>
  <c r="C594" i="1"/>
  <c r="C595" i="1"/>
  <c r="C592" i="1"/>
  <c r="C591" i="1"/>
  <c r="C590" i="1"/>
  <c r="C589" i="1"/>
  <c r="C587" i="1"/>
  <c r="C588" i="1"/>
  <c r="C586" i="1"/>
  <c r="C583" i="1"/>
  <c r="C584" i="1"/>
  <c r="C585" i="1"/>
  <c r="C582" i="1"/>
  <c r="C580" i="1"/>
  <c r="C581" i="1"/>
  <c r="C840" i="1"/>
  <c r="C578" i="1"/>
  <c r="C577" i="1"/>
  <c r="C575" i="1"/>
  <c r="C576" i="1"/>
  <c r="C574" i="1"/>
  <c r="C572" i="1"/>
  <c r="C573" i="1"/>
  <c r="C570" i="1"/>
  <c r="C569" i="1"/>
  <c r="C568" i="1"/>
  <c r="C567" i="1"/>
  <c r="C566" i="1"/>
  <c r="C565" i="1"/>
  <c r="C564" i="1"/>
  <c r="C562" i="1"/>
  <c r="C563" i="1"/>
  <c r="C561" i="1"/>
  <c r="C557" i="1"/>
  <c r="C558" i="1"/>
  <c r="C559" i="1"/>
  <c r="C556" i="1"/>
  <c r="C555" i="1"/>
  <c r="C554" i="1"/>
  <c r="C553" i="1"/>
  <c r="C550" i="1"/>
  <c r="C551" i="1"/>
  <c r="C552" i="1"/>
  <c r="C549" i="1"/>
  <c r="C548" i="1"/>
  <c r="C546" i="1"/>
  <c r="C812" i="1"/>
  <c r="C547" i="1"/>
  <c r="C544" i="1"/>
  <c r="C545" i="1"/>
  <c r="C542" i="1"/>
  <c r="C543" i="1"/>
  <c r="C541" i="1"/>
  <c r="C539" i="1"/>
  <c r="C540" i="1"/>
  <c r="C537" i="1"/>
  <c r="C538" i="1"/>
  <c r="C536" i="1"/>
  <c r="C535" i="1"/>
  <c r="C533" i="1"/>
  <c r="C532" i="1"/>
  <c r="C793" i="1"/>
  <c r="C531" i="1"/>
  <c r="C529" i="1"/>
  <c r="C530" i="1"/>
  <c r="C528" i="1"/>
  <c r="C527" i="1"/>
  <c r="C526" i="1"/>
  <c r="C525" i="1"/>
  <c r="C524" i="1"/>
  <c r="C523" i="1"/>
  <c r="C521" i="1"/>
  <c r="C522" i="1"/>
  <c r="C520" i="1"/>
  <c r="C519" i="1"/>
  <c r="C518" i="1"/>
  <c r="C516" i="1"/>
  <c r="C514" i="1"/>
  <c r="C515" i="1"/>
  <c r="C513" i="1"/>
  <c r="C512" i="1"/>
  <c r="C510" i="1"/>
  <c r="C508" i="1"/>
  <c r="C509" i="1"/>
  <c r="C507" i="1"/>
  <c r="C506" i="1"/>
  <c r="C505" i="1"/>
  <c r="C503" i="1"/>
  <c r="C504" i="1"/>
  <c r="C500" i="1"/>
  <c r="C501" i="1"/>
  <c r="C502" i="1"/>
  <c r="C763" i="1"/>
  <c r="C498" i="1"/>
  <c r="C499" i="1"/>
  <c r="C497" i="1"/>
  <c r="C496" i="1"/>
  <c r="C495" i="1"/>
  <c r="C494" i="1"/>
  <c r="C493" i="1"/>
  <c r="C490" i="1"/>
  <c r="C491" i="1"/>
  <c r="C492" i="1"/>
  <c r="C489" i="1"/>
  <c r="C487" i="1"/>
  <c r="C488" i="1"/>
  <c r="C750" i="1"/>
  <c r="C486" i="1"/>
  <c r="C485" i="1"/>
  <c r="C484" i="1"/>
  <c r="C483" i="1"/>
  <c r="C481" i="1"/>
  <c r="C482" i="1"/>
  <c r="C479" i="1"/>
  <c r="C480" i="1"/>
  <c r="C477" i="1"/>
  <c r="C478" i="1"/>
  <c r="C475" i="1"/>
  <c r="C476" i="1"/>
  <c r="C474" i="1"/>
  <c r="C472" i="1"/>
  <c r="C473" i="1"/>
  <c r="C470" i="1"/>
  <c r="C471" i="1"/>
  <c r="C469" i="1"/>
  <c r="C468" i="1"/>
  <c r="C466" i="1"/>
  <c r="C467" i="1"/>
  <c r="C464" i="1"/>
  <c r="C465" i="1"/>
  <c r="C463" i="1"/>
  <c r="C461" i="1"/>
  <c r="C462" i="1"/>
  <c r="C460" i="1"/>
  <c r="C459" i="1"/>
  <c r="C458" i="1"/>
  <c r="C457" i="1"/>
  <c r="C455" i="1"/>
  <c r="C456" i="1"/>
  <c r="C454" i="1"/>
  <c r="C453" i="1"/>
  <c r="C452" i="1"/>
  <c r="C451" i="1"/>
  <c r="C450" i="1"/>
  <c r="C448" i="1"/>
  <c r="C449" i="1"/>
  <c r="C447" i="1"/>
  <c r="C446" i="1"/>
  <c r="C444" i="1"/>
  <c r="C445" i="1"/>
  <c r="C442" i="1"/>
  <c r="C443" i="1"/>
  <c r="C441" i="1"/>
  <c r="C440" i="1"/>
  <c r="C439" i="1"/>
  <c r="C438" i="1"/>
  <c r="C436" i="1"/>
  <c r="C437" i="1"/>
  <c r="C435" i="1"/>
  <c r="C434" i="1"/>
  <c r="C433" i="1"/>
  <c r="C431" i="1"/>
  <c r="C432" i="1"/>
  <c r="C430" i="1"/>
  <c r="C429" i="1"/>
  <c r="C428" i="1"/>
  <c r="C427" i="1"/>
  <c r="C426" i="1"/>
  <c r="C425" i="1"/>
  <c r="C424" i="1"/>
  <c r="C423" i="1"/>
  <c r="C421" i="1"/>
  <c r="C422" i="1"/>
  <c r="C420" i="1"/>
  <c r="C419" i="1"/>
  <c r="C418" i="1"/>
  <c r="C416" i="1"/>
  <c r="C417" i="1"/>
  <c r="C415" i="1"/>
  <c r="C414" i="1"/>
  <c r="C413" i="1"/>
  <c r="C412" i="1"/>
  <c r="C411" i="1"/>
  <c r="C410" i="1"/>
  <c r="C409" i="1"/>
  <c r="C407" i="1"/>
  <c r="C408" i="1"/>
  <c r="C406" i="1"/>
  <c r="C404" i="1"/>
  <c r="C405" i="1"/>
  <c r="C402" i="1"/>
  <c r="C403" i="1"/>
  <c r="C401" i="1"/>
  <c r="C399" i="1"/>
  <c r="C400" i="1"/>
  <c r="C398" i="1"/>
  <c r="C397" i="1"/>
  <c r="C395" i="1"/>
  <c r="C396" i="1"/>
  <c r="C394" i="1"/>
  <c r="C393" i="1"/>
  <c r="C391" i="1"/>
  <c r="C392" i="1"/>
  <c r="C390" i="1"/>
  <c r="C389" i="1"/>
  <c r="C387" i="1"/>
  <c r="C388" i="1"/>
  <c r="C386" i="1"/>
  <c r="C384" i="1"/>
  <c r="C385" i="1"/>
  <c r="C383" i="1"/>
  <c r="C380" i="1"/>
  <c r="C381" i="1"/>
  <c r="C382" i="1"/>
  <c r="C379" i="1"/>
  <c r="C378" i="1"/>
  <c r="C376" i="1"/>
  <c r="C377" i="1"/>
  <c r="C375" i="1"/>
  <c r="C374" i="1"/>
  <c r="C370" i="1"/>
  <c r="C371" i="1"/>
  <c r="C372" i="1"/>
  <c r="C373" i="1"/>
  <c r="C369" i="1"/>
  <c r="C368" i="1"/>
  <c r="C367" i="1"/>
  <c r="C366" i="1"/>
  <c r="C363" i="1"/>
  <c r="C364" i="1"/>
  <c r="C365" i="1"/>
  <c r="C362" i="1"/>
  <c r="C360" i="1"/>
  <c r="C361" i="1"/>
  <c r="C359" i="1"/>
  <c r="C358" i="1"/>
  <c r="C357" i="1"/>
  <c r="C355" i="1"/>
  <c r="C356" i="1"/>
  <c r="C354" i="1"/>
  <c r="C353" i="1"/>
  <c r="C352" i="1"/>
  <c r="C351" i="1"/>
  <c r="C350" i="1"/>
  <c r="C349" i="1"/>
  <c r="C348" i="1"/>
  <c r="C347" i="1"/>
  <c r="C343" i="1"/>
  <c r="C344" i="1"/>
  <c r="C345" i="1"/>
  <c r="C346" i="1"/>
  <c r="C342" i="1"/>
  <c r="C341" i="1"/>
  <c r="C340" i="1"/>
  <c r="C338" i="1"/>
  <c r="C339" i="1"/>
  <c r="C335" i="1"/>
  <c r="C336" i="1"/>
  <c r="C337" i="1"/>
  <c r="C333" i="1"/>
  <c r="C334" i="1"/>
  <c r="C332" i="1"/>
  <c r="C331" i="1"/>
  <c r="C330" i="1"/>
  <c r="C329" i="1"/>
  <c r="C328" i="1"/>
  <c r="C327" i="1"/>
  <c r="C326" i="1"/>
  <c r="C324" i="1"/>
  <c r="C325" i="1"/>
  <c r="C322" i="1"/>
  <c r="C323" i="1"/>
  <c r="C321" i="1"/>
  <c r="C318" i="1"/>
  <c r="C319" i="1"/>
  <c r="C320" i="1"/>
  <c r="C317" i="1"/>
  <c r="C315" i="1"/>
  <c r="C316" i="1"/>
  <c r="C314" i="1"/>
  <c r="C313" i="1"/>
  <c r="C312" i="1"/>
  <c r="C311" i="1"/>
  <c r="C310" i="1"/>
  <c r="C308" i="1"/>
  <c r="C309" i="1"/>
  <c r="C306" i="1"/>
  <c r="C307" i="1"/>
  <c r="C305" i="1"/>
  <c r="C302" i="1"/>
  <c r="C303" i="1"/>
  <c r="C304" i="1"/>
  <c r="C299" i="1"/>
  <c r="C300" i="1"/>
  <c r="C301" i="1"/>
  <c r="C298" i="1"/>
  <c r="C297" i="1"/>
  <c r="C294" i="1"/>
  <c r="C295" i="1"/>
  <c r="C296" i="1"/>
  <c r="C293" i="1"/>
  <c r="C292" i="1"/>
  <c r="C291" i="1"/>
  <c r="C289" i="1"/>
  <c r="C290" i="1"/>
  <c r="C288" i="1"/>
  <c r="C287" i="1"/>
  <c r="C286" i="1"/>
  <c r="C285" i="1"/>
  <c r="C284" i="1"/>
  <c r="C283" i="1"/>
  <c r="C280" i="1"/>
  <c r="C281" i="1"/>
  <c r="C282" i="1"/>
  <c r="C279" i="1"/>
  <c r="C278" i="1"/>
  <c r="C277" i="1"/>
  <c r="C276" i="1"/>
  <c r="C275" i="1"/>
  <c r="C274" i="1"/>
  <c r="C273" i="1"/>
  <c r="C272" i="1"/>
  <c r="C270" i="1"/>
  <c r="C271" i="1"/>
  <c r="C268" i="1"/>
  <c r="C269" i="1"/>
  <c r="C267" i="1"/>
  <c r="C264" i="1"/>
  <c r="C265" i="1"/>
  <c r="C266" i="1"/>
  <c r="C263" i="1"/>
  <c r="C261" i="1"/>
  <c r="C262" i="1"/>
  <c r="C260" i="1"/>
  <c r="C259" i="1"/>
  <c r="C257" i="1"/>
  <c r="C258" i="1"/>
  <c r="C256" i="1"/>
  <c r="C254" i="1"/>
  <c r="C255" i="1"/>
  <c r="C253" i="1"/>
  <c r="C252" i="1"/>
  <c r="C251" i="1"/>
  <c r="C249" i="1"/>
  <c r="C250" i="1"/>
  <c r="C248" i="1"/>
  <c r="C247" i="1"/>
  <c r="C245" i="1"/>
  <c r="C246" i="1"/>
  <c r="C244" i="1"/>
  <c r="C243" i="1"/>
  <c r="C242" i="1"/>
  <c r="C241" i="1"/>
  <c r="C239" i="1"/>
  <c r="C240" i="1"/>
  <c r="C237" i="1"/>
  <c r="C238" i="1"/>
  <c r="C236" i="1"/>
  <c r="C233" i="1"/>
  <c r="C234" i="1"/>
  <c r="C235" i="1"/>
  <c r="C231" i="1"/>
  <c r="C232" i="1"/>
  <c r="C229" i="1"/>
  <c r="C230" i="1"/>
  <c r="C227" i="1"/>
  <c r="C228" i="1"/>
  <c r="C225" i="1"/>
  <c r="C226" i="1"/>
  <c r="C223" i="1"/>
  <c r="C224" i="1"/>
  <c r="C222" i="1"/>
  <c r="C220" i="1"/>
  <c r="C221" i="1"/>
  <c r="C219" i="1"/>
  <c r="C218" i="1"/>
  <c r="C217" i="1"/>
  <c r="C215" i="1"/>
  <c r="C216" i="1"/>
  <c r="C212" i="1"/>
  <c r="C213" i="1"/>
  <c r="C214" i="1"/>
  <c r="C211" i="1"/>
  <c r="C210" i="1"/>
  <c r="C208" i="1"/>
  <c r="C209" i="1"/>
  <c r="C207" i="1"/>
  <c r="C206" i="1"/>
  <c r="C205" i="1"/>
  <c r="C203" i="1"/>
  <c r="C204" i="1"/>
  <c r="C201" i="1"/>
  <c r="C202" i="1"/>
  <c r="C200" i="1"/>
  <c r="C198" i="1"/>
  <c r="C199" i="1"/>
  <c r="C195" i="1"/>
  <c r="C196" i="1"/>
  <c r="C197" i="1"/>
  <c r="C193" i="1"/>
  <c r="C194" i="1"/>
  <c r="C192" i="1"/>
  <c r="C191" i="1"/>
  <c r="C190" i="1"/>
  <c r="C189" i="1"/>
  <c r="C187" i="1"/>
  <c r="C188" i="1"/>
  <c r="C186" i="1"/>
  <c r="C185" i="1"/>
  <c r="C184" i="1"/>
  <c r="C183" i="1"/>
  <c r="C181" i="1"/>
  <c r="C182" i="1"/>
  <c r="C180" i="1"/>
  <c r="C179" i="1"/>
  <c r="C178" i="1"/>
  <c r="C176" i="1"/>
  <c r="C177" i="1"/>
  <c r="C173" i="1"/>
  <c r="C174" i="1"/>
  <c r="C175" i="1"/>
  <c r="C171" i="1"/>
  <c r="C172" i="1"/>
  <c r="C168" i="1"/>
  <c r="C169" i="1"/>
  <c r="C170" i="1"/>
  <c r="C167" i="1"/>
  <c r="C166" i="1"/>
  <c r="C164" i="1"/>
  <c r="C165" i="1"/>
  <c r="C163" i="1"/>
  <c r="C162" i="1"/>
  <c r="C161" i="1"/>
  <c r="C160" i="1"/>
  <c r="C159" i="1"/>
  <c r="C157" i="1"/>
  <c r="C158" i="1"/>
  <c r="C156" i="1"/>
  <c r="C155" i="1"/>
  <c r="C154" i="1"/>
  <c r="C153" i="1"/>
  <c r="C152" i="1"/>
  <c r="C151" i="1"/>
  <c r="C148" i="1"/>
  <c r="C149" i="1"/>
  <c r="C150" i="1"/>
  <c r="C147" i="1"/>
  <c r="C146" i="1"/>
  <c r="C144" i="1"/>
  <c r="C145" i="1"/>
  <c r="C143" i="1"/>
  <c r="C142" i="1"/>
  <c r="C141" i="1"/>
  <c r="C140" i="1"/>
  <c r="C138" i="1"/>
  <c r="C139" i="1"/>
  <c r="C137" i="1"/>
  <c r="C135" i="1"/>
  <c r="C136" i="1"/>
  <c r="C134" i="1"/>
  <c r="C133" i="1"/>
  <c r="C131" i="1"/>
  <c r="C132" i="1"/>
  <c r="C130" i="1"/>
  <c r="C129" i="1"/>
  <c r="C128" i="1"/>
  <c r="C127" i="1"/>
  <c r="C126" i="1"/>
  <c r="C125" i="1"/>
  <c r="C122" i="1"/>
  <c r="C123" i="1"/>
  <c r="C124" i="1"/>
  <c r="C121" i="1"/>
  <c r="C120" i="1"/>
  <c r="C119" i="1"/>
  <c r="C118" i="1"/>
  <c r="C116" i="1"/>
  <c r="C117" i="1"/>
  <c r="C115" i="1"/>
  <c r="C114" i="1"/>
  <c r="C113" i="1"/>
  <c r="C112" i="1"/>
  <c r="C110" i="1"/>
  <c r="C111" i="1"/>
  <c r="C109" i="1"/>
  <c r="C108" i="1"/>
  <c r="C106" i="1"/>
  <c r="C107" i="1"/>
  <c r="C105" i="1"/>
  <c r="C104" i="1"/>
  <c r="C103" i="1"/>
  <c r="C102" i="1"/>
  <c r="C100" i="1"/>
  <c r="C101" i="1"/>
  <c r="C98" i="1"/>
  <c r="C99" i="1"/>
  <c r="C96" i="1"/>
  <c r="C97" i="1"/>
  <c r="C95" i="1"/>
  <c r="C93" i="1"/>
  <c r="C94" i="1"/>
  <c r="C92" i="1"/>
  <c r="C90" i="1"/>
  <c r="C91" i="1"/>
  <c r="C89" i="1"/>
  <c r="C88" i="1"/>
  <c r="C874" i="1"/>
  <c r="C875" i="1"/>
  <c r="C86" i="1"/>
  <c r="C87" i="1"/>
  <c r="C85" i="1"/>
  <c r="C84" i="1"/>
  <c r="C83" i="1"/>
  <c r="C81" i="1"/>
  <c r="C82" i="1"/>
  <c r="C80" i="1"/>
  <c r="C79" i="1"/>
  <c r="C77" i="1"/>
  <c r="C78" i="1"/>
  <c r="C76" i="1"/>
  <c r="C75" i="1"/>
  <c r="C74" i="1"/>
  <c r="C73" i="1"/>
  <c r="C72" i="1"/>
  <c r="C70" i="1"/>
  <c r="C71" i="1"/>
  <c r="C69" i="1"/>
  <c r="C68" i="1"/>
  <c r="C65" i="1"/>
  <c r="C66" i="1"/>
  <c r="C67" i="1"/>
  <c r="C63" i="1"/>
  <c r="C64" i="1"/>
  <c r="C62" i="1"/>
  <c r="C61" i="1"/>
  <c r="C60" i="1"/>
  <c r="C59" i="1"/>
  <c r="C57" i="1"/>
  <c r="C58" i="1"/>
  <c r="C56" i="1"/>
  <c r="C54" i="1"/>
  <c r="C55" i="1"/>
  <c r="C52" i="1"/>
  <c r="C53" i="1"/>
  <c r="C579" i="1"/>
  <c r="C51" i="1"/>
  <c r="C49" i="1"/>
  <c r="C50" i="1"/>
  <c r="C48" i="1"/>
  <c r="C571" i="1"/>
  <c r="C46" i="1"/>
  <c r="C47" i="1"/>
  <c r="C45" i="1"/>
  <c r="C42" i="1"/>
  <c r="C43" i="1"/>
  <c r="C44" i="1"/>
  <c r="C41" i="1"/>
  <c r="C40" i="1"/>
  <c r="C38" i="1"/>
  <c r="C39" i="1"/>
  <c r="C37" i="1"/>
  <c r="C34" i="1"/>
  <c r="C35" i="1"/>
  <c r="C36" i="1"/>
  <c r="C32" i="1"/>
  <c r="C33" i="1"/>
  <c r="C31" i="1"/>
  <c r="C560" i="1"/>
  <c r="C30" i="1"/>
  <c r="C29" i="1"/>
  <c r="C28" i="1"/>
  <c r="C26" i="1"/>
  <c r="C27" i="1"/>
  <c r="C25" i="1"/>
  <c r="C24" i="1"/>
  <c r="C534" i="1"/>
  <c r="C23" i="1"/>
  <c r="C22" i="1"/>
  <c r="C21" i="1"/>
  <c r="C20" i="1"/>
  <c r="C19" i="1"/>
  <c r="C18" i="1"/>
  <c r="C16" i="1"/>
  <c r="C17" i="1"/>
  <c r="C517" i="1"/>
  <c r="C15" i="1"/>
  <c r="C14" i="1"/>
  <c r="C13" i="1"/>
  <c r="C12" i="1"/>
  <c r="C11" i="1"/>
  <c r="C511" i="1"/>
  <c r="C10" i="1"/>
  <c r="C9" i="1"/>
  <c r="C8" i="1"/>
  <c r="C6" i="1"/>
  <c r="C7" i="1"/>
  <c r="C1043" i="1"/>
  <c r="J3" i="1" l="1"/>
  <c r="B3" i="1"/>
  <c r="O3" i="1"/>
  <c r="T43" i="1" l="1"/>
  <c r="T874" i="1"/>
  <c r="T875" i="1"/>
  <c r="T93" i="1"/>
  <c r="T94" i="1"/>
  <c r="T98" i="1"/>
  <c r="T99" i="1"/>
  <c r="T116" i="1"/>
  <c r="T117" i="1"/>
  <c r="T168" i="1"/>
  <c r="T169" i="1"/>
  <c r="T171" i="1"/>
  <c r="T172" i="1"/>
  <c r="T212" i="1"/>
  <c r="T213" i="1"/>
  <c r="T227" i="1"/>
  <c r="T228" i="1"/>
  <c r="T233" i="1"/>
  <c r="T234" i="1"/>
  <c r="T254" i="1"/>
  <c r="T255" i="1"/>
  <c r="T306" i="1"/>
  <c r="T307" i="1"/>
  <c r="T343" i="1"/>
  <c r="T344" i="1"/>
  <c r="T355" i="1"/>
  <c r="T356" i="1"/>
  <c r="T360" i="1"/>
  <c r="T361" i="1"/>
  <c r="T380" i="1"/>
  <c r="T381" i="1"/>
  <c r="T387" i="1"/>
  <c r="T388" i="1"/>
  <c r="T395" i="1"/>
  <c r="T396" i="1"/>
  <c r="T416" i="1"/>
  <c r="T417" i="1"/>
  <c r="T464" i="1"/>
  <c r="T465" i="1"/>
  <c r="T487" i="1"/>
  <c r="T488" i="1"/>
  <c r="T490" i="1"/>
  <c r="T491" i="1"/>
  <c r="T492" i="1"/>
  <c r="T514" i="1"/>
  <c r="T515" i="1"/>
  <c r="T557" i="1"/>
  <c r="T558" i="1"/>
  <c r="T572" i="1"/>
  <c r="T573" i="1"/>
  <c r="T607" i="1"/>
  <c r="T608" i="1"/>
  <c r="T636" i="1"/>
  <c r="T637" i="1"/>
  <c r="T641" i="1"/>
  <c r="T642" i="1"/>
  <c r="T653" i="1"/>
  <c r="T654" i="1"/>
  <c r="T945" i="1"/>
  <c r="T946" i="1"/>
  <c r="T707" i="1"/>
  <c r="T708" i="1"/>
  <c r="T732" i="1"/>
  <c r="T733" i="1"/>
  <c r="T744" i="1"/>
  <c r="T745" i="1"/>
  <c r="T746" i="1"/>
  <c r="T771" i="1"/>
  <c r="T772" i="1"/>
  <c r="T818" i="1"/>
  <c r="T819" i="1"/>
  <c r="T827" i="1"/>
  <c r="T828" i="1"/>
  <c r="T829" i="1"/>
  <c r="T830" i="1"/>
  <c r="T860" i="1"/>
  <c r="T861" i="1"/>
  <c r="T862" i="1"/>
  <c r="T864" i="1"/>
  <c r="T870" i="1"/>
  <c r="T871" i="1"/>
  <c r="T907" i="1"/>
  <c r="T908" i="1"/>
  <c r="T923" i="1"/>
  <c r="T924" i="1"/>
  <c r="T931" i="1"/>
  <c r="T932" i="1"/>
  <c r="T957" i="1"/>
  <c r="T958" i="1"/>
  <c r="T998" i="1"/>
  <c r="T999" i="1"/>
  <c r="T6" i="1"/>
  <c r="T7" i="1"/>
  <c r="T8" i="1"/>
  <c r="T9" i="1"/>
  <c r="T10" i="1"/>
  <c r="T511" i="1"/>
  <c r="T11" i="1"/>
  <c r="T12" i="1"/>
  <c r="T13" i="1"/>
  <c r="T14" i="1"/>
  <c r="T15" i="1"/>
  <c r="T517" i="1"/>
  <c r="T16" i="1"/>
  <c r="T17" i="1"/>
  <c r="T18" i="1"/>
  <c r="T19" i="1"/>
  <c r="T20" i="1"/>
  <c r="T21" i="1"/>
  <c r="T22" i="1"/>
  <c r="T23" i="1"/>
  <c r="T534" i="1"/>
  <c r="T24" i="1"/>
  <c r="T25" i="1"/>
  <c r="T26" i="1"/>
  <c r="T27" i="1"/>
  <c r="T28" i="1"/>
  <c r="T29" i="1"/>
  <c r="T30" i="1"/>
  <c r="T560" i="1"/>
  <c r="T31" i="1"/>
  <c r="T32" i="1"/>
  <c r="T33" i="1"/>
  <c r="T34" i="1"/>
  <c r="T35" i="1"/>
  <c r="T36" i="1"/>
  <c r="T37" i="1"/>
  <c r="T38" i="1"/>
  <c r="T39" i="1"/>
  <c r="T40" i="1"/>
  <c r="T41" i="1"/>
  <c r="T44" i="1"/>
  <c r="T45" i="1"/>
  <c r="T46" i="1"/>
  <c r="T47" i="1"/>
  <c r="T571" i="1"/>
  <c r="T48" i="1"/>
  <c r="T49" i="1"/>
  <c r="T50" i="1"/>
  <c r="T51" i="1"/>
  <c r="T579"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5" i="1"/>
  <c r="T96" i="1"/>
  <c r="T97" i="1"/>
  <c r="T100" i="1"/>
  <c r="T101" i="1"/>
  <c r="T102" i="1"/>
  <c r="T103" i="1"/>
  <c r="T104" i="1"/>
  <c r="T105" i="1"/>
  <c r="T106" i="1"/>
  <c r="T107" i="1"/>
  <c r="T108" i="1"/>
  <c r="T109" i="1"/>
  <c r="T110" i="1"/>
  <c r="T111" i="1"/>
  <c r="T112" i="1"/>
  <c r="T113" i="1"/>
  <c r="T114" i="1"/>
  <c r="T115"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70"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4" i="1"/>
  <c r="T215" i="1"/>
  <c r="T216" i="1"/>
  <c r="T217" i="1"/>
  <c r="T218" i="1"/>
  <c r="T219" i="1"/>
  <c r="T220" i="1"/>
  <c r="T221" i="1"/>
  <c r="T222" i="1"/>
  <c r="T223" i="1"/>
  <c r="T224" i="1"/>
  <c r="T225" i="1"/>
  <c r="T226" i="1"/>
  <c r="T229" i="1"/>
  <c r="T230" i="1"/>
  <c r="T231" i="1"/>
  <c r="T232" i="1"/>
  <c r="T235" i="1"/>
  <c r="T236" i="1"/>
  <c r="T237" i="1"/>
  <c r="T238" i="1"/>
  <c r="T239" i="1"/>
  <c r="T240" i="1"/>
  <c r="T241" i="1"/>
  <c r="T242" i="1"/>
  <c r="T243" i="1"/>
  <c r="T244" i="1"/>
  <c r="T245" i="1"/>
  <c r="T246" i="1"/>
  <c r="T247" i="1"/>
  <c r="T248" i="1"/>
  <c r="T249" i="1"/>
  <c r="T250" i="1"/>
  <c r="T251" i="1"/>
  <c r="T252" i="1"/>
  <c r="T253"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5" i="1"/>
  <c r="T346" i="1"/>
  <c r="T347" i="1"/>
  <c r="T348" i="1"/>
  <c r="T349" i="1"/>
  <c r="T350" i="1"/>
  <c r="T351" i="1"/>
  <c r="T352" i="1"/>
  <c r="T353" i="1"/>
  <c r="T354" i="1"/>
  <c r="T357" i="1"/>
  <c r="T358" i="1"/>
  <c r="T359" i="1"/>
  <c r="T362" i="1"/>
  <c r="T363" i="1"/>
  <c r="T364" i="1"/>
  <c r="T365" i="1"/>
  <c r="T366" i="1"/>
  <c r="T367" i="1"/>
  <c r="T368" i="1"/>
  <c r="T369" i="1"/>
  <c r="T370" i="1"/>
  <c r="T371" i="1"/>
  <c r="T372" i="1"/>
  <c r="T373" i="1"/>
  <c r="T374" i="1"/>
  <c r="T375" i="1"/>
  <c r="T376" i="1"/>
  <c r="T377" i="1"/>
  <c r="T378" i="1"/>
  <c r="T379" i="1"/>
  <c r="T382" i="1"/>
  <c r="T383" i="1"/>
  <c r="T384" i="1"/>
  <c r="T385" i="1"/>
  <c r="T386" i="1"/>
  <c r="T389" i="1"/>
  <c r="T390" i="1"/>
  <c r="T391" i="1"/>
  <c r="T392" i="1"/>
  <c r="T393" i="1"/>
  <c r="T394" i="1"/>
  <c r="T397" i="1"/>
  <c r="T398" i="1"/>
  <c r="T399" i="1"/>
  <c r="T400" i="1"/>
  <c r="T401" i="1"/>
  <c r="T402" i="1"/>
  <c r="T403" i="1"/>
  <c r="T404" i="1"/>
  <c r="T405" i="1"/>
  <c r="T406" i="1"/>
  <c r="T407" i="1"/>
  <c r="T408" i="1"/>
  <c r="T409" i="1"/>
  <c r="T410" i="1"/>
  <c r="T411" i="1"/>
  <c r="T412" i="1"/>
  <c r="T413" i="1"/>
  <c r="T414" i="1"/>
  <c r="T415"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6" i="1"/>
  <c r="T467" i="1"/>
  <c r="T468" i="1"/>
  <c r="T469" i="1"/>
  <c r="T470" i="1"/>
  <c r="T471" i="1"/>
  <c r="T472" i="1"/>
  <c r="T473" i="1"/>
  <c r="T474" i="1"/>
  <c r="T475" i="1"/>
  <c r="T476" i="1"/>
  <c r="T477" i="1"/>
  <c r="T478" i="1"/>
  <c r="T479" i="1"/>
  <c r="T480" i="1"/>
  <c r="T481" i="1"/>
  <c r="T482" i="1"/>
  <c r="T483" i="1"/>
  <c r="T484" i="1"/>
  <c r="T485" i="1"/>
  <c r="T750" i="1"/>
  <c r="T486" i="1"/>
  <c r="T489" i="1"/>
  <c r="T493" i="1"/>
  <c r="T494" i="1"/>
  <c r="T495" i="1"/>
  <c r="T496" i="1"/>
  <c r="T497" i="1"/>
  <c r="T498" i="1"/>
  <c r="T499" i="1"/>
  <c r="T763" i="1"/>
  <c r="T500" i="1"/>
  <c r="T501" i="1"/>
  <c r="T502" i="1"/>
  <c r="T503" i="1"/>
  <c r="T504" i="1"/>
  <c r="T505" i="1"/>
  <c r="T506" i="1"/>
  <c r="T507" i="1"/>
  <c r="T508" i="1"/>
  <c r="T509" i="1"/>
  <c r="T510" i="1"/>
  <c r="T512" i="1"/>
  <c r="T513" i="1"/>
  <c r="T516" i="1"/>
  <c r="T518" i="1"/>
  <c r="T519" i="1"/>
  <c r="T520" i="1"/>
  <c r="T521" i="1"/>
  <c r="T522" i="1"/>
  <c r="T523" i="1"/>
  <c r="T524" i="1"/>
  <c r="T525" i="1"/>
  <c r="T526" i="1"/>
  <c r="T527" i="1"/>
  <c r="T528" i="1"/>
  <c r="T529" i="1"/>
  <c r="T530" i="1"/>
  <c r="T793" i="1"/>
  <c r="T531" i="1"/>
  <c r="T532" i="1"/>
  <c r="T533" i="1"/>
  <c r="T535" i="1"/>
  <c r="T536" i="1"/>
  <c r="T537" i="1"/>
  <c r="T538" i="1"/>
  <c r="T539" i="1"/>
  <c r="T540" i="1"/>
  <c r="T541" i="1"/>
  <c r="T542" i="1"/>
  <c r="T543" i="1"/>
  <c r="T544" i="1"/>
  <c r="T545" i="1"/>
  <c r="T546" i="1"/>
  <c r="T812" i="1"/>
  <c r="T547" i="1"/>
  <c r="T548" i="1"/>
  <c r="T549" i="1"/>
  <c r="T550" i="1"/>
  <c r="T551" i="1"/>
  <c r="T552" i="1"/>
  <c r="T553" i="1"/>
  <c r="T554" i="1"/>
  <c r="T555" i="1"/>
  <c r="T556" i="1"/>
  <c r="T559" i="1"/>
  <c r="T561" i="1"/>
  <c r="T562" i="1"/>
  <c r="T563" i="1"/>
  <c r="T564" i="1"/>
  <c r="T565" i="1"/>
  <c r="T566" i="1"/>
  <c r="T567" i="1"/>
  <c r="T568" i="1"/>
  <c r="T569" i="1"/>
  <c r="T570" i="1"/>
  <c r="T574" i="1"/>
  <c r="T575" i="1"/>
  <c r="T576" i="1"/>
  <c r="T577" i="1"/>
  <c r="T840" i="1"/>
  <c r="T578"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9" i="1"/>
  <c r="T610" i="1"/>
  <c r="T611" i="1"/>
  <c r="T612" i="1"/>
  <c r="T613" i="1"/>
  <c r="T873" i="1"/>
  <c r="T614" i="1"/>
  <c r="T615" i="1"/>
  <c r="T881" i="1"/>
  <c r="T616" i="1"/>
  <c r="T617" i="1"/>
  <c r="T618" i="1"/>
  <c r="T619" i="1"/>
  <c r="T620" i="1"/>
  <c r="T621" i="1"/>
  <c r="T622" i="1"/>
  <c r="T623" i="1"/>
  <c r="T624" i="1"/>
  <c r="T625" i="1"/>
  <c r="T626" i="1"/>
  <c r="T627" i="1"/>
  <c r="T628" i="1"/>
  <c r="T629" i="1"/>
  <c r="T630" i="1"/>
  <c r="T631" i="1"/>
  <c r="T632" i="1"/>
  <c r="T633" i="1"/>
  <c r="T634" i="1"/>
  <c r="T635" i="1"/>
  <c r="T638" i="1"/>
  <c r="T639" i="1"/>
  <c r="T640" i="1"/>
  <c r="T643" i="1"/>
  <c r="T644" i="1"/>
  <c r="T645" i="1"/>
  <c r="T646" i="1"/>
  <c r="T647" i="1"/>
  <c r="T648" i="1"/>
  <c r="T649" i="1"/>
  <c r="T650" i="1"/>
  <c r="T651" i="1"/>
  <c r="T652" i="1"/>
  <c r="T655" i="1"/>
  <c r="T656" i="1"/>
  <c r="T657" i="1"/>
  <c r="T658" i="1"/>
  <c r="T659" i="1"/>
  <c r="T660" i="1"/>
  <c r="T661" i="1"/>
  <c r="T662" i="1"/>
  <c r="T663" i="1"/>
  <c r="T664" i="1"/>
  <c r="T665" i="1"/>
  <c r="T666" i="1"/>
  <c r="T667" i="1"/>
  <c r="T668" i="1"/>
  <c r="T911" i="1"/>
  <c r="T669" i="1"/>
  <c r="T670" i="1"/>
  <c r="T671" i="1"/>
  <c r="T672" i="1"/>
  <c r="T673" i="1"/>
  <c r="T674" i="1"/>
  <c r="T675" i="1"/>
  <c r="T914"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9" i="1"/>
  <c r="T710" i="1"/>
  <c r="T711" i="1"/>
  <c r="T712" i="1"/>
  <c r="T713" i="1"/>
  <c r="T714" i="1"/>
  <c r="T715" i="1"/>
  <c r="T716" i="1"/>
  <c r="T717" i="1"/>
  <c r="T718" i="1"/>
  <c r="T719" i="1"/>
  <c r="T720" i="1"/>
  <c r="T721" i="1"/>
  <c r="T722" i="1"/>
  <c r="T723" i="1"/>
  <c r="T991" i="1"/>
  <c r="T724" i="1"/>
  <c r="T725" i="1"/>
  <c r="T726" i="1"/>
  <c r="T727" i="1"/>
  <c r="T728" i="1"/>
  <c r="T729" i="1"/>
  <c r="T730" i="1"/>
  <c r="T731" i="1"/>
  <c r="T1006" i="1"/>
  <c r="T734" i="1"/>
  <c r="T735" i="1"/>
  <c r="T736" i="1"/>
  <c r="T737" i="1"/>
  <c r="T738" i="1"/>
  <c r="T739" i="1"/>
  <c r="T740" i="1"/>
  <c r="T741" i="1"/>
  <c r="T742" i="1"/>
  <c r="T743" i="1"/>
  <c r="T747" i="1"/>
  <c r="T748" i="1"/>
  <c r="T749" i="1"/>
  <c r="T751" i="1"/>
  <c r="T752" i="1"/>
  <c r="T753" i="1"/>
  <c r="T754" i="1"/>
  <c r="T755" i="1"/>
  <c r="T756" i="1"/>
  <c r="T757" i="1"/>
  <c r="T758" i="1"/>
  <c r="T759" i="1"/>
  <c r="T760" i="1"/>
  <c r="T761" i="1"/>
  <c r="T762" i="1"/>
  <c r="T764" i="1"/>
  <c r="T765" i="1"/>
  <c r="T766" i="1"/>
  <c r="T767" i="1"/>
  <c r="T768" i="1"/>
  <c r="T769" i="1"/>
  <c r="T770" i="1"/>
  <c r="T773" i="1"/>
  <c r="T774" i="1"/>
  <c r="T775" i="1"/>
  <c r="T776" i="1"/>
  <c r="T777" i="1"/>
  <c r="T778" i="1"/>
  <c r="T779" i="1"/>
  <c r="T780" i="1"/>
  <c r="T781" i="1"/>
  <c r="T782" i="1"/>
  <c r="T783" i="1"/>
  <c r="T784" i="1"/>
  <c r="T785" i="1"/>
  <c r="T786" i="1"/>
  <c r="T787" i="1"/>
  <c r="T788" i="1"/>
  <c r="T789" i="1"/>
  <c r="T790" i="1"/>
  <c r="T791" i="1"/>
  <c r="T792" i="1"/>
  <c r="T794" i="1"/>
  <c r="T795" i="1"/>
  <c r="T796" i="1"/>
  <c r="T797" i="1"/>
  <c r="T798" i="1"/>
  <c r="T799" i="1"/>
  <c r="T800" i="1"/>
  <c r="T801" i="1"/>
  <c r="T802" i="1"/>
  <c r="T803" i="1"/>
  <c r="T804" i="1"/>
  <c r="T805" i="1"/>
  <c r="T806" i="1"/>
  <c r="T807" i="1"/>
  <c r="T808" i="1"/>
  <c r="T809" i="1"/>
  <c r="T810" i="1"/>
  <c r="T811" i="1"/>
  <c r="T813" i="1"/>
  <c r="T814" i="1"/>
  <c r="T815" i="1"/>
  <c r="T816" i="1"/>
  <c r="T817" i="1"/>
  <c r="T820" i="1"/>
  <c r="T821" i="1"/>
  <c r="T822" i="1"/>
  <c r="T823" i="1"/>
  <c r="T824" i="1"/>
  <c r="T825" i="1"/>
  <c r="T826" i="1"/>
  <c r="T831" i="1"/>
  <c r="T832" i="1"/>
  <c r="T833" i="1"/>
  <c r="T834" i="1"/>
  <c r="T835" i="1"/>
  <c r="T836" i="1"/>
  <c r="T837" i="1"/>
  <c r="T838" i="1"/>
  <c r="T839" i="1"/>
  <c r="T841" i="1"/>
  <c r="T842" i="1"/>
  <c r="T843" i="1"/>
  <c r="T844" i="1"/>
  <c r="T845" i="1"/>
  <c r="T846" i="1"/>
  <c r="T847" i="1"/>
  <c r="T848" i="1"/>
  <c r="T849" i="1"/>
  <c r="T850" i="1"/>
  <c r="T851" i="1"/>
  <c r="T852" i="1"/>
  <c r="T853" i="1"/>
  <c r="T854" i="1"/>
  <c r="T855" i="1"/>
  <c r="T856" i="1"/>
  <c r="T857" i="1"/>
  <c r="T858" i="1"/>
  <c r="T859" i="1"/>
  <c r="T863" i="1"/>
  <c r="T865" i="1"/>
  <c r="T866" i="1"/>
  <c r="T867" i="1"/>
  <c r="T868" i="1"/>
  <c r="T869" i="1"/>
  <c r="T872" i="1"/>
  <c r="T876" i="1"/>
  <c r="T877" i="1"/>
  <c r="T878" i="1"/>
  <c r="T879" i="1"/>
  <c r="T880" i="1"/>
  <c r="T882" i="1"/>
  <c r="T883" i="1"/>
  <c r="T884" i="1"/>
  <c r="T885" i="1"/>
  <c r="V885" i="1" s="1"/>
  <c r="T886" i="1"/>
  <c r="V886" i="1" s="1"/>
  <c r="T887" i="1"/>
  <c r="V887" i="1" s="1"/>
  <c r="T888" i="1"/>
  <c r="V888" i="1" s="1"/>
  <c r="T889" i="1"/>
  <c r="V889" i="1" s="1"/>
  <c r="T890" i="1"/>
  <c r="V890" i="1" s="1"/>
  <c r="T891" i="1"/>
  <c r="V891" i="1" s="1"/>
  <c r="T892" i="1"/>
  <c r="V892" i="1" s="1"/>
  <c r="T893" i="1"/>
  <c r="V893" i="1" s="1"/>
  <c r="T894" i="1"/>
  <c r="V894" i="1" s="1"/>
  <c r="T895" i="1"/>
  <c r="V895" i="1" s="1"/>
  <c r="T896" i="1"/>
  <c r="V896" i="1" s="1"/>
  <c r="T897" i="1"/>
  <c r="V897" i="1" s="1"/>
  <c r="T898" i="1"/>
  <c r="V898" i="1" s="1"/>
  <c r="T899" i="1"/>
  <c r="V899" i="1" s="1"/>
  <c r="T900" i="1"/>
  <c r="V900" i="1" s="1"/>
  <c r="T901" i="1"/>
  <c r="V901" i="1" s="1"/>
  <c r="T902" i="1"/>
  <c r="V902" i="1" s="1"/>
  <c r="T903" i="1"/>
  <c r="V903" i="1" s="1"/>
  <c r="T904" i="1"/>
  <c r="V904" i="1" s="1"/>
  <c r="T905" i="1"/>
  <c r="V905" i="1" s="1"/>
  <c r="T906" i="1"/>
  <c r="V906" i="1" s="1"/>
  <c r="T909" i="1"/>
  <c r="V909" i="1" s="1"/>
  <c r="T910" i="1"/>
  <c r="V910" i="1" s="1"/>
  <c r="T912" i="1"/>
  <c r="V912" i="1" s="1"/>
  <c r="T913" i="1"/>
  <c r="V913" i="1" s="1"/>
  <c r="T915" i="1"/>
  <c r="V915" i="1" s="1"/>
  <c r="T916" i="1"/>
  <c r="V916" i="1" s="1"/>
  <c r="T917" i="1"/>
  <c r="V917" i="1" s="1"/>
  <c r="T918" i="1"/>
  <c r="V918" i="1" s="1"/>
  <c r="T919" i="1"/>
  <c r="V919" i="1" s="1"/>
  <c r="T920" i="1"/>
  <c r="V920" i="1" s="1"/>
  <c r="T921" i="1"/>
  <c r="V921" i="1" s="1"/>
  <c r="T922" i="1"/>
  <c r="V922" i="1" s="1"/>
  <c r="T925" i="1"/>
  <c r="V925" i="1" s="1"/>
  <c r="T926" i="1"/>
  <c r="V926" i="1" s="1"/>
  <c r="T927" i="1"/>
  <c r="V927" i="1" s="1"/>
  <c r="T928" i="1"/>
  <c r="V928" i="1" s="1"/>
  <c r="T929" i="1"/>
  <c r="V929" i="1" s="1"/>
  <c r="T930" i="1"/>
  <c r="V930" i="1" s="1"/>
  <c r="T933" i="1"/>
  <c r="V933" i="1" s="1"/>
  <c r="T934" i="1"/>
  <c r="V934" i="1" s="1"/>
  <c r="T935" i="1"/>
  <c r="V935" i="1" s="1"/>
  <c r="T936" i="1"/>
  <c r="V936" i="1" s="1"/>
  <c r="T937" i="1"/>
  <c r="V937" i="1" s="1"/>
  <c r="T938" i="1"/>
  <c r="V938" i="1" s="1"/>
  <c r="T939" i="1"/>
  <c r="V939" i="1" s="1"/>
  <c r="T940" i="1"/>
  <c r="V940" i="1" s="1"/>
  <c r="T941" i="1"/>
  <c r="V941" i="1" s="1"/>
  <c r="T942" i="1"/>
  <c r="V942" i="1" s="1"/>
  <c r="T943" i="1"/>
  <c r="V943" i="1" s="1"/>
  <c r="T944" i="1"/>
  <c r="V944" i="1" s="1"/>
  <c r="T947" i="1"/>
  <c r="V947" i="1" s="1"/>
  <c r="T948" i="1"/>
  <c r="V948" i="1" s="1"/>
  <c r="T949" i="1"/>
  <c r="V949" i="1" s="1"/>
  <c r="T950" i="1"/>
  <c r="V950" i="1" s="1"/>
  <c r="T951" i="1"/>
  <c r="V951" i="1" s="1"/>
  <c r="T952" i="1"/>
  <c r="V952" i="1" s="1"/>
  <c r="T953" i="1"/>
  <c r="V953" i="1" s="1"/>
  <c r="T954" i="1"/>
  <c r="V954" i="1" s="1"/>
  <c r="T955" i="1"/>
  <c r="V955" i="1" s="1"/>
  <c r="T956" i="1"/>
  <c r="V956" i="1" s="1"/>
  <c r="T959" i="1"/>
  <c r="V959" i="1" s="1"/>
  <c r="T960" i="1"/>
  <c r="V960" i="1" s="1"/>
  <c r="T961" i="1"/>
  <c r="V961" i="1" s="1"/>
  <c r="T962" i="1"/>
  <c r="V962" i="1" s="1"/>
  <c r="T963" i="1"/>
  <c r="V963" i="1" s="1"/>
  <c r="T964" i="1"/>
  <c r="V964" i="1" s="1"/>
  <c r="T965" i="1"/>
  <c r="V965" i="1" s="1"/>
  <c r="T966" i="1"/>
  <c r="V966" i="1" s="1"/>
  <c r="T967" i="1"/>
  <c r="V967" i="1" s="1"/>
  <c r="T968" i="1"/>
  <c r="V968" i="1" s="1"/>
  <c r="T969" i="1"/>
  <c r="V969" i="1" s="1"/>
  <c r="T970" i="1"/>
  <c r="V970" i="1" s="1"/>
  <c r="T971" i="1"/>
  <c r="V971" i="1" s="1"/>
  <c r="T972" i="1"/>
  <c r="V972" i="1" s="1"/>
  <c r="T973" i="1"/>
  <c r="V973" i="1" s="1"/>
  <c r="T974" i="1"/>
  <c r="V974" i="1" s="1"/>
  <c r="T975" i="1"/>
  <c r="V975" i="1" s="1"/>
  <c r="T976" i="1"/>
  <c r="V976" i="1" s="1"/>
  <c r="T977" i="1"/>
  <c r="V977" i="1" s="1"/>
  <c r="T978" i="1"/>
  <c r="V978" i="1" s="1"/>
  <c r="T979" i="1"/>
  <c r="V979" i="1" s="1"/>
  <c r="T980" i="1"/>
  <c r="V980" i="1" s="1"/>
  <c r="T981" i="1"/>
  <c r="V981" i="1" s="1"/>
  <c r="T982" i="1"/>
  <c r="V982" i="1" s="1"/>
  <c r="T983" i="1"/>
  <c r="V983" i="1" s="1"/>
  <c r="T984" i="1"/>
  <c r="V984" i="1" s="1"/>
  <c r="T985" i="1"/>
  <c r="V985" i="1" s="1"/>
  <c r="T986" i="1"/>
  <c r="V986" i="1" s="1"/>
  <c r="T987" i="1"/>
  <c r="V987" i="1" s="1"/>
  <c r="T988" i="1"/>
  <c r="V988" i="1" s="1"/>
  <c r="T989" i="1"/>
  <c r="V989" i="1" s="1"/>
  <c r="T990" i="1"/>
  <c r="V990" i="1" s="1"/>
  <c r="T992" i="1"/>
  <c r="V992" i="1" s="1"/>
  <c r="T993" i="1"/>
  <c r="V993" i="1" s="1"/>
  <c r="T994" i="1"/>
  <c r="V994" i="1" s="1"/>
  <c r="T995" i="1"/>
  <c r="V995" i="1" s="1"/>
  <c r="T996" i="1"/>
  <c r="V996" i="1" s="1"/>
  <c r="T997" i="1"/>
  <c r="V997" i="1" s="1"/>
  <c r="T1000" i="1"/>
  <c r="V1000" i="1" s="1"/>
  <c r="T1001" i="1"/>
  <c r="V1001" i="1" s="1"/>
  <c r="T1002" i="1"/>
  <c r="V1002" i="1" s="1"/>
  <c r="T1003" i="1"/>
  <c r="V1003" i="1" s="1"/>
  <c r="T1004" i="1"/>
  <c r="V1004" i="1" s="1"/>
  <c r="T1005" i="1"/>
  <c r="V1005" i="1" s="1"/>
  <c r="T1007" i="1"/>
  <c r="V1007" i="1" s="1"/>
  <c r="T1008" i="1"/>
  <c r="V1008" i="1" s="1"/>
  <c r="T1009" i="1"/>
  <c r="V1009" i="1" s="1"/>
  <c r="T1010" i="1"/>
  <c r="V1010" i="1" s="1"/>
  <c r="T1011" i="1"/>
  <c r="V1011" i="1" s="1"/>
  <c r="T1012" i="1"/>
  <c r="V1012" i="1" s="1"/>
  <c r="T1013" i="1"/>
  <c r="V1013" i="1" s="1"/>
  <c r="T1014" i="1"/>
  <c r="V1014" i="1" s="1"/>
  <c r="T1015" i="1"/>
  <c r="V1015" i="1" s="1"/>
  <c r="T1016" i="1"/>
  <c r="V1016" i="1" s="1"/>
  <c r="T1017" i="1"/>
  <c r="V1017" i="1" s="1"/>
  <c r="T1018" i="1"/>
  <c r="V1018" i="1" s="1"/>
  <c r="T1019" i="1"/>
  <c r="V1019" i="1" s="1"/>
  <c r="T1020" i="1"/>
  <c r="V1020" i="1" s="1"/>
  <c r="T1021" i="1"/>
  <c r="V1021" i="1" s="1"/>
  <c r="T1022" i="1"/>
  <c r="V1022" i="1" s="1"/>
  <c r="T1023" i="1"/>
  <c r="V1023" i="1" s="1"/>
  <c r="T1024" i="1"/>
  <c r="V1024" i="1" s="1"/>
  <c r="T1025" i="1"/>
  <c r="V1025" i="1" s="1"/>
  <c r="T1026" i="1"/>
  <c r="V1026" i="1" s="1"/>
  <c r="T1027" i="1"/>
  <c r="V1027" i="1" s="1"/>
  <c r="T1028" i="1"/>
  <c r="V1028" i="1" s="1"/>
  <c r="T1029" i="1"/>
  <c r="V1029" i="1" s="1"/>
  <c r="T1030" i="1"/>
  <c r="V1030" i="1" s="1"/>
  <c r="T1031" i="1"/>
  <c r="V1031" i="1" s="1"/>
  <c r="T1032" i="1"/>
  <c r="V1032" i="1" s="1"/>
  <c r="T1033" i="1"/>
  <c r="V1033" i="1" s="1"/>
  <c r="T1034" i="1"/>
  <c r="V1034" i="1" s="1"/>
  <c r="T1035" i="1"/>
  <c r="V1035" i="1" s="1"/>
  <c r="T1036" i="1"/>
  <c r="V1036" i="1" s="1"/>
  <c r="T1037" i="1"/>
  <c r="V1037" i="1" s="1"/>
  <c r="T1038" i="1"/>
  <c r="V1038" i="1" s="1"/>
  <c r="T1039" i="1"/>
  <c r="V1039" i="1" s="1"/>
  <c r="T1040" i="1"/>
  <c r="V1040" i="1" s="1"/>
  <c r="T1041" i="1"/>
  <c r="V1041" i="1" s="1"/>
  <c r="T1042" i="1"/>
  <c r="V1042" i="1" s="1"/>
  <c r="T1043" i="1"/>
  <c r="V1043" i="1" s="1"/>
  <c r="T1044" i="1"/>
  <c r="V1044" i="1" s="1"/>
  <c r="T42" i="1"/>
  <c r="V42" i="1" s="1"/>
  <c r="R874" i="1"/>
  <c r="R875" i="1"/>
  <c r="R93" i="1"/>
  <c r="R94" i="1"/>
  <c r="R98" i="1"/>
  <c r="R99" i="1"/>
  <c r="R116" i="1"/>
  <c r="R117" i="1"/>
  <c r="R168" i="1"/>
  <c r="R169" i="1"/>
  <c r="R171" i="1"/>
  <c r="R172" i="1"/>
  <c r="R212" i="1"/>
  <c r="R213" i="1"/>
  <c r="R227" i="1"/>
  <c r="R228" i="1"/>
  <c r="R233" i="1"/>
  <c r="R234" i="1"/>
  <c r="R254" i="1"/>
  <c r="R255" i="1"/>
  <c r="R306" i="1"/>
  <c r="R307" i="1"/>
  <c r="R343" i="1"/>
  <c r="R344" i="1"/>
  <c r="R355" i="1"/>
  <c r="R356" i="1"/>
  <c r="R360" i="1"/>
  <c r="R361" i="1"/>
  <c r="R380" i="1"/>
  <c r="R381" i="1"/>
  <c r="R387" i="1"/>
  <c r="R388" i="1"/>
  <c r="R395" i="1"/>
  <c r="R396" i="1"/>
  <c r="R416" i="1"/>
  <c r="R417" i="1"/>
  <c r="R464" i="1"/>
  <c r="R465" i="1"/>
  <c r="R487" i="1"/>
  <c r="R488" i="1"/>
  <c r="R490" i="1"/>
  <c r="R491" i="1"/>
  <c r="R492" i="1"/>
  <c r="R514" i="1"/>
  <c r="R515" i="1"/>
  <c r="R557" i="1"/>
  <c r="R558" i="1"/>
  <c r="R572" i="1"/>
  <c r="R573" i="1"/>
  <c r="R607" i="1"/>
  <c r="R608" i="1"/>
  <c r="R636" i="1"/>
  <c r="R637" i="1"/>
  <c r="R641" i="1"/>
  <c r="R642" i="1"/>
  <c r="R653" i="1"/>
  <c r="R654" i="1"/>
  <c r="R945" i="1"/>
  <c r="R946" i="1"/>
  <c r="R707" i="1"/>
  <c r="R708" i="1"/>
  <c r="R732" i="1"/>
  <c r="R733" i="1"/>
  <c r="R744" i="1"/>
  <c r="R745" i="1"/>
  <c r="R746" i="1"/>
  <c r="R771" i="1"/>
  <c r="R772" i="1"/>
  <c r="R818" i="1"/>
  <c r="R819" i="1"/>
  <c r="R827" i="1"/>
  <c r="R828" i="1"/>
  <c r="R829" i="1"/>
  <c r="R830" i="1"/>
  <c r="R860" i="1"/>
  <c r="R861" i="1"/>
  <c r="R862" i="1"/>
  <c r="R864" i="1"/>
  <c r="R870" i="1"/>
  <c r="R871" i="1"/>
  <c r="R907" i="1"/>
  <c r="R908" i="1"/>
  <c r="R923" i="1"/>
  <c r="R924" i="1"/>
  <c r="R931" i="1"/>
  <c r="R932" i="1"/>
  <c r="R957" i="1"/>
  <c r="R958" i="1"/>
  <c r="R998" i="1"/>
  <c r="R999" i="1"/>
  <c r="R6" i="1"/>
  <c r="R7" i="1"/>
  <c r="R8" i="1"/>
  <c r="R9" i="1"/>
  <c r="R10" i="1"/>
  <c r="R511" i="1"/>
  <c r="R11" i="1"/>
  <c r="R12" i="1"/>
  <c r="R13" i="1"/>
  <c r="R14" i="1"/>
  <c r="R15" i="1"/>
  <c r="R517" i="1"/>
  <c r="R16" i="1"/>
  <c r="R17" i="1"/>
  <c r="R18" i="1"/>
  <c r="R19" i="1"/>
  <c r="R20" i="1"/>
  <c r="R21" i="1"/>
  <c r="R22" i="1"/>
  <c r="R23" i="1"/>
  <c r="R534" i="1"/>
  <c r="R24" i="1"/>
  <c r="R25" i="1"/>
  <c r="R26" i="1"/>
  <c r="R27" i="1"/>
  <c r="R28" i="1"/>
  <c r="R29" i="1"/>
  <c r="R30" i="1"/>
  <c r="R560" i="1"/>
  <c r="R31" i="1"/>
  <c r="R32" i="1"/>
  <c r="R33" i="1"/>
  <c r="R34" i="1"/>
  <c r="R35" i="1"/>
  <c r="R36" i="1"/>
  <c r="R37" i="1"/>
  <c r="R38" i="1"/>
  <c r="R39" i="1"/>
  <c r="R40" i="1"/>
  <c r="R41" i="1"/>
  <c r="R44" i="1"/>
  <c r="R45" i="1"/>
  <c r="R46" i="1"/>
  <c r="R47" i="1"/>
  <c r="R571" i="1"/>
  <c r="R48" i="1"/>
  <c r="R49" i="1"/>
  <c r="R50" i="1"/>
  <c r="R51" i="1"/>
  <c r="R579"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5" i="1"/>
  <c r="R96" i="1"/>
  <c r="R97" i="1"/>
  <c r="R100" i="1"/>
  <c r="R101" i="1"/>
  <c r="R102" i="1"/>
  <c r="R103" i="1"/>
  <c r="R104" i="1"/>
  <c r="R105" i="1"/>
  <c r="R106" i="1"/>
  <c r="R107" i="1"/>
  <c r="R108" i="1"/>
  <c r="R109" i="1"/>
  <c r="R110" i="1"/>
  <c r="R111" i="1"/>
  <c r="R112" i="1"/>
  <c r="R113" i="1"/>
  <c r="R114" i="1"/>
  <c r="R115"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70"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4" i="1"/>
  <c r="R215" i="1"/>
  <c r="R216" i="1"/>
  <c r="R217" i="1"/>
  <c r="R218" i="1"/>
  <c r="R219" i="1"/>
  <c r="R220" i="1"/>
  <c r="R221" i="1"/>
  <c r="R222" i="1"/>
  <c r="R223" i="1"/>
  <c r="R224" i="1"/>
  <c r="R225" i="1"/>
  <c r="R226" i="1"/>
  <c r="R229" i="1"/>
  <c r="R230" i="1"/>
  <c r="R231" i="1"/>
  <c r="R232" i="1"/>
  <c r="R235" i="1"/>
  <c r="R236" i="1"/>
  <c r="R237" i="1"/>
  <c r="R238" i="1"/>
  <c r="R239" i="1"/>
  <c r="R240" i="1"/>
  <c r="R241" i="1"/>
  <c r="R242" i="1"/>
  <c r="R243" i="1"/>
  <c r="R244" i="1"/>
  <c r="R245" i="1"/>
  <c r="R246" i="1"/>
  <c r="R247" i="1"/>
  <c r="R248" i="1"/>
  <c r="R249" i="1"/>
  <c r="R250" i="1"/>
  <c r="R251" i="1"/>
  <c r="R252" i="1"/>
  <c r="R253"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5" i="1"/>
  <c r="R346" i="1"/>
  <c r="R347" i="1"/>
  <c r="R348" i="1"/>
  <c r="R349" i="1"/>
  <c r="R350" i="1"/>
  <c r="R351" i="1"/>
  <c r="R352" i="1"/>
  <c r="R353" i="1"/>
  <c r="R354" i="1"/>
  <c r="R357" i="1"/>
  <c r="R358" i="1"/>
  <c r="R359" i="1"/>
  <c r="R362" i="1"/>
  <c r="R363" i="1"/>
  <c r="R364" i="1"/>
  <c r="R365" i="1"/>
  <c r="R366" i="1"/>
  <c r="R367" i="1"/>
  <c r="R368" i="1"/>
  <c r="R369" i="1"/>
  <c r="R370" i="1"/>
  <c r="R371" i="1"/>
  <c r="R372" i="1"/>
  <c r="R373" i="1"/>
  <c r="R374" i="1"/>
  <c r="R375" i="1"/>
  <c r="R376" i="1"/>
  <c r="R377" i="1"/>
  <c r="R378" i="1"/>
  <c r="R379" i="1"/>
  <c r="R382" i="1"/>
  <c r="R383" i="1"/>
  <c r="R384" i="1"/>
  <c r="R385" i="1"/>
  <c r="R386" i="1"/>
  <c r="R389" i="1"/>
  <c r="R390" i="1"/>
  <c r="R391" i="1"/>
  <c r="R392" i="1"/>
  <c r="R393" i="1"/>
  <c r="R394" i="1"/>
  <c r="R397" i="1"/>
  <c r="R398" i="1"/>
  <c r="R399" i="1"/>
  <c r="R400" i="1"/>
  <c r="R401" i="1"/>
  <c r="R402" i="1"/>
  <c r="R403" i="1"/>
  <c r="R404" i="1"/>
  <c r="R405" i="1"/>
  <c r="R406" i="1"/>
  <c r="R407" i="1"/>
  <c r="R408" i="1"/>
  <c r="R409" i="1"/>
  <c r="R410" i="1"/>
  <c r="R411" i="1"/>
  <c r="R412" i="1"/>
  <c r="R413" i="1"/>
  <c r="R414" i="1"/>
  <c r="R415"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6" i="1"/>
  <c r="R467" i="1"/>
  <c r="R468" i="1"/>
  <c r="R469" i="1"/>
  <c r="R470" i="1"/>
  <c r="R471" i="1"/>
  <c r="R472" i="1"/>
  <c r="R473" i="1"/>
  <c r="R474" i="1"/>
  <c r="R475" i="1"/>
  <c r="R476" i="1"/>
  <c r="R477" i="1"/>
  <c r="R478" i="1"/>
  <c r="R479" i="1"/>
  <c r="R480" i="1"/>
  <c r="R481" i="1"/>
  <c r="R482" i="1"/>
  <c r="R483" i="1"/>
  <c r="R484" i="1"/>
  <c r="R485" i="1"/>
  <c r="R750" i="1"/>
  <c r="R486" i="1"/>
  <c r="R489" i="1"/>
  <c r="R493" i="1"/>
  <c r="R494" i="1"/>
  <c r="R495" i="1"/>
  <c r="R496" i="1"/>
  <c r="R497" i="1"/>
  <c r="R498" i="1"/>
  <c r="R499" i="1"/>
  <c r="R763" i="1"/>
  <c r="R500" i="1"/>
  <c r="R501" i="1"/>
  <c r="R502" i="1"/>
  <c r="R503" i="1"/>
  <c r="R504" i="1"/>
  <c r="R505" i="1"/>
  <c r="R506" i="1"/>
  <c r="R507" i="1"/>
  <c r="R508" i="1"/>
  <c r="R509" i="1"/>
  <c r="R510" i="1"/>
  <c r="R512" i="1"/>
  <c r="R513" i="1"/>
  <c r="R516" i="1"/>
  <c r="R518" i="1"/>
  <c r="R519" i="1"/>
  <c r="R520" i="1"/>
  <c r="R521" i="1"/>
  <c r="R522" i="1"/>
  <c r="R523" i="1"/>
  <c r="R524" i="1"/>
  <c r="R525" i="1"/>
  <c r="R526" i="1"/>
  <c r="R527" i="1"/>
  <c r="R528" i="1"/>
  <c r="R529" i="1"/>
  <c r="R530" i="1"/>
  <c r="R793" i="1"/>
  <c r="R531" i="1"/>
  <c r="R532" i="1"/>
  <c r="R533" i="1"/>
  <c r="R535" i="1"/>
  <c r="R536" i="1"/>
  <c r="R537" i="1"/>
  <c r="R538" i="1"/>
  <c r="R539" i="1"/>
  <c r="R540" i="1"/>
  <c r="R541" i="1"/>
  <c r="R542" i="1"/>
  <c r="R543" i="1"/>
  <c r="R544" i="1"/>
  <c r="R545" i="1"/>
  <c r="R546" i="1"/>
  <c r="R812" i="1"/>
  <c r="R547" i="1"/>
  <c r="R548" i="1"/>
  <c r="R549" i="1"/>
  <c r="R550" i="1"/>
  <c r="R551" i="1"/>
  <c r="R552" i="1"/>
  <c r="R553" i="1"/>
  <c r="R554" i="1"/>
  <c r="R555" i="1"/>
  <c r="R556" i="1"/>
  <c r="R559" i="1"/>
  <c r="R561" i="1"/>
  <c r="R562" i="1"/>
  <c r="R563" i="1"/>
  <c r="R564" i="1"/>
  <c r="R565" i="1"/>
  <c r="R566" i="1"/>
  <c r="R567" i="1"/>
  <c r="R568" i="1"/>
  <c r="R569" i="1"/>
  <c r="R570" i="1"/>
  <c r="R574" i="1"/>
  <c r="R575" i="1"/>
  <c r="R576" i="1"/>
  <c r="R577" i="1"/>
  <c r="R840" i="1"/>
  <c r="R578"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9" i="1"/>
  <c r="R610" i="1"/>
  <c r="R611" i="1"/>
  <c r="R612" i="1"/>
  <c r="R613" i="1"/>
  <c r="R873" i="1"/>
  <c r="R614" i="1"/>
  <c r="R615" i="1"/>
  <c r="R881" i="1"/>
  <c r="R616" i="1"/>
  <c r="R617" i="1"/>
  <c r="R618" i="1"/>
  <c r="R619" i="1"/>
  <c r="R620" i="1"/>
  <c r="R621" i="1"/>
  <c r="R622" i="1"/>
  <c r="R623" i="1"/>
  <c r="R624" i="1"/>
  <c r="R625" i="1"/>
  <c r="R626" i="1"/>
  <c r="R627" i="1"/>
  <c r="R628" i="1"/>
  <c r="R629" i="1"/>
  <c r="R630" i="1"/>
  <c r="R631" i="1"/>
  <c r="R632" i="1"/>
  <c r="R633" i="1"/>
  <c r="R634" i="1"/>
  <c r="R635" i="1"/>
  <c r="R638" i="1"/>
  <c r="R639" i="1"/>
  <c r="R640" i="1"/>
  <c r="R643" i="1"/>
  <c r="R644" i="1"/>
  <c r="R645" i="1"/>
  <c r="R646" i="1"/>
  <c r="R647" i="1"/>
  <c r="R648" i="1"/>
  <c r="R649" i="1"/>
  <c r="R650" i="1"/>
  <c r="R651" i="1"/>
  <c r="R652" i="1"/>
  <c r="R655" i="1"/>
  <c r="R656" i="1"/>
  <c r="R657" i="1"/>
  <c r="R658" i="1"/>
  <c r="R659" i="1"/>
  <c r="R660" i="1"/>
  <c r="R661" i="1"/>
  <c r="R662" i="1"/>
  <c r="R663" i="1"/>
  <c r="R664" i="1"/>
  <c r="R665" i="1"/>
  <c r="R666" i="1"/>
  <c r="R667" i="1"/>
  <c r="R668" i="1"/>
  <c r="R911" i="1"/>
  <c r="R669" i="1"/>
  <c r="R670" i="1"/>
  <c r="R671" i="1"/>
  <c r="R672" i="1"/>
  <c r="R673" i="1"/>
  <c r="R674" i="1"/>
  <c r="R675" i="1"/>
  <c r="R914"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9" i="1"/>
  <c r="R710" i="1"/>
  <c r="R711" i="1"/>
  <c r="R712" i="1"/>
  <c r="R713" i="1"/>
  <c r="R714" i="1"/>
  <c r="R715" i="1"/>
  <c r="R716" i="1"/>
  <c r="R717" i="1"/>
  <c r="R718" i="1"/>
  <c r="R719" i="1"/>
  <c r="R720" i="1"/>
  <c r="R721" i="1"/>
  <c r="R722" i="1"/>
  <c r="R723" i="1"/>
  <c r="R991" i="1"/>
  <c r="R724" i="1"/>
  <c r="R725" i="1"/>
  <c r="R726" i="1"/>
  <c r="R727" i="1"/>
  <c r="R728" i="1"/>
  <c r="R729" i="1"/>
  <c r="R730" i="1"/>
  <c r="R731" i="1"/>
  <c r="R1006" i="1"/>
  <c r="R734" i="1"/>
  <c r="R735" i="1"/>
  <c r="R736" i="1"/>
  <c r="R737" i="1"/>
  <c r="R738" i="1"/>
  <c r="R739" i="1"/>
  <c r="R740" i="1"/>
  <c r="R741" i="1"/>
  <c r="R742" i="1"/>
  <c r="R743" i="1"/>
  <c r="R747" i="1"/>
  <c r="R748" i="1"/>
  <c r="R749" i="1"/>
  <c r="R751" i="1"/>
  <c r="R752" i="1"/>
  <c r="R753" i="1"/>
  <c r="R754" i="1"/>
  <c r="R755" i="1"/>
  <c r="R756" i="1"/>
  <c r="R757" i="1"/>
  <c r="R758" i="1"/>
  <c r="R759" i="1"/>
  <c r="R760" i="1"/>
  <c r="R761" i="1"/>
  <c r="R762" i="1"/>
  <c r="R764" i="1"/>
  <c r="R765" i="1"/>
  <c r="R766" i="1"/>
  <c r="R767" i="1"/>
  <c r="R768" i="1"/>
  <c r="R769" i="1"/>
  <c r="R770" i="1"/>
  <c r="R773" i="1"/>
  <c r="R774" i="1"/>
  <c r="R775" i="1"/>
  <c r="R776" i="1"/>
  <c r="R777" i="1"/>
  <c r="R778" i="1"/>
  <c r="R779" i="1"/>
  <c r="R780" i="1"/>
  <c r="R781" i="1"/>
  <c r="R782" i="1"/>
  <c r="R783" i="1"/>
  <c r="R784" i="1"/>
  <c r="R785" i="1"/>
  <c r="R786" i="1"/>
  <c r="R787" i="1"/>
  <c r="R788" i="1"/>
  <c r="R789" i="1"/>
  <c r="R790" i="1"/>
  <c r="R791" i="1"/>
  <c r="R792" i="1"/>
  <c r="R794" i="1"/>
  <c r="R795" i="1"/>
  <c r="R796" i="1"/>
  <c r="R797" i="1"/>
  <c r="R798" i="1"/>
  <c r="R799" i="1"/>
  <c r="R800" i="1"/>
  <c r="R801" i="1"/>
  <c r="R802" i="1"/>
  <c r="R803" i="1"/>
  <c r="R804" i="1"/>
  <c r="R805" i="1"/>
  <c r="R806" i="1"/>
  <c r="R807" i="1"/>
  <c r="R808" i="1"/>
  <c r="R809" i="1"/>
  <c r="R810" i="1"/>
  <c r="R811" i="1"/>
  <c r="R813" i="1"/>
  <c r="R814" i="1"/>
  <c r="R815" i="1"/>
  <c r="R816" i="1"/>
  <c r="R817" i="1"/>
  <c r="R820" i="1"/>
  <c r="R821" i="1"/>
  <c r="R822" i="1"/>
  <c r="R823" i="1"/>
  <c r="R824" i="1"/>
  <c r="R825" i="1"/>
  <c r="R826" i="1"/>
  <c r="R831" i="1"/>
  <c r="R832" i="1"/>
  <c r="R833" i="1"/>
  <c r="R834" i="1"/>
  <c r="R835" i="1"/>
  <c r="R836" i="1"/>
  <c r="R837" i="1"/>
  <c r="R838" i="1"/>
  <c r="R839" i="1"/>
  <c r="R841" i="1"/>
  <c r="R842" i="1"/>
  <c r="R843" i="1"/>
  <c r="R844" i="1"/>
  <c r="R845" i="1"/>
  <c r="R846" i="1"/>
  <c r="R847" i="1"/>
  <c r="R848" i="1"/>
  <c r="R849" i="1"/>
  <c r="R850" i="1"/>
  <c r="R851" i="1"/>
  <c r="R852" i="1"/>
  <c r="R853" i="1"/>
  <c r="R854" i="1"/>
  <c r="R855" i="1"/>
  <c r="R856" i="1"/>
  <c r="R857" i="1"/>
  <c r="R858" i="1"/>
  <c r="R859" i="1"/>
  <c r="R863" i="1"/>
  <c r="R865" i="1"/>
  <c r="R866" i="1"/>
  <c r="R867" i="1"/>
  <c r="R868" i="1"/>
  <c r="R869" i="1"/>
  <c r="R872" i="1"/>
  <c r="R876" i="1"/>
  <c r="R877" i="1"/>
  <c r="R878" i="1"/>
  <c r="R879" i="1"/>
  <c r="R880"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9" i="1"/>
  <c r="R910" i="1"/>
  <c r="R912" i="1"/>
  <c r="R913" i="1"/>
  <c r="R915" i="1"/>
  <c r="R916" i="1"/>
  <c r="R917" i="1"/>
  <c r="R918" i="1"/>
  <c r="R919" i="1"/>
  <c r="R920" i="1"/>
  <c r="R921" i="1"/>
  <c r="R922" i="1"/>
  <c r="R925" i="1"/>
  <c r="R926" i="1"/>
  <c r="R927" i="1"/>
  <c r="R928" i="1"/>
  <c r="R929" i="1"/>
  <c r="R930" i="1"/>
  <c r="R933" i="1"/>
  <c r="R934" i="1"/>
  <c r="R935" i="1"/>
  <c r="R936" i="1"/>
  <c r="R937" i="1"/>
  <c r="R938" i="1"/>
  <c r="R939" i="1"/>
  <c r="R940" i="1"/>
  <c r="R941" i="1"/>
  <c r="R942" i="1"/>
  <c r="R943" i="1"/>
  <c r="R944" i="1"/>
  <c r="R947" i="1"/>
  <c r="R948" i="1"/>
  <c r="R949" i="1"/>
  <c r="R950" i="1"/>
  <c r="R951" i="1"/>
  <c r="R952" i="1"/>
  <c r="R953" i="1"/>
  <c r="R954" i="1"/>
  <c r="R955" i="1"/>
  <c r="R956"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2" i="1"/>
  <c r="R993" i="1"/>
  <c r="R994" i="1"/>
  <c r="R995" i="1"/>
  <c r="R996" i="1"/>
  <c r="R997" i="1"/>
  <c r="R1000" i="1"/>
  <c r="R1001" i="1"/>
  <c r="R1002" i="1"/>
  <c r="R1003" i="1"/>
  <c r="R1004" i="1"/>
  <c r="R1005"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43" i="1"/>
  <c r="R42" i="1"/>
  <c r="V884" i="1" l="1"/>
  <c r="W884" i="1" s="1"/>
  <c r="Y884" i="1" s="1"/>
  <c r="V882" i="1"/>
  <c r="W882" i="1" s="1"/>
  <c r="Y882" i="1" s="1"/>
  <c r="V879" i="1"/>
  <c r="W879" i="1" s="1"/>
  <c r="Y879" i="1" s="1"/>
  <c r="V877" i="1"/>
  <c r="W877" i="1" s="1"/>
  <c r="Y877" i="1" s="1"/>
  <c r="V872" i="1"/>
  <c r="W872" i="1" s="1"/>
  <c r="Y872" i="1" s="1"/>
  <c r="V868" i="1"/>
  <c r="W868" i="1" s="1"/>
  <c r="Y868" i="1" s="1"/>
  <c r="V866" i="1"/>
  <c r="W866" i="1" s="1"/>
  <c r="Y866" i="1" s="1"/>
  <c r="V863" i="1"/>
  <c r="W863" i="1" s="1"/>
  <c r="Y863" i="1" s="1"/>
  <c r="V858" i="1"/>
  <c r="W858" i="1" s="1"/>
  <c r="Y858" i="1" s="1"/>
  <c r="V856" i="1"/>
  <c r="W856" i="1" s="1"/>
  <c r="Y856" i="1" s="1"/>
  <c r="V854" i="1"/>
  <c r="W854" i="1" s="1"/>
  <c r="Y854" i="1" s="1"/>
  <c r="V852" i="1"/>
  <c r="W852" i="1" s="1"/>
  <c r="Y852" i="1" s="1"/>
  <c r="V850" i="1"/>
  <c r="W850" i="1" s="1"/>
  <c r="Y850" i="1" s="1"/>
  <c r="V848" i="1"/>
  <c r="W848" i="1" s="1"/>
  <c r="Y848" i="1" s="1"/>
  <c r="V846" i="1"/>
  <c r="W846" i="1" s="1"/>
  <c r="Y846" i="1" s="1"/>
  <c r="V844" i="1"/>
  <c r="W844" i="1" s="1"/>
  <c r="Y844" i="1" s="1"/>
  <c r="V842" i="1"/>
  <c r="W842" i="1" s="1"/>
  <c r="Y842" i="1" s="1"/>
  <c r="V839" i="1"/>
  <c r="W839" i="1" s="1"/>
  <c r="Y839" i="1" s="1"/>
  <c r="V837" i="1"/>
  <c r="W837" i="1" s="1"/>
  <c r="Y837" i="1" s="1"/>
  <c r="V835" i="1"/>
  <c r="W835" i="1" s="1"/>
  <c r="Y835" i="1" s="1"/>
  <c r="V833" i="1"/>
  <c r="W833" i="1" s="1"/>
  <c r="Y833" i="1" s="1"/>
  <c r="V831" i="1"/>
  <c r="W831" i="1" s="1"/>
  <c r="Y831" i="1" s="1"/>
  <c r="V825" i="1"/>
  <c r="W825" i="1" s="1"/>
  <c r="Y825" i="1" s="1"/>
  <c r="V823" i="1"/>
  <c r="W823" i="1" s="1"/>
  <c r="Y823" i="1" s="1"/>
  <c r="V821" i="1"/>
  <c r="W821" i="1" s="1"/>
  <c r="Y821" i="1" s="1"/>
  <c r="V817" i="1"/>
  <c r="W817" i="1" s="1"/>
  <c r="Y817" i="1" s="1"/>
  <c r="V815" i="1"/>
  <c r="W815" i="1" s="1"/>
  <c r="Y815" i="1" s="1"/>
  <c r="V813" i="1"/>
  <c r="W813" i="1" s="1"/>
  <c r="Y813" i="1" s="1"/>
  <c r="V810" i="1"/>
  <c r="W810" i="1" s="1"/>
  <c r="Y810" i="1" s="1"/>
  <c r="V808" i="1"/>
  <c r="W808" i="1" s="1"/>
  <c r="Y808" i="1" s="1"/>
  <c r="V806" i="1"/>
  <c r="W806" i="1" s="1"/>
  <c r="Y806" i="1" s="1"/>
  <c r="V804" i="1"/>
  <c r="W804" i="1" s="1"/>
  <c r="Y804" i="1" s="1"/>
  <c r="V802" i="1"/>
  <c r="W802" i="1" s="1"/>
  <c r="Y802" i="1" s="1"/>
  <c r="V800" i="1"/>
  <c r="W800" i="1" s="1"/>
  <c r="Y800" i="1" s="1"/>
  <c r="V798" i="1"/>
  <c r="W798" i="1" s="1"/>
  <c r="Y798" i="1" s="1"/>
  <c r="V796" i="1"/>
  <c r="W796" i="1" s="1"/>
  <c r="Y796" i="1" s="1"/>
  <c r="V794" i="1"/>
  <c r="W794" i="1" s="1"/>
  <c r="Y794" i="1" s="1"/>
  <c r="V791" i="1"/>
  <c r="W791" i="1" s="1"/>
  <c r="Y791" i="1" s="1"/>
  <c r="V789" i="1"/>
  <c r="W789" i="1" s="1"/>
  <c r="Y789" i="1" s="1"/>
  <c r="V787" i="1"/>
  <c r="W787" i="1" s="1"/>
  <c r="Y787" i="1" s="1"/>
  <c r="V785" i="1"/>
  <c r="W785" i="1" s="1"/>
  <c r="Y785" i="1" s="1"/>
  <c r="V783" i="1"/>
  <c r="W783" i="1" s="1"/>
  <c r="Y783" i="1" s="1"/>
  <c r="V781" i="1"/>
  <c r="W781" i="1" s="1"/>
  <c r="Y781" i="1" s="1"/>
  <c r="V779" i="1"/>
  <c r="W779" i="1" s="1"/>
  <c r="Y779" i="1" s="1"/>
  <c r="V777" i="1"/>
  <c r="W777" i="1" s="1"/>
  <c r="Y777" i="1" s="1"/>
  <c r="V775" i="1"/>
  <c r="W775" i="1" s="1"/>
  <c r="Y775" i="1" s="1"/>
  <c r="V773" i="1"/>
  <c r="W773" i="1" s="1"/>
  <c r="Y773" i="1" s="1"/>
  <c r="V769" i="1"/>
  <c r="W769" i="1" s="1"/>
  <c r="Y769" i="1" s="1"/>
  <c r="V767" i="1"/>
  <c r="W767" i="1" s="1"/>
  <c r="Y767" i="1" s="1"/>
  <c r="V765" i="1"/>
  <c r="W765" i="1" s="1"/>
  <c r="Y765" i="1" s="1"/>
  <c r="V762" i="1"/>
  <c r="W762" i="1" s="1"/>
  <c r="Y762" i="1" s="1"/>
  <c r="V760" i="1"/>
  <c r="W760" i="1" s="1"/>
  <c r="Y760" i="1" s="1"/>
  <c r="V758" i="1"/>
  <c r="W758" i="1" s="1"/>
  <c r="Y758" i="1" s="1"/>
  <c r="V756" i="1"/>
  <c r="W756" i="1" s="1"/>
  <c r="Y756" i="1" s="1"/>
  <c r="V754" i="1"/>
  <c r="W754" i="1" s="1"/>
  <c r="Y754" i="1" s="1"/>
  <c r="V752" i="1"/>
  <c r="W752" i="1" s="1"/>
  <c r="Y752" i="1" s="1"/>
  <c r="V749" i="1"/>
  <c r="W749" i="1" s="1"/>
  <c r="Y749" i="1" s="1"/>
  <c r="V747" i="1"/>
  <c r="W747" i="1" s="1"/>
  <c r="Y747" i="1" s="1"/>
  <c r="V742" i="1"/>
  <c r="W742" i="1" s="1"/>
  <c r="Y742" i="1" s="1"/>
  <c r="V740" i="1"/>
  <c r="W740" i="1" s="1"/>
  <c r="Y740" i="1" s="1"/>
  <c r="V738" i="1"/>
  <c r="W738" i="1" s="1"/>
  <c r="Y738" i="1" s="1"/>
  <c r="V736" i="1"/>
  <c r="W736" i="1" s="1"/>
  <c r="Y736" i="1" s="1"/>
  <c r="V734" i="1"/>
  <c r="W734" i="1" s="1"/>
  <c r="Y734" i="1" s="1"/>
  <c r="V731" i="1"/>
  <c r="W731" i="1" s="1"/>
  <c r="Y731" i="1" s="1"/>
  <c r="V729" i="1"/>
  <c r="W729" i="1" s="1"/>
  <c r="Y729" i="1" s="1"/>
  <c r="V727" i="1"/>
  <c r="W727" i="1" s="1"/>
  <c r="Y727" i="1" s="1"/>
  <c r="V725" i="1"/>
  <c r="W725" i="1" s="1"/>
  <c r="Y725" i="1" s="1"/>
  <c r="V991" i="1"/>
  <c r="W991" i="1" s="1"/>
  <c r="Y991" i="1" s="1"/>
  <c r="V722" i="1"/>
  <c r="W722" i="1" s="1"/>
  <c r="Y722" i="1" s="1"/>
  <c r="V720" i="1"/>
  <c r="W720" i="1" s="1"/>
  <c r="Y720" i="1" s="1"/>
  <c r="V718" i="1"/>
  <c r="W718" i="1" s="1"/>
  <c r="Y718" i="1" s="1"/>
  <c r="V716" i="1"/>
  <c r="W716" i="1" s="1"/>
  <c r="Y716" i="1" s="1"/>
  <c r="V714" i="1"/>
  <c r="W714" i="1" s="1"/>
  <c r="Y714" i="1" s="1"/>
  <c r="V712" i="1"/>
  <c r="W712" i="1" s="1"/>
  <c r="Y712" i="1" s="1"/>
  <c r="V710" i="1"/>
  <c r="W710" i="1" s="1"/>
  <c r="Y710" i="1" s="1"/>
  <c r="V706" i="1"/>
  <c r="W706" i="1" s="1"/>
  <c r="Y706" i="1" s="1"/>
  <c r="V704" i="1"/>
  <c r="W704" i="1" s="1"/>
  <c r="Y704" i="1" s="1"/>
  <c r="V702" i="1"/>
  <c r="W702" i="1" s="1"/>
  <c r="Y702" i="1" s="1"/>
  <c r="V700" i="1"/>
  <c r="W700" i="1" s="1"/>
  <c r="Y700" i="1" s="1"/>
  <c r="V698" i="1"/>
  <c r="W698" i="1" s="1"/>
  <c r="Y698" i="1" s="1"/>
  <c r="V696" i="1"/>
  <c r="W696" i="1" s="1"/>
  <c r="Y696" i="1" s="1"/>
  <c r="V694" i="1"/>
  <c r="W694" i="1" s="1"/>
  <c r="Y694" i="1" s="1"/>
  <c r="V692" i="1"/>
  <c r="W692" i="1" s="1"/>
  <c r="Y692" i="1" s="1"/>
  <c r="V690" i="1"/>
  <c r="W690" i="1" s="1"/>
  <c r="Y690" i="1" s="1"/>
  <c r="V688" i="1"/>
  <c r="W688" i="1" s="1"/>
  <c r="Y688" i="1" s="1"/>
  <c r="V686" i="1"/>
  <c r="W686" i="1" s="1"/>
  <c r="Y686" i="1" s="1"/>
  <c r="V684" i="1"/>
  <c r="W684" i="1" s="1"/>
  <c r="Y684" i="1" s="1"/>
  <c r="V682" i="1"/>
  <c r="W682" i="1" s="1"/>
  <c r="Y682" i="1" s="1"/>
  <c r="V680" i="1"/>
  <c r="W680" i="1" s="1"/>
  <c r="Y680" i="1" s="1"/>
  <c r="V678" i="1"/>
  <c r="W678" i="1" s="1"/>
  <c r="Y678" i="1" s="1"/>
  <c r="V676" i="1"/>
  <c r="W676" i="1" s="1"/>
  <c r="Y676" i="1" s="1"/>
  <c r="V675" i="1"/>
  <c r="W675" i="1" s="1"/>
  <c r="Y675" i="1" s="1"/>
  <c r="V673" i="1"/>
  <c r="W673" i="1" s="1"/>
  <c r="Y673" i="1" s="1"/>
  <c r="V671" i="1"/>
  <c r="W671" i="1" s="1"/>
  <c r="Y671" i="1" s="1"/>
  <c r="V669" i="1"/>
  <c r="W669" i="1" s="1"/>
  <c r="Y669" i="1" s="1"/>
  <c r="V668" i="1"/>
  <c r="W668" i="1" s="1"/>
  <c r="Y668" i="1" s="1"/>
  <c r="V666" i="1"/>
  <c r="W666" i="1" s="1"/>
  <c r="Y666" i="1" s="1"/>
  <c r="V664" i="1"/>
  <c r="W664" i="1" s="1"/>
  <c r="Y664" i="1" s="1"/>
  <c r="V662" i="1"/>
  <c r="W662" i="1" s="1"/>
  <c r="Y662" i="1" s="1"/>
  <c r="V660" i="1"/>
  <c r="W660" i="1" s="1"/>
  <c r="Y660" i="1" s="1"/>
  <c r="V658" i="1"/>
  <c r="W658" i="1" s="1"/>
  <c r="Y658" i="1" s="1"/>
  <c r="V656" i="1"/>
  <c r="W656" i="1" s="1"/>
  <c r="Y656" i="1" s="1"/>
  <c r="V652" i="1"/>
  <c r="W652" i="1" s="1"/>
  <c r="Y652" i="1" s="1"/>
  <c r="V650" i="1"/>
  <c r="W650" i="1" s="1"/>
  <c r="Y650" i="1" s="1"/>
  <c r="V648" i="1"/>
  <c r="W648" i="1" s="1"/>
  <c r="Y648" i="1" s="1"/>
  <c r="V646" i="1"/>
  <c r="W646" i="1" s="1"/>
  <c r="Y646" i="1" s="1"/>
  <c r="V644" i="1"/>
  <c r="W644" i="1" s="1"/>
  <c r="Y644" i="1" s="1"/>
  <c r="V640" i="1"/>
  <c r="W640" i="1" s="1"/>
  <c r="Y640" i="1" s="1"/>
  <c r="V638" i="1"/>
  <c r="W638" i="1" s="1"/>
  <c r="Y638" i="1" s="1"/>
  <c r="V634" i="1"/>
  <c r="W634" i="1" s="1"/>
  <c r="Y634" i="1" s="1"/>
  <c r="V632" i="1"/>
  <c r="W632" i="1" s="1"/>
  <c r="Y632" i="1" s="1"/>
  <c r="V630" i="1"/>
  <c r="W630" i="1" s="1"/>
  <c r="Y630" i="1" s="1"/>
  <c r="V628" i="1"/>
  <c r="W628" i="1" s="1"/>
  <c r="Y628" i="1" s="1"/>
  <c r="V626" i="1"/>
  <c r="W626" i="1" s="1"/>
  <c r="Y626" i="1" s="1"/>
  <c r="V624" i="1"/>
  <c r="W624" i="1" s="1"/>
  <c r="Y624" i="1" s="1"/>
  <c r="V622" i="1"/>
  <c r="W622" i="1" s="1"/>
  <c r="Y622" i="1" s="1"/>
  <c r="V620" i="1"/>
  <c r="W620" i="1" s="1"/>
  <c r="Y620" i="1" s="1"/>
  <c r="V618" i="1"/>
  <c r="W618" i="1" s="1"/>
  <c r="Y618" i="1" s="1"/>
  <c r="V616" i="1"/>
  <c r="W616" i="1" s="1"/>
  <c r="Y616" i="1" s="1"/>
  <c r="V615" i="1"/>
  <c r="W615" i="1" s="1"/>
  <c r="Y615" i="1" s="1"/>
  <c r="V873" i="1"/>
  <c r="W873" i="1" s="1"/>
  <c r="Y873" i="1" s="1"/>
  <c r="V612" i="1"/>
  <c r="W612" i="1" s="1"/>
  <c r="Y612" i="1" s="1"/>
  <c r="V610" i="1"/>
  <c r="W610" i="1" s="1"/>
  <c r="Y610" i="1" s="1"/>
  <c r="V606" i="1"/>
  <c r="W606" i="1" s="1"/>
  <c r="Y606" i="1" s="1"/>
  <c r="V604" i="1"/>
  <c r="W604" i="1" s="1"/>
  <c r="Y604" i="1" s="1"/>
  <c r="V602" i="1"/>
  <c r="W602" i="1" s="1"/>
  <c r="Y602" i="1" s="1"/>
  <c r="V600" i="1"/>
  <c r="W600" i="1" s="1"/>
  <c r="Y600" i="1" s="1"/>
  <c r="V598" i="1"/>
  <c r="W598" i="1" s="1"/>
  <c r="Y598" i="1" s="1"/>
  <c r="V596" i="1"/>
  <c r="W596" i="1" s="1"/>
  <c r="Y596" i="1" s="1"/>
  <c r="V594" i="1"/>
  <c r="W594" i="1" s="1"/>
  <c r="Y594" i="1" s="1"/>
  <c r="V592" i="1"/>
  <c r="W592" i="1" s="1"/>
  <c r="Y592" i="1" s="1"/>
  <c r="V590" i="1"/>
  <c r="W590" i="1" s="1"/>
  <c r="Y590" i="1" s="1"/>
  <c r="V588" i="1"/>
  <c r="W588" i="1" s="1"/>
  <c r="Y588" i="1" s="1"/>
  <c r="V586" i="1"/>
  <c r="W586" i="1" s="1"/>
  <c r="Y586" i="1" s="1"/>
  <c r="V584" i="1"/>
  <c r="W584" i="1" s="1"/>
  <c r="Y584" i="1" s="1"/>
  <c r="V582" i="1"/>
  <c r="W582" i="1" s="1"/>
  <c r="Y582" i="1" s="1"/>
  <c r="V580" i="1"/>
  <c r="W580" i="1" s="1"/>
  <c r="Y580" i="1" s="1"/>
  <c r="V840" i="1"/>
  <c r="W840" i="1" s="1"/>
  <c r="Y840" i="1" s="1"/>
  <c r="V576" i="1"/>
  <c r="W576" i="1" s="1"/>
  <c r="Y576" i="1" s="1"/>
  <c r="V574" i="1"/>
  <c r="W574" i="1" s="1"/>
  <c r="Y574" i="1" s="1"/>
  <c r="V569" i="1"/>
  <c r="W569" i="1" s="1"/>
  <c r="Y569" i="1" s="1"/>
  <c r="V567" i="1"/>
  <c r="W567" i="1" s="1"/>
  <c r="Y567" i="1" s="1"/>
  <c r="V565" i="1"/>
  <c r="W565" i="1" s="1"/>
  <c r="Y565" i="1" s="1"/>
  <c r="V563" i="1"/>
  <c r="W563" i="1" s="1"/>
  <c r="Y563" i="1" s="1"/>
  <c r="V561" i="1"/>
  <c r="W561" i="1" s="1"/>
  <c r="Y561" i="1" s="1"/>
  <c r="V556" i="1"/>
  <c r="W556" i="1" s="1"/>
  <c r="Y556" i="1" s="1"/>
  <c r="V554" i="1"/>
  <c r="W554" i="1" s="1"/>
  <c r="Y554" i="1" s="1"/>
  <c r="V552" i="1"/>
  <c r="W552" i="1" s="1"/>
  <c r="Y552" i="1" s="1"/>
  <c r="V550" i="1"/>
  <c r="W550" i="1" s="1"/>
  <c r="Y550" i="1" s="1"/>
  <c r="V548" i="1"/>
  <c r="W548" i="1" s="1"/>
  <c r="Y548" i="1" s="1"/>
  <c r="V812" i="1"/>
  <c r="W812" i="1" s="1"/>
  <c r="Y812" i="1" s="1"/>
  <c r="V545" i="1"/>
  <c r="W545" i="1" s="1"/>
  <c r="Y545" i="1" s="1"/>
  <c r="V543" i="1"/>
  <c r="W543" i="1" s="1"/>
  <c r="Y543" i="1" s="1"/>
  <c r="V541" i="1"/>
  <c r="W541" i="1" s="1"/>
  <c r="Y541" i="1" s="1"/>
  <c r="V539" i="1"/>
  <c r="W539" i="1" s="1"/>
  <c r="Y539" i="1" s="1"/>
  <c r="V537" i="1"/>
  <c r="W537" i="1" s="1"/>
  <c r="Y537" i="1" s="1"/>
  <c r="V535" i="1"/>
  <c r="W535" i="1" s="1"/>
  <c r="Y535" i="1" s="1"/>
  <c r="V532" i="1"/>
  <c r="W532" i="1" s="1"/>
  <c r="Y532" i="1" s="1"/>
  <c r="V793" i="1"/>
  <c r="W793" i="1" s="1"/>
  <c r="Y793" i="1" s="1"/>
  <c r="V529" i="1"/>
  <c r="W529" i="1" s="1"/>
  <c r="Y529" i="1" s="1"/>
  <c r="V527" i="1"/>
  <c r="W527" i="1" s="1"/>
  <c r="Y527" i="1" s="1"/>
  <c r="V525" i="1"/>
  <c r="W525" i="1" s="1"/>
  <c r="Y525" i="1" s="1"/>
  <c r="V523" i="1"/>
  <c r="W523" i="1" s="1"/>
  <c r="Y523" i="1" s="1"/>
  <c r="V521" i="1"/>
  <c r="W521" i="1" s="1"/>
  <c r="Y521" i="1" s="1"/>
  <c r="V519" i="1"/>
  <c r="W519" i="1" s="1"/>
  <c r="Y519" i="1" s="1"/>
  <c r="V516" i="1"/>
  <c r="W516" i="1" s="1"/>
  <c r="Y516" i="1" s="1"/>
  <c r="V512" i="1"/>
  <c r="W512" i="1" s="1"/>
  <c r="Y512" i="1" s="1"/>
  <c r="V509" i="1"/>
  <c r="W509" i="1" s="1"/>
  <c r="Y509" i="1" s="1"/>
  <c r="V507" i="1"/>
  <c r="W507" i="1" s="1"/>
  <c r="Y507" i="1" s="1"/>
  <c r="V505" i="1"/>
  <c r="W505" i="1" s="1"/>
  <c r="Y505" i="1" s="1"/>
  <c r="V503" i="1"/>
  <c r="W503" i="1" s="1"/>
  <c r="Y503" i="1" s="1"/>
  <c r="V501" i="1"/>
  <c r="W501" i="1" s="1"/>
  <c r="Y501" i="1" s="1"/>
  <c r="V763" i="1"/>
  <c r="W763" i="1" s="1"/>
  <c r="Y763" i="1" s="1"/>
  <c r="V498" i="1"/>
  <c r="W498" i="1" s="1"/>
  <c r="Y498" i="1" s="1"/>
  <c r="V496" i="1"/>
  <c r="W496" i="1" s="1"/>
  <c r="Y496" i="1" s="1"/>
  <c r="V494" i="1"/>
  <c r="W494" i="1" s="1"/>
  <c r="Y494" i="1" s="1"/>
  <c r="V489" i="1"/>
  <c r="W489" i="1" s="1"/>
  <c r="Y489" i="1" s="1"/>
  <c r="V750" i="1"/>
  <c r="W750" i="1" s="1"/>
  <c r="Y750" i="1" s="1"/>
  <c r="V484" i="1"/>
  <c r="W484" i="1" s="1"/>
  <c r="Y484" i="1" s="1"/>
  <c r="V482" i="1"/>
  <c r="W482" i="1" s="1"/>
  <c r="Y482" i="1" s="1"/>
  <c r="V480" i="1"/>
  <c r="W480" i="1" s="1"/>
  <c r="Y480" i="1" s="1"/>
  <c r="V478" i="1"/>
  <c r="W478" i="1" s="1"/>
  <c r="Y478" i="1" s="1"/>
  <c r="V476" i="1"/>
  <c r="W476" i="1" s="1"/>
  <c r="Y476" i="1" s="1"/>
  <c r="V474" i="1"/>
  <c r="W474" i="1" s="1"/>
  <c r="Y474" i="1" s="1"/>
  <c r="V472" i="1"/>
  <c r="W472" i="1" s="1"/>
  <c r="Y472" i="1" s="1"/>
  <c r="V470" i="1"/>
  <c r="W470" i="1" s="1"/>
  <c r="Y470" i="1" s="1"/>
  <c r="V468" i="1"/>
  <c r="W468" i="1" s="1"/>
  <c r="Y468" i="1" s="1"/>
  <c r="V466" i="1"/>
  <c r="W466" i="1" s="1"/>
  <c r="Y466" i="1" s="1"/>
  <c r="V462" i="1"/>
  <c r="W462" i="1" s="1"/>
  <c r="Y462" i="1" s="1"/>
  <c r="V460" i="1"/>
  <c r="W460" i="1" s="1"/>
  <c r="Y460" i="1" s="1"/>
  <c r="V458" i="1"/>
  <c r="W458" i="1" s="1"/>
  <c r="Y458" i="1" s="1"/>
  <c r="V456" i="1"/>
  <c r="W456" i="1" s="1"/>
  <c r="Y456" i="1" s="1"/>
  <c r="V454" i="1"/>
  <c r="W454" i="1" s="1"/>
  <c r="Y454" i="1" s="1"/>
  <c r="V452" i="1"/>
  <c r="W452" i="1" s="1"/>
  <c r="Y452" i="1" s="1"/>
  <c r="V450" i="1"/>
  <c r="W450" i="1" s="1"/>
  <c r="Y450" i="1" s="1"/>
  <c r="V448" i="1"/>
  <c r="W448" i="1" s="1"/>
  <c r="Y448" i="1" s="1"/>
  <c r="V446" i="1"/>
  <c r="W446" i="1" s="1"/>
  <c r="Y446" i="1" s="1"/>
  <c r="V444" i="1"/>
  <c r="W444" i="1" s="1"/>
  <c r="Y444" i="1" s="1"/>
  <c r="V442" i="1"/>
  <c r="W442" i="1" s="1"/>
  <c r="Y442" i="1" s="1"/>
  <c r="V440" i="1"/>
  <c r="W440" i="1" s="1"/>
  <c r="Y440" i="1" s="1"/>
  <c r="V438" i="1"/>
  <c r="W438" i="1" s="1"/>
  <c r="Y438" i="1" s="1"/>
  <c r="V436" i="1"/>
  <c r="W436" i="1" s="1"/>
  <c r="Y436" i="1" s="1"/>
  <c r="V434" i="1"/>
  <c r="W434" i="1" s="1"/>
  <c r="Y434" i="1" s="1"/>
  <c r="V432" i="1"/>
  <c r="W432" i="1" s="1"/>
  <c r="Y432" i="1" s="1"/>
  <c r="V430" i="1"/>
  <c r="W430" i="1" s="1"/>
  <c r="Y430" i="1" s="1"/>
  <c r="V428" i="1"/>
  <c r="W428" i="1" s="1"/>
  <c r="Y428" i="1" s="1"/>
  <c r="V426" i="1"/>
  <c r="W426" i="1" s="1"/>
  <c r="Y426" i="1" s="1"/>
  <c r="V424" i="1"/>
  <c r="W424" i="1" s="1"/>
  <c r="Y424" i="1" s="1"/>
  <c r="V422" i="1"/>
  <c r="W422" i="1" s="1"/>
  <c r="Y422" i="1" s="1"/>
  <c r="V420" i="1"/>
  <c r="W420" i="1" s="1"/>
  <c r="Y420" i="1" s="1"/>
  <c r="V418" i="1"/>
  <c r="W418" i="1" s="1"/>
  <c r="Y418" i="1" s="1"/>
  <c r="V414" i="1"/>
  <c r="W414" i="1" s="1"/>
  <c r="Y414" i="1" s="1"/>
  <c r="V412" i="1"/>
  <c r="W412" i="1" s="1"/>
  <c r="Y412" i="1" s="1"/>
  <c r="V410" i="1"/>
  <c r="W410" i="1" s="1"/>
  <c r="Y410" i="1" s="1"/>
  <c r="V408" i="1"/>
  <c r="W408" i="1" s="1"/>
  <c r="Y408" i="1" s="1"/>
  <c r="V406" i="1"/>
  <c r="W406" i="1" s="1"/>
  <c r="Y406" i="1" s="1"/>
  <c r="V404" i="1"/>
  <c r="W404" i="1" s="1"/>
  <c r="Y404" i="1" s="1"/>
  <c r="V402" i="1"/>
  <c r="W402" i="1" s="1"/>
  <c r="Y402" i="1" s="1"/>
  <c r="V400" i="1"/>
  <c r="W400" i="1" s="1"/>
  <c r="Y400" i="1" s="1"/>
  <c r="V398" i="1"/>
  <c r="W398" i="1" s="1"/>
  <c r="Y398" i="1" s="1"/>
  <c r="V394" i="1"/>
  <c r="W394" i="1" s="1"/>
  <c r="Y394" i="1" s="1"/>
  <c r="V392" i="1"/>
  <c r="W392" i="1" s="1"/>
  <c r="Y392" i="1" s="1"/>
  <c r="V390" i="1"/>
  <c r="W390" i="1" s="1"/>
  <c r="Y390" i="1" s="1"/>
  <c r="V386" i="1"/>
  <c r="W386" i="1" s="1"/>
  <c r="Y386" i="1" s="1"/>
  <c r="V384" i="1"/>
  <c r="W384" i="1" s="1"/>
  <c r="Y384" i="1" s="1"/>
  <c r="V382" i="1"/>
  <c r="W382" i="1" s="1"/>
  <c r="Y382" i="1" s="1"/>
  <c r="V378" i="1"/>
  <c r="W378" i="1" s="1"/>
  <c r="Y378" i="1" s="1"/>
  <c r="V376" i="1"/>
  <c r="W376" i="1" s="1"/>
  <c r="Y376" i="1" s="1"/>
  <c r="V374" i="1"/>
  <c r="W374" i="1" s="1"/>
  <c r="Y374" i="1" s="1"/>
  <c r="V372" i="1"/>
  <c r="W372" i="1" s="1"/>
  <c r="Y372" i="1" s="1"/>
  <c r="V370" i="1"/>
  <c r="W370" i="1" s="1"/>
  <c r="Y370" i="1" s="1"/>
  <c r="V368" i="1"/>
  <c r="W368" i="1" s="1"/>
  <c r="Y368" i="1" s="1"/>
  <c r="V366" i="1"/>
  <c r="W366" i="1" s="1"/>
  <c r="Y366" i="1" s="1"/>
  <c r="V364" i="1"/>
  <c r="W364" i="1" s="1"/>
  <c r="Y364" i="1" s="1"/>
  <c r="V362" i="1"/>
  <c r="W362" i="1" s="1"/>
  <c r="Y362" i="1" s="1"/>
  <c r="V358" i="1"/>
  <c r="W358" i="1" s="1"/>
  <c r="Y358" i="1" s="1"/>
  <c r="V354" i="1"/>
  <c r="W354" i="1" s="1"/>
  <c r="Y354" i="1" s="1"/>
  <c r="V352" i="1"/>
  <c r="W352" i="1" s="1"/>
  <c r="Y352" i="1" s="1"/>
  <c r="V350" i="1"/>
  <c r="W350" i="1" s="1"/>
  <c r="Y350" i="1" s="1"/>
  <c r="V348" i="1"/>
  <c r="W348" i="1" s="1"/>
  <c r="Y348" i="1" s="1"/>
  <c r="V346" i="1"/>
  <c r="W346" i="1" s="1"/>
  <c r="Y346" i="1" s="1"/>
  <c r="V342" i="1"/>
  <c r="W342" i="1" s="1"/>
  <c r="Y342" i="1" s="1"/>
  <c r="V340" i="1"/>
  <c r="W340" i="1" s="1"/>
  <c r="Y340" i="1" s="1"/>
  <c r="V338" i="1"/>
  <c r="W338" i="1" s="1"/>
  <c r="Y338" i="1" s="1"/>
  <c r="V336" i="1"/>
  <c r="W336" i="1" s="1"/>
  <c r="Y336" i="1" s="1"/>
  <c r="V334" i="1"/>
  <c r="W334" i="1" s="1"/>
  <c r="Y334" i="1" s="1"/>
  <c r="V332" i="1"/>
  <c r="W332" i="1" s="1"/>
  <c r="Y332" i="1" s="1"/>
  <c r="V330" i="1"/>
  <c r="W330" i="1" s="1"/>
  <c r="Y330" i="1" s="1"/>
  <c r="V328" i="1"/>
  <c r="W328" i="1" s="1"/>
  <c r="Y328" i="1" s="1"/>
  <c r="V326" i="1"/>
  <c r="W326" i="1" s="1"/>
  <c r="Y326" i="1" s="1"/>
  <c r="V324" i="1"/>
  <c r="W324" i="1" s="1"/>
  <c r="Y324" i="1" s="1"/>
  <c r="V322" i="1"/>
  <c r="W322" i="1" s="1"/>
  <c r="Y322" i="1" s="1"/>
  <c r="V320" i="1"/>
  <c r="W320" i="1" s="1"/>
  <c r="Y320" i="1" s="1"/>
  <c r="V318" i="1"/>
  <c r="W318" i="1" s="1"/>
  <c r="Y318" i="1" s="1"/>
  <c r="V316" i="1"/>
  <c r="W316" i="1" s="1"/>
  <c r="Y316" i="1" s="1"/>
  <c r="V314" i="1"/>
  <c r="W314" i="1" s="1"/>
  <c r="Y314" i="1" s="1"/>
  <c r="V312" i="1"/>
  <c r="W312" i="1" s="1"/>
  <c r="Y312" i="1" s="1"/>
  <c r="V310" i="1"/>
  <c r="W310" i="1" s="1"/>
  <c r="Y310" i="1" s="1"/>
  <c r="V308" i="1"/>
  <c r="W308" i="1" s="1"/>
  <c r="Y308" i="1" s="1"/>
  <c r="V304" i="1"/>
  <c r="W304" i="1" s="1"/>
  <c r="Y304" i="1" s="1"/>
  <c r="V302" i="1"/>
  <c r="W302" i="1" s="1"/>
  <c r="Y302" i="1" s="1"/>
  <c r="V300" i="1"/>
  <c r="W300" i="1" s="1"/>
  <c r="Y300" i="1" s="1"/>
  <c r="V298" i="1"/>
  <c r="W298" i="1" s="1"/>
  <c r="Y298" i="1" s="1"/>
  <c r="V296" i="1"/>
  <c r="W296" i="1" s="1"/>
  <c r="Y296" i="1" s="1"/>
  <c r="V294" i="1"/>
  <c r="W294" i="1" s="1"/>
  <c r="Y294" i="1" s="1"/>
  <c r="V292" i="1"/>
  <c r="W292" i="1" s="1"/>
  <c r="Y292" i="1" s="1"/>
  <c r="V290" i="1"/>
  <c r="W290" i="1" s="1"/>
  <c r="Y290" i="1" s="1"/>
  <c r="V288" i="1"/>
  <c r="W288" i="1" s="1"/>
  <c r="Y288" i="1" s="1"/>
  <c r="V286" i="1"/>
  <c r="W286" i="1" s="1"/>
  <c r="Y286" i="1" s="1"/>
  <c r="V284" i="1"/>
  <c r="W284" i="1" s="1"/>
  <c r="Y284" i="1" s="1"/>
  <c r="V282" i="1"/>
  <c r="W282" i="1" s="1"/>
  <c r="Y282" i="1" s="1"/>
  <c r="V280" i="1"/>
  <c r="W280" i="1" s="1"/>
  <c r="Y280" i="1" s="1"/>
  <c r="V278" i="1"/>
  <c r="W278" i="1" s="1"/>
  <c r="Y278" i="1" s="1"/>
  <c r="V276" i="1"/>
  <c r="W276" i="1" s="1"/>
  <c r="Y276" i="1" s="1"/>
  <c r="V274" i="1"/>
  <c r="W274" i="1" s="1"/>
  <c r="Y274" i="1" s="1"/>
  <c r="V272" i="1"/>
  <c r="W272" i="1" s="1"/>
  <c r="Y272" i="1" s="1"/>
  <c r="V270" i="1"/>
  <c r="W270" i="1" s="1"/>
  <c r="Y270" i="1" s="1"/>
  <c r="V268" i="1"/>
  <c r="W268" i="1" s="1"/>
  <c r="Y268" i="1" s="1"/>
  <c r="V266" i="1"/>
  <c r="W266" i="1" s="1"/>
  <c r="Y266" i="1" s="1"/>
  <c r="V264" i="1"/>
  <c r="W264" i="1" s="1"/>
  <c r="Y264" i="1" s="1"/>
  <c r="V262" i="1"/>
  <c r="W262" i="1" s="1"/>
  <c r="Y262" i="1" s="1"/>
  <c r="V260" i="1"/>
  <c r="W260" i="1" s="1"/>
  <c r="Y260" i="1" s="1"/>
  <c r="V258" i="1"/>
  <c r="W258" i="1" s="1"/>
  <c r="Y258" i="1" s="1"/>
  <c r="V256" i="1"/>
  <c r="W256" i="1" s="1"/>
  <c r="Y256" i="1" s="1"/>
  <c r="V252" i="1"/>
  <c r="W252" i="1" s="1"/>
  <c r="Y252" i="1" s="1"/>
  <c r="V250" i="1"/>
  <c r="W250" i="1" s="1"/>
  <c r="Y250" i="1" s="1"/>
  <c r="V248" i="1"/>
  <c r="W248" i="1" s="1"/>
  <c r="Y248" i="1" s="1"/>
  <c r="V246" i="1"/>
  <c r="W246" i="1" s="1"/>
  <c r="Y246" i="1" s="1"/>
  <c r="V244" i="1"/>
  <c r="W244" i="1" s="1"/>
  <c r="Y244" i="1" s="1"/>
  <c r="V242" i="1"/>
  <c r="W242" i="1" s="1"/>
  <c r="Y242" i="1" s="1"/>
  <c r="V240" i="1"/>
  <c r="W240" i="1" s="1"/>
  <c r="Y240" i="1" s="1"/>
  <c r="V238" i="1"/>
  <c r="W238" i="1" s="1"/>
  <c r="Y238" i="1" s="1"/>
  <c r="V236" i="1"/>
  <c r="W236" i="1" s="1"/>
  <c r="Y236" i="1" s="1"/>
  <c r="V232" i="1"/>
  <c r="W232" i="1" s="1"/>
  <c r="Y232" i="1" s="1"/>
  <c r="V230" i="1"/>
  <c r="W230" i="1" s="1"/>
  <c r="Y230" i="1" s="1"/>
  <c r="V226" i="1"/>
  <c r="W226" i="1" s="1"/>
  <c r="Y226" i="1" s="1"/>
  <c r="V224" i="1"/>
  <c r="W224" i="1" s="1"/>
  <c r="Y224" i="1" s="1"/>
  <c r="V222" i="1"/>
  <c r="W222" i="1" s="1"/>
  <c r="Y222" i="1" s="1"/>
  <c r="V220" i="1"/>
  <c r="W220" i="1" s="1"/>
  <c r="Y220" i="1" s="1"/>
  <c r="V218" i="1"/>
  <c r="W218" i="1" s="1"/>
  <c r="Y218" i="1" s="1"/>
  <c r="V216" i="1"/>
  <c r="W216" i="1" s="1"/>
  <c r="Y216" i="1" s="1"/>
  <c r="V214" i="1"/>
  <c r="W214" i="1" s="1"/>
  <c r="Y214" i="1" s="1"/>
  <c r="V210" i="1"/>
  <c r="W210" i="1" s="1"/>
  <c r="Y210" i="1" s="1"/>
  <c r="V208" i="1"/>
  <c r="W208" i="1" s="1"/>
  <c r="Y208" i="1" s="1"/>
  <c r="V206" i="1"/>
  <c r="W206" i="1" s="1"/>
  <c r="Y206" i="1" s="1"/>
  <c r="V204" i="1"/>
  <c r="W204" i="1" s="1"/>
  <c r="Y204" i="1" s="1"/>
  <c r="V202" i="1"/>
  <c r="W202" i="1" s="1"/>
  <c r="Y202" i="1" s="1"/>
  <c r="V200" i="1"/>
  <c r="W200" i="1" s="1"/>
  <c r="Y200" i="1" s="1"/>
  <c r="V198" i="1"/>
  <c r="W198" i="1" s="1"/>
  <c r="Y198" i="1" s="1"/>
  <c r="V196" i="1"/>
  <c r="W196" i="1" s="1"/>
  <c r="Y196" i="1" s="1"/>
  <c r="V194" i="1"/>
  <c r="W194" i="1" s="1"/>
  <c r="Y194" i="1" s="1"/>
  <c r="V192" i="1"/>
  <c r="W192" i="1" s="1"/>
  <c r="Y192" i="1" s="1"/>
  <c r="V190" i="1"/>
  <c r="W190" i="1" s="1"/>
  <c r="Y190" i="1" s="1"/>
  <c r="V188" i="1"/>
  <c r="W188" i="1" s="1"/>
  <c r="Y188" i="1" s="1"/>
  <c r="V186" i="1"/>
  <c r="W186" i="1" s="1"/>
  <c r="Y186" i="1" s="1"/>
  <c r="V184" i="1"/>
  <c r="W184" i="1" s="1"/>
  <c r="Y184" i="1" s="1"/>
  <c r="V182" i="1"/>
  <c r="W182" i="1" s="1"/>
  <c r="Y182" i="1" s="1"/>
  <c r="V180" i="1"/>
  <c r="W180" i="1" s="1"/>
  <c r="Y180" i="1" s="1"/>
  <c r="V178" i="1"/>
  <c r="W178" i="1" s="1"/>
  <c r="Y178" i="1" s="1"/>
  <c r="V176" i="1"/>
  <c r="W176" i="1" s="1"/>
  <c r="Y176" i="1" s="1"/>
  <c r="V174" i="1"/>
  <c r="W174" i="1" s="1"/>
  <c r="Y174" i="1" s="1"/>
  <c r="V170" i="1"/>
  <c r="W170" i="1" s="1"/>
  <c r="Y170" i="1" s="1"/>
  <c r="V166" i="1"/>
  <c r="W166" i="1" s="1"/>
  <c r="Y166" i="1" s="1"/>
  <c r="V164" i="1"/>
  <c r="W164" i="1" s="1"/>
  <c r="Y164" i="1" s="1"/>
  <c r="V162" i="1"/>
  <c r="W162" i="1" s="1"/>
  <c r="Y162" i="1" s="1"/>
  <c r="V160" i="1"/>
  <c r="W160" i="1" s="1"/>
  <c r="Y160" i="1" s="1"/>
  <c r="V158" i="1"/>
  <c r="W158" i="1" s="1"/>
  <c r="Y158" i="1" s="1"/>
  <c r="V156" i="1"/>
  <c r="W156" i="1" s="1"/>
  <c r="Y156" i="1" s="1"/>
  <c r="V154" i="1"/>
  <c r="W154" i="1" s="1"/>
  <c r="Y154" i="1" s="1"/>
  <c r="V152" i="1"/>
  <c r="W152" i="1" s="1"/>
  <c r="Y152" i="1" s="1"/>
  <c r="V150" i="1"/>
  <c r="W150" i="1" s="1"/>
  <c r="Y150" i="1" s="1"/>
  <c r="V148" i="1"/>
  <c r="W148" i="1" s="1"/>
  <c r="Y148" i="1" s="1"/>
  <c r="V146" i="1"/>
  <c r="W146" i="1" s="1"/>
  <c r="Y146" i="1" s="1"/>
  <c r="V144" i="1"/>
  <c r="W144" i="1" s="1"/>
  <c r="Y144" i="1" s="1"/>
  <c r="V142" i="1"/>
  <c r="W142" i="1" s="1"/>
  <c r="Y142" i="1" s="1"/>
  <c r="V140" i="1"/>
  <c r="W140" i="1" s="1"/>
  <c r="Y140" i="1" s="1"/>
  <c r="V138" i="1"/>
  <c r="W138" i="1" s="1"/>
  <c r="Y138" i="1" s="1"/>
  <c r="V136" i="1"/>
  <c r="W136" i="1" s="1"/>
  <c r="Y136" i="1" s="1"/>
  <c r="V134" i="1"/>
  <c r="W134" i="1" s="1"/>
  <c r="Y134" i="1" s="1"/>
  <c r="V132" i="1"/>
  <c r="W132" i="1" s="1"/>
  <c r="Y132" i="1" s="1"/>
  <c r="V130" i="1"/>
  <c r="W130" i="1" s="1"/>
  <c r="Y130" i="1" s="1"/>
  <c r="V128" i="1"/>
  <c r="W128" i="1" s="1"/>
  <c r="Y128" i="1" s="1"/>
  <c r="V126" i="1"/>
  <c r="W126" i="1" s="1"/>
  <c r="Y126" i="1" s="1"/>
  <c r="V124" i="1"/>
  <c r="W124" i="1" s="1"/>
  <c r="Y124" i="1" s="1"/>
  <c r="V122" i="1"/>
  <c r="W122" i="1" s="1"/>
  <c r="Y122" i="1" s="1"/>
  <c r="V120" i="1"/>
  <c r="W120" i="1" s="1"/>
  <c r="Y120" i="1" s="1"/>
  <c r="V118" i="1"/>
  <c r="W118" i="1" s="1"/>
  <c r="Y118" i="1" s="1"/>
  <c r="V114" i="1"/>
  <c r="W114" i="1" s="1"/>
  <c r="Y114" i="1" s="1"/>
  <c r="V112" i="1"/>
  <c r="W112" i="1" s="1"/>
  <c r="Y112" i="1" s="1"/>
  <c r="V110" i="1"/>
  <c r="W110" i="1" s="1"/>
  <c r="Y110" i="1" s="1"/>
  <c r="V108" i="1"/>
  <c r="W108" i="1" s="1"/>
  <c r="Y108" i="1" s="1"/>
  <c r="V106" i="1"/>
  <c r="W106" i="1" s="1"/>
  <c r="Y106" i="1" s="1"/>
  <c r="V104" i="1"/>
  <c r="W104" i="1" s="1"/>
  <c r="Y104" i="1" s="1"/>
  <c r="V102" i="1"/>
  <c r="W102" i="1" s="1"/>
  <c r="Y102" i="1" s="1"/>
  <c r="V100" i="1"/>
  <c r="W100" i="1" s="1"/>
  <c r="Y100" i="1" s="1"/>
  <c r="V96" i="1"/>
  <c r="W96" i="1" s="1"/>
  <c r="Y96" i="1" s="1"/>
  <c r="V92" i="1"/>
  <c r="W92" i="1" s="1"/>
  <c r="Y92" i="1" s="1"/>
  <c r="V90" i="1"/>
  <c r="W90" i="1" s="1"/>
  <c r="Y90" i="1" s="1"/>
  <c r="V88" i="1"/>
  <c r="W88" i="1" s="1"/>
  <c r="Y88" i="1" s="1"/>
  <c r="V86" i="1"/>
  <c r="W86" i="1" s="1"/>
  <c r="Y86" i="1" s="1"/>
  <c r="V84" i="1"/>
  <c r="W84" i="1" s="1"/>
  <c r="Y84" i="1" s="1"/>
  <c r="V82" i="1"/>
  <c r="W82" i="1" s="1"/>
  <c r="Y82" i="1" s="1"/>
  <c r="V80" i="1"/>
  <c r="W80" i="1" s="1"/>
  <c r="Y80" i="1" s="1"/>
  <c r="V78" i="1"/>
  <c r="W78" i="1" s="1"/>
  <c r="Y78" i="1" s="1"/>
  <c r="V76" i="1"/>
  <c r="W76" i="1" s="1"/>
  <c r="Y76" i="1" s="1"/>
  <c r="V74" i="1"/>
  <c r="W74" i="1" s="1"/>
  <c r="Y74" i="1" s="1"/>
  <c r="V72" i="1"/>
  <c r="W72" i="1" s="1"/>
  <c r="Y72" i="1" s="1"/>
  <c r="V70" i="1"/>
  <c r="W70" i="1" s="1"/>
  <c r="Y70" i="1" s="1"/>
  <c r="V68" i="1"/>
  <c r="W68" i="1" s="1"/>
  <c r="Y68" i="1" s="1"/>
  <c r="V66" i="1"/>
  <c r="W66" i="1" s="1"/>
  <c r="Y66" i="1" s="1"/>
  <c r="V64" i="1"/>
  <c r="W64" i="1" s="1"/>
  <c r="Y64" i="1" s="1"/>
  <c r="V62" i="1"/>
  <c r="W62" i="1" s="1"/>
  <c r="Y62" i="1" s="1"/>
  <c r="V60" i="1"/>
  <c r="W60" i="1" s="1"/>
  <c r="Y60" i="1" s="1"/>
  <c r="V58" i="1"/>
  <c r="W58" i="1" s="1"/>
  <c r="Y58" i="1" s="1"/>
  <c r="V56" i="1"/>
  <c r="W56" i="1" s="1"/>
  <c r="Y56" i="1" s="1"/>
  <c r="V54" i="1"/>
  <c r="W54" i="1" s="1"/>
  <c r="Y54" i="1" s="1"/>
  <c r="V52" i="1"/>
  <c r="W52" i="1" s="1"/>
  <c r="Y52" i="1" s="1"/>
  <c r="V51" i="1"/>
  <c r="W51" i="1" s="1"/>
  <c r="Y51" i="1" s="1"/>
  <c r="V49" i="1"/>
  <c r="W49" i="1" s="1"/>
  <c r="Y49" i="1" s="1"/>
  <c r="V571" i="1"/>
  <c r="W571" i="1" s="1"/>
  <c r="Y571" i="1" s="1"/>
  <c r="V46" i="1"/>
  <c r="W46" i="1" s="1"/>
  <c r="Y46" i="1" s="1"/>
  <c r="V44" i="1"/>
  <c r="W44" i="1" s="1"/>
  <c r="Y44" i="1" s="1"/>
  <c r="V40" i="1"/>
  <c r="W40" i="1" s="1"/>
  <c r="Y40" i="1" s="1"/>
  <c r="V38" i="1"/>
  <c r="W38" i="1" s="1"/>
  <c r="Y38" i="1" s="1"/>
  <c r="V36" i="1"/>
  <c r="W36" i="1" s="1"/>
  <c r="Y36" i="1" s="1"/>
  <c r="V34" i="1"/>
  <c r="W34" i="1" s="1"/>
  <c r="Y34" i="1" s="1"/>
  <c r="V32" i="1"/>
  <c r="W32" i="1" s="1"/>
  <c r="Y32" i="1" s="1"/>
  <c r="V560" i="1"/>
  <c r="W560" i="1" s="1"/>
  <c r="Y560" i="1" s="1"/>
  <c r="V29" i="1"/>
  <c r="W29" i="1" s="1"/>
  <c r="Y29" i="1" s="1"/>
  <c r="V27" i="1"/>
  <c r="W27" i="1" s="1"/>
  <c r="Y27" i="1" s="1"/>
  <c r="V25" i="1"/>
  <c r="W25" i="1" s="1"/>
  <c r="Y25" i="1" s="1"/>
  <c r="V534" i="1"/>
  <c r="W534" i="1" s="1"/>
  <c r="Y534" i="1" s="1"/>
  <c r="V22" i="1"/>
  <c r="W22" i="1" s="1"/>
  <c r="Y22" i="1" s="1"/>
  <c r="V20" i="1"/>
  <c r="W20" i="1" s="1"/>
  <c r="Y20" i="1" s="1"/>
  <c r="V18" i="1"/>
  <c r="W18" i="1" s="1"/>
  <c r="Y18" i="1" s="1"/>
  <c r="V16" i="1"/>
  <c r="W16" i="1" s="1"/>
  <c r="Y16" i="1" s="1"/>
  <c r="V15" i="1"/>
  <c r="W15" i="1" s="1"/>
  <c r="Y15" i="1" s="1"/>
  <c r="V13" i="1"/>
  <c r="W13" i="1" s="1"/>
  <c r="Y13" i="1" s="1"/>
  <c r="V11" i="1"/>
  <c r="W11" i="1" s="1"/>
  <c r="Y11" i="1" s="1"/>
  <c r="V10" i="1"/>
  <c r="W10" i="1" s="1"/>
  <c r="Y10" i="1" s="1"/>
  <c r="V8" i="1"/>
  <c r="W8" i="1" s="1"/>
  <c r="Y8" i="1" s="1"/>
  <c r="V6" i="1"/>
  <c r="W6" i="1" s="1"/>
  <c r="Y6" i="1" s="1"/>
  <c r="V998" i="1"/>
  <c r="W998" i="1" s="1"/>
  <c r="Y998" i="1" s="1"/>
  <c r="V957" i="1"/>
  <c r="W957" i="1" s="1"/>
  <c r="Y957" i="1" s="1"/>
  <c r="V931" i="1"/>
  <c r="W931" i="1" s="1"/>
  <c r="Y931" i="1" s="1"/>
  <c r="V923" i="1"/>
  <c r="W923" i="1" s="1"/>
  <c r="Y923" i="1" s="1"/>
  <c r="V907" i="1"/>
  <c r="W907" i="1" s="1"/>
  <c r="Y907" i="1" s="1"/>
  <c r="V870" i="1"/>
  <c r="W870" i="1" s="1"/>
  <c r="Y870" i="1" s="1"/>
  <c r="V862" i="1"/>
  <c r="W862" i="1" s="1"/>
  <c r="Y862" i="1" s="1"/>
  <c r="V860" i="1"/>
  <c r="W860" i="1" s="1"/>
  <c r="Y860" i="1" s="1"/>
  <c r="V829" i="1"/>
  <c r="W829" i="1" s="1"/>
  <c r="Y829" i="1" s="1"/>
  <c r="V827" i="1"/>
  <c r="W827" i="1" s="1"/>
  <c r="Y827" i="1" s="1"/>
  <c r="V818" i="1"/>
  <c r="W818" i="1" s="1"/>
  <c r="Y818" i="1" s="1"/>
  <c r="V771" i="1"/>
  <c r="W771" i="1" s="1"/>
  <c r="Y771" i="1" s="1"/>
  <c r="V745" i="1"/>
  <c r="W745" i="1" s="1"/>
  <c r="Y745" i="1" s="1"/>
  <c r="V733" i="1"/>
  <c r="W733" i="1" s="1"/>
  <c r="Y733" i="1" s="1"/>
  <c r="V708" i="1"/>
  <c r="W708" i="1" s="1"/>
  <c r="Y708" i="1" s="1"/>
  <c r="V946" i="1"/>
  <c r="W946" i="1" s="1"/>
  <c r="Y946" i="1" s="1"/>
  <c r="V654" i="1"/>
  <c r="W654" i="1" s="1"/>
  <c r="Y654" i="1" s="1"/>
  <c r="V642" i="1"/>
  <c r="W642" i="1" s="1"/>
  <c r="Y642" i="1" s="1"/>
  <c r="V637" i="1"/>
  <c r="W637" i="1" s="1"/>
  <c r="Y637" i="1" s="1"/>
  <c r="V608" i="1"/>
  <c r="W608" i="1" s="1"/>
  <c r="Y608" i="1" s="1"/>
  <c r="V573" i="1"/>
  <c r="W573" i="1" s="1"/>
  <c r="Y573" i="1" s="1"/>
  <c r="V558" i="1"/>
  <c r="W558" i="1" s="1"/>
  <c r="Y558" i="1" s="1"/>
  <c r="V515" i="1"/>
  <c r="W515" i="1" s="1"/>
  <c r="Y515" i="1" s="1"/>
  <c r="V492" i="1"/>
  <c r="W492" i="1" s="1"/>
  <c r="Y492" i="1" s="1"/>
  <c r="V490" i="1"/>
  <c r="W490" i="1" s="1"/>
  <c r="Y490" i="1" s="1"/>
  <c r="V487" i="1"/>
  <c r="W487" i="1" s="1"/>
  <c r="Y487" i="1" s="1"/>
  <c r="V464" i="1"/>
  <c r="W464" i="1" s="1"/>
  <c r="Y464" i="1" s="1"/>
  <c r="V416" i="1"/>
  <c r="W416" i="1" s="1"/>
  <c r="Y416" i="1" s="1"/>
  <c r="V395" i="1"/>
  <c r="W395" i="1" s="1"/>
  <c r="Y395" i="1" s="1"/>
  <c r="V387" i="1"/>
  <c r="W387" i="1" s="1"/>
  <c r="Y387" i="1" s="1"/>
  <c r="V380" i="1"/>
  <c r="W380" i="1" s="1"/>
  <c r="Y380" i="1" s="1"/>
  <c r="V360" i="1"/>
  <c r="W360" i="1" s="1"/>
  <c r="Y360" i="1" s="1"/>
  <c r="V355" i="1"/>
  <c r="W355" i="1" s="1"/>
  <c r="Y355" i="1" s="1"/>
  <c r="V343" i="1"/>
  <c r="W343" i="1" s="1"/>
  <c r="Y343" i="1" s="1"/>
  <c r="V306" i="1"/>
  <c r="W306" i="1" s="1"/>
  <c r="Y306" i="1" s="1"/>
  <c r="V254" i="1"/>
  <c r="W254" i="1" s="1"/>
  <c r="Y254" i="1" s="1"/>
  <c r="V233" i="1"/>
  <c r="W233" i="1" s="1"/>
  <c r="Y233" i="1" s="1"/>
  <c r="V227" i="1"/>
  <c r="W227" i="1" s="1"/>
  <c r="Y227" i="1" s="1"/>
  <c r="V212" i="1"/>
  <c r="W212" i="1" s="1"/>
  <c r="Y212" i="1" s="1"/>
  <c r="V171" i="1"/>
  <c r="W171" i="1" s="1"/>
  <c r="Y171" i="1" s="1"/>
  <c r="V168" i="1"/>
  <c r="W168" i="1" s="1"/>
  <c r="Y168" i="1" s="1"/>
  <c r="V116" i="1"/>
  <c r="W116" i="1" s="1"/>
  <c r="Y116" i="1" s="1"/>
  <c r="V98" i="1"/>
  <c r="W98" i="1" s="1"/>
  <c r="Y98" i="1" s="1"/>
  <c r="V93" i="1"/>
  <c r="W93" i="1" s="1"/>
  <c r="Y93" i="1" s="1"/>
  <c r="V874" i="1"/>
  <c r="W874" i="1" s="1"/>
  <c r="Y874" i="1" s="1"/>
  <c r="W1043" i="1"/>
  <c r="Y1043" i="1" s="1"/>
  <c r="W1041" i="1"/>
  <c r="Y1041" i="1" s="1"/>
  <c r="W1039" i="1"/>
  <c r="Y1039" i="1" s="1"/>
  <c r="W1037" i="1"/>
  <c r="Y1037" i="1" s="1"/>
  <c r="W1035" i="1"/>
  <c r="Y1035" i="1" s="1"/>
  <c r="W1033" i="1"/>
  <c r="Y1033" i="1" s="1"/>
  <c r="W1031" i="1"/>
  <c r="Y1031" i="1" s="1"/>
  <c r="W1029" i="1"/>
  <c r="Y1029" i="1" s="1"/>
  <c r="W1027" i="1"/>
  <c r="Y1027" i="1" s="1"/>
  <c r="W1025" i="1"/>
  <c r="Y1025" i="1" s="1"/>
  <c r="W1023" i="1"/>
  <c r="Y1023" i="1" s="1"/>
  <c r="W1021" i="1"/>
  <c r="Y1021" i="1" s="1"/>
  <c r="W1019" i="1"/>
  <c r="Y1019" i="1" s="1"/>
  <c r="W1017" i="1"/>
  <c r="Y1017" i="1" s="1"/>
  <c r="W1015" i="1"/>
  <c r="Y1015" i="1" s="1"/>
  <c r="W1013" i="1"/>
  <c r="Y1013" i="1" s="1"/>
  <c r="W1011" i="1"/>
  <c r="Y1011" i="1" s="1"/>
  <c r="W1009" i="1"/>
  <c r="Y1009" i="1" s="1"/>
  <c r="W1007" i="1"/>
  <c r="Y1007" i="1" s="1"/>
  <c r="W1004" i="1"/>
  <c r="Y1004" i="1" s="1"/>
  <c r="W1002" i="1"/>
  <c r="Y1002" i="1" s="1"/>
  <c r="W1000" i="1"/>
  <c r="Y1000" i="1" s="1"/>
  <c r="W996" i="1"/>
  <c r="Y996" i="1" s="1"/>
  <c r="W994" i="1"/>
  <c r="Y994" i="1" s="1"/>
  <c r="W992" i="1"/>
  <c r="Y992" i="1" s="1"/>
  <c r="W989" i="1"/>
  <c r="Y989" i="1" s="1"/>
  <c r="W987" i="1"/>
  <c r="Y987" i="1" s="1"/>
  <c r="W985" i="1"/>
  <c r="Y985" i="1" s="1"/>
  <c r="W983" i="1"/>
  <c r="Y983" i="1" s="1"/>
  <c r="W981" i="1"/>
  <c r="Y981" i="1" s="1"/>
  <c r="W979" i="1"/>
  <c r="Y979" i="1" s="1"/>
  <c r="W977" i="1"/>
  <c r="Y977" i="1" s="1"/>
  <c r="W975" i="1"/>
  <c r="Y975" i="1" s="1"/>
  <c r="W973" i="1"/>
  <c r="Y973" i="1" s="1"/>
  <c r="W971" i="1"/>
  <c r="Y971" i="1" s="1"/>
  <c r="W969" i="1"/>
  <c r="Y969" i="1" s="1"/>
  <c r="W967" i="1"/>
  <c r="Y967" i="1" s="1"/>
  <c r="W965" i="1"/>
  <c r="Y965" i="1" s="1"/>
  <c r="W963" i="1"/>
  <c r="Y963" i="1" s="1"/>
  <c r="W961" i="1"/>
  <c r="Y961" i="1" s="1"/>
  <c r="W959" i="1"/>
  <c r="Y959" i="1" s="1"/>
  <c r="W955" i="1"/>
  <c r="Y955" i="1" s="1"/>
  <c r="W953" i="1"/>
  <c r="Y953" i="1" s="1"/>
  <c r="W951" i="1"/>
  <c r="Y951" i="1" s="1"/>
  <c r="W949" i="1"/>
  <c r="Y949" i="1" s="1"/>
  <c r="W947" i="1"/>
  <c r="Y947" i="1" s="1"/>
  <c r="W943" i="1"/>
  <c r="Y943" i="1" s="1"/>
  <c r="W941" i="1"/>
  <c r="Y941" i="1" s="1"/>
  <c r="W939" i="1"/>
  <c r="Y939" i="1" s="1"/>
  <c r="W937" i="1"/>
  <c r="Y937" i="1" s="1"/>
  <c r="W935" i="1"/>
  <c r="Y935" i="1" s="1"/>
  <c r="W933" i="1"/>
  <c r="Y933" i="1" s="1"/>
  <c r="W929" i="1"/>
  <c r="Y929" i="1" s="1"/>
  <c r="W927" i="1"/>
  <c r="Y927" i="1" s="1"/>
  <c r="W925" i="1"/>
  <c r="Y925" i="1" s="1"/>
  <c r="W921" i="1"/>
  <c r="Y921" i="1" s="1"/>
  <c r="W919" i="1"/>
  <c r="Y919" i="1" s="1"/>
  <c r="W917" i="1"/>
  <c r="Y917" i="1" s="1"/>
  <c r="W915" i="1"/>
  <c r="Y915" i="1" s="1"/>
  <c r="W912" i="1"/>
  <c r="Y912" i="1" s="1"/>
  <c r="W909" i="1"/>
  <c r="Y909" i="1" s="1"/>
  <c r="W905" i="1"/>
  <c r="Y905" i="1" s="1"/>
  <c r="W903" i="1"/>
  <c r="Y903" i="1" s="1"/>
  <c r="W901" i="1"/>
  <c r="Y901" i="1" s="1"/>
  <c r="W899" i="1"/>
  <c r="Y899" i="1" s="1"/>
  <c r="W897" i="1"/>
  <c r="Y897" i="1" s="1"/>
  <c r="W895" i="1"/>
  <c r="Y895" i="1" s="1"/>
  <c r="W893" i="1"/>
  <c r="Y893" i="1" s="1"/>
  <c r="W891" i="1"/>
  <c r="Y891" i="1" s="1"/>
  <c r="W889" i="1"/>
  <c r="Y889" i="1" s="1"/>
  <c r="W887" i="1"/>
  <c r="Y887" i="1" s="1"/>
  <c r="W885" i="1"/>
  <c r="Y885" i="1" s="1"/>
  <c r="W42" i="1"/>
  <c r="Y42" i="1" s="1"/>
  <c r="V883" i="1"/>
  <c r="W883" i="1" s="1"/>
  <c r="Y883" i="1" s="1"/>
  <c r="V880" i="1"/>
  <c r="W880" i="1" s="1"/>
  <c r="Y880" i="1" s="1"/>
  <c r="V878" i="1"/>
  <c r="W878" i="1" s="1"/>
  <c r="Y878" i="1" s="1"/>
  <c r="V876" i="1"/>
  <c r="W876" i="1" s="1"/>
  <c r="Y876" i="1" s="1"/>
  <c r="V869" i="1"/>
  <c r="W869" i="1" s="1"/>
  <c r="Y869" i="1" s="1"/>
  <c r="V867" i="1"/>
  <c r="W867" i="1" s="1"/>
  <c r="Y867" i="1" s="1"/>
  <c r="V865" i="1"/>
  <c r="W865" i="1" s="1"/>
  <c r="Y865" i="1" s="1"/>
  <c r="V859" i="1"/>
  <c r="W859" i="1" s="1"/>
  <c r="Y859" i="1" s="1"/>
  <c r="V857" i="1"/>
  <c r="W857" i="1" s="1"/>
  <c r="Y857" i="1" s="1"/>
  <c r="V855" i="1"/>
  <c r="W855" i="1" s="1"/>
  <c r="Y855" i="1" s="1"/>
  <c r="V853" i="1"/>
  <c r="W853" i="1" s="1"/>
  <c r="Y853" i="1" s="1"/>
  <c r="V851" i="1"/>
  <c r="W851" i="1" s="1"/>
  <c r="Y851" i="1" s="1"/>
  <c r="V849" i="1"/>
  <c r="W849" i="1" s="1"/>
  <c r="Y849" i="1" s="1"/>
  <c r="V847" i="1"/>
  <c r="W847" i="1" s="1"/>
  <c r="Y847" i="1" s="1"/>
  <c r="V845" i="1"/>
  <c r="W845" i="1" s="1"/>
  <c r="Y845" i="1" s="1"/>
  <c r="V843" i="1"/>
  <c r="W843" i="1" s="1"/>
  <c r="Y843" i="1" s="1"/>
  <c r="V841" i="1"/>
  <c r="W841" i="1" s="1"/>
  <c r="Y841" i="1" s="1"/>
  <c r="V838" i="1"/>
  <c r="W838" i="1" s="1"/>
  <c r="Y838" i="1" s="1"/>
  <c r="V836" i="1"/>
  <c r="W836" i="1" s="1"/>
  <c r="Y836" i="1" s="1"/>
  <c r="V834" i="1"/>
  <c r="W834" i="1" s="1"/>
  <c r="Y834" i="1" s="1"/>
  <c r="V832" i="1"/>
  <c r="W832" i="1" s="1"/>
  <c r="Y832" i="1" s="1"/>
  <c r="V826" i="1"/>
  <c r="W826" i="1" s="1"/>
  <c r="Y826" i="1" s="1"/>
  <c r="V824" i="1"/>
  <c r="W824" i="1" s="1"/>
  <c r="Y824" i="1" s="1"/>
  <c r="V822" i="1"/>
  <c r="W822" i="1" s="1"/>
  <c r="Y822" i="1" s="1"/>
  <c r="V820" i="1"/>
  <c r="W820" i="1" s="1"/>
  <c r="Y820" i="1" s="1"/>
  <c r="V816" i="1"/>
  <c r="W816" i="1" s="1"/>
  <c r="Y816" i="1" s="1"/>
  <c r="V814" i="1"/>
  <c r="W814" i="1" s="1"/>
  <c r="Y814" i="1" s="1"/>
  <c r="V811" i="1"/>
  <c r="W811" i="1" s="1"/>
  <c r="Y811" i="1" s="1"/>
  <c r="V809" i="1"/>
  <c r="W809" i="1" s="1"/>
  <c r="Y809" i="1" s="1"/>
  <c r="V807" i="1"/>
  <c r="W807" i="1" s="1"/>
  <c r="Y807" i="1" s="1"/>
  <c r="V805" i="1"/>
  <c r="W805" i="1" s="1"/>
  <c r="Y805" i="1" s="1"/>
  <c r="V803" i="1"/>
  <c r="W803" i="1" s="1"/>
  <c r="Y803" i="1" s="1"/>
  <c r="V801" i="1"/>
  <c r="W801" i="1" s="1"/>
  <c r="Y801" i="1" s="1"/>
  <c r="V799" i="1"/>
  <c r="W799" i="1" s="1"/>
  <c r="Y799" i="1" s="1"/>
  <c r="V797" i="1"/>
  <c r="W797" i="1" s="1"/>
  <c r="Y797" i="1" s="1"/>
  <c r="V795" i="1"/>
  <c r="W795" i="1" s="1"/>
  <c r="Y795" i="1" s="1"/>
  <c r="V792" i="1"/>
  <c r="W792" i="1" s="1"/>
  <c r="Y792" i="1" s="1"/>
  <c r="V790" i="1"/>
  <c r="W790" i="1" s="1"/>
  <c r="Y790" i="1" s="1"/>
  <c r="V788" i="1"/>
  <c r="W788" i="1" s="1"/>
  <c r="Y788" i="1" s="1"/>
  <c r="V786" i="1"/>
  <c r="W786" i="1" s="1"/>
  <c r="Y786" i="1" s="1"/>
  <c r="V784" i="1"/>
  <c r="W784" i="1" s="1"/>
  <c r="Y784" i="1" s="1"/>
  <c r="V782" i="1"/>
  <c r="W782" i="1" s="1"/>
  <c r="Y782" i="1" s="1"/>
  <c r="V780" i="1"/>
  <c r="W780" i="1" s="1"/>
  <c r="Y780" i="1" s="1"/>
  <c r="V778" i="1"/>
  <c r="W778" i="1" s="1"/>
  <c r="Y778" i="1" s="1"/>
  <c r="V776" i="1"/>
  <c r="W776" i="1" s="1"/>
  <c r="Y776" i="1" s="1"/>
  <c r="V774" i="1"/>
  <c r="W774" i="1" s="1"/>
  <c r="Y774" i="1" s="1"/>
  <c r="V770" i="1"/>
  <c r="W770" i="1" s="1"/>
  <c r="Y770" i="1" s="1"/>
  <c r="V768" i="1"/>
  <c r="W768" i="1" s="1"/>
  <c r="Y768" i="1" s="1"/>
  <c r="V766" i="1"/>
  <c r="W766" i="1" s="1"/>
  <c r="Y766" i="1" s="1"/>
  <c r="V764" i="1"/>
  <c r="W764" i="1" s="1"/>
  <c r="Y764" i="1" s="1"/>
  <c r="V761" i="1"/>
  <c r="W761" i="1" s="1"/>
  <c r="Y761" i="1" s="1"/>
  <c r="V759" i="1"/>
  <c r="W759" i="1" s="1"/>
  <c r="Y759" i="1" s="1"/>
  <c r="V757" i="1"/>
  <c r="W757" i="1" s="1"/>
  <c r="Y757" i="1" s="1"/>
  <c r="V755" i="1"/>
  <c r="W755" i="1" s="1"/>
  <c r="Y755" i="1" s="1"/>
  <c r="V753" i="1"/>
  <c r="W753" i="1" s="1"/>
  <c r="Y753" i="1" s="1"/>
  <c r="V751" i="1"/>
  <c r="W751" i="1" s="1"/>
  <c r="Y751" i="1" s="1"/>
  <c r="V748" i="1"/>
  <c r="W748" i="1" s="1"/>
  <c r="Y748" i="1" s="1"/>
  <c r="V743" i="1"/>
  <c r="W743" i="1" s="1"/>
  <c r="Y743" i="1" s="1"/>
  <c r="V741" i="1"/>
  <c r="W741" i="1" s="1"/>
  <c r="Y741" i="1" s="1"/>
  <c r="V739" i="1"/>
  <c r="W739" i="1" s="1"/>
  <c r="Y739" i="1" s="1"/>
  <c r="V737" i="1"/>
  <c r="W737" i="1" s="1"/>
  <c r="Y737" i="1" s="1"/>
  <c r="V735" i="1"/>
  <c r="W735" i="1" s="1"/>
  <c r="Y735" i="1" s="1"/>
  <c r="V1006" i="1"/>
  <c r="W1006" i="1" s="1"/>
  <c r="Y1006" i="1" s="1"/>
  <c r="V730" i="1"/>
  <c r="W730" i="1" s="1"/>
  <c r="Y730" i="1" s="1"/>
  <c r="V728" i="1"/>
  <c r="W728" i="1" s="1"/>
  <c r="Y728" i="1" s="1"/>
  <c r="V726" i="1"/>
  <c r="W726" i="1" s="1"/>
  <c r="Y726" i="1" s="1"/>
  <c r="V724" i="1"/>
  <c r="W724" i="1" s="1"/>
  <c r="Y724" i="1" s="1"/>
  <c r="V723" i="1"/>
  <c r="W723" i="1" s="1"/>
  <c r="Y723" i="1" s="1"/>
  <c r="V721" i="1"/>
  <c r="W721" i="1" s="1"/>
  <c r="Y721" i="1" s="1"/>
  <c r="V719" i="1"/>
  <c r="W719" i="1" s="1"/>
  <c r="Y719" i="1" s="1"/>
  <c r="V717" i="1"/>
  <c r="W717" i="1" s="1"/>
  <c r="Y717" i="1" s="1"/>
  <c r="V715" i="1"/>
  <c r="W715" i="1" s="1"/>
  <c r="Y715" i="1" s="1"/>
  <c r="V713" i="1"/>
  <c r="W713" i="1" s="1"/>
  <c r="Y713" i="1" s="1"/>
  <c r="V711" i="1"/>
  <c r="W711" i="1" s="1"/>
  <c r="Y711" i="1" s="1"/>
  <c r="V709" i="1"/>
  <c r="W709" i="1" s="1"/>
  <c r="Y709" i="1" s="1"/>
  <c r="V705" i="1"/>
  <c r="W705" i="1" s="1"/>
  <c r="Y705" i="1" s="1"/>
  <c r="V703" i="1"/>
  <c r="W703" i="1" s="1"/>
  <c r="Y703" i="1" s="1"/>
  <c r="V701" i="1"/>
  <c r="W701" i="1" s="1"/>
  <c r="Y701" i="1" s="1"/>
  <c r="V699" i="1"/>
  <c r="W699" i="1" s="1"/>
  <c r="Y699" i="1" s="1"/>
  <c r="V697" i="1"/>
  <c r="W697" i="1" s="1"/>
  <c r="Y697" i="1" s="1"/>
  <c r="V695" i="1"/>
  <c r="W695" i="1" s="1"/>
  <c r="Y695" i="1" s="1"/>
  <c r="V693" i="1"/>
  <c r="W693" i="1" s="1"/>
  <c r="Y693" i="1" s="1"/>
  <c r="V691" i="1"/>
  <c r="W691" i="1" s="1"/>
  <c r="Y691" i="1" s="1"/>
  <c r="V689" i="1"/>
  <c r="W689" i="1" s="1"/>
  <c r="Y689" i="1" s="1"/>
  <c r="V687" i="1"/>
  <c r="W687" i="1" s="1"/>
  <c r="Y687" i="1" s="1"/>
  <c r="V685" i="1"/>
  <c r="W685" i="1" s="1"/>
  <c r="Y685" i="1" s="1"/>
  <c r="V683" i="1"/>
  <c r="W683" i="1" s="1"/>
  <c r="Y683" i="1" s="1"/>
  <c r="V681" i="1"/>
  <c r="W681" i="1" s="1"/>
  <c r="Y681" i="1" s="1"/>
  <c r="V679" i="1"/>
  <c r="W679" i="1" s="1"/>
  <c r="Y679" i="1" s="1"/>
  <c r="V677" i="1"/>
  <c r="W677" i="1" s="1"/>
  <c r="Y677" i="1" s="1"/>
  <c r="V914" i="1"/>
  <c r="W914" i="1" s="1"/>
  <c r="Y914" i="1" s="1"/>
  <c r="V674" i="1"/>
  <c r="W674" i="1" s="1"/>
  <c r="Y674" i="1" s="1"/>
  <c r="V672" i="1"/>
  <c r="W672" i="1" s="1"/>
  <c r="Y672" i="1" s="1"/>
  <c r="V670" i="1"/>
  <c r="W670" i="1" s="1"/>
  <c r="Y670" i="1" s="1"/>
  <c r="V911" i="1"/>
  <c r="W911" i="1" s="1"/>
  <c r="Y911" i="1" s="1"/>
  <c r="V667" i="1"/>
  <c r="W667" i="1" s="1"/>
  <c r="Y667" i="1" s="1"/>
  <c r="V665" i="1"/>
  <c r="W665" i="1" s="1"/>
  <c r="Y665" i="1" s="1"/>
  <c r="V663" i="1"/>
  <c r="W663" i="1" s="1"/>
  <c r="Y663" i="1" s="1"/>
  <c r="V661" i="1"/>
  <c r="W661" i="1" s="1"/>
  <c r="Y661" i="1" s="1"/>
  <c r="V659" i="1"/>
  <c r="W659" i="1" s="1"/>
  <c r="Y659" i="1" s="1"/>
  <c r="V657" i="1"/>
  <c r="W657" i="1" s="1"/>
  <c r="Y657" i="1" s="1"/>
  <c r="V655" i="1"/>
  <c r="W655" i="1" s="1"/>
  <c r="Y655" i="1" s="1"/>
  <c r="V651" i="1"/>
  <c r="W651" i="1" s="1"/>
  <c r="Y651" i="1" s="1"/>
  <c r="V649" i="1"/>
  <c r="W649" i="1" s="1"/>
  <c r="Y649" i="1" s="1"/>
  <c r="V647" i="1"/>
  <c r="W647" i="1" s="1"/>
  <c r="Y647" i="1" s="1"/>
  <c r="V645" i="1"/>
  <c r="W645" i="1" s="1"/>
  <c r="Y645" i="1" s="1"/>
  <c r="V643" i="1"/>
  <c r="W643" i="1" s="1"/>
  <c r="Y643" i="1" s="1"/>
  <c r="V639" i="1"/>
  <c r="W639" i="1" s="1"/>
  <c r="Y639" i="1" s="1"/>
  <c r="V635" i="1"/>
  <c r="W635" i="1" s="1"/>
  <c r="Y635" i="1" s="1"/>
  <c r="V633" i="1"/>
  <c r="W633" i="1" s="1"/>
  <c r="Y633" i="1" s="1"/>
  <c r="V631" i="1"/>
  <c r="W631" i="1" s="1"/>
  <c r="Y631" i="1" s="1"/>
  <c r="V629" i="1"/>
  <c r="W629" i="1" s="1"/>
  <c r="Y629" i="1" s="1"/>
  <c r="V627" i="1"/>
  <c r="W627" i="1" s="1"/>
  <c r="Y627" i="1" s="1"/>
  <c r="V625" i="1"/>
  <c r="W625" i="1" s="1"/>
  <c r="Y625" i="1" s="1"/>
  <c r="V623" i="1"/>
  <c r="W623" i="1" s="1"/>
  <c r="Y623" i="1" s="1"/>
  <c r="V621" i="1"/>
  <c r="W621" i="1" s="1"/>
  <c r="Y621" i="1" s="1"/>
  <c r="V619" i="1"/>
  <c r="W619" i="1" s="1"/>
  <c r="Y619" i="1" s="1"/>
  <c r="V617" i="1"/>
  <c r="W617" i="1" s="1"/>
  <c r="Y617" i="1" s="1"/>
  <c r="V881" i="1"/>
  <c r="W881" i="1" s="1"/>
  <c r="Y881" i="1" s="1"/>
  <c r="V614" i="1"/>
  <c r="W614" i="1" s="1"/>
  <c r="Y614" i="1" s="1"/>
  <c r="V613" i="1"/>
  <c r="W613" i="1" s="1"/>
  <c r="Y613" i="1" s="1"/>
  <c r="V611" i="1"/>
  <c r="W611" i="1" s="1"/>
  <c r="Y611" i="1" s="1"/>
  <c r="V609" i="1"/>
  <c r="W609" i="1" s="1"/>
  <c r="Y609" i="1" s="1"/>
  <c r="V605" i="1"/>
  <c r="W605" i="1" s="1"/>
  <c r="Y605" i="1" s="1"/>
  <c r="V603" i="1"/>
  <c r="W603" i="1" s="1"/>
  <c r="Y603" i="1" s="1"/>
  <c r="V601" i="1"/>
  <c r="W601" i="1" s="1"/>
  <c r="Y601" i="1" s="1"/>
  <c r="V599" i="1"/>
  <c r="W599" i="1" s="1"/>
  <c r="Y599" i="1" s="1"/>
  <c r="V597" i="1"/>
  <c r="W597" i="1" s="1"/>
  <c r="Y597" i="1" s="1"/>
  <c r="V595" i="1"/>
  <c r="W595" i="1" s="1"/>
  <c r="Y595" i="1" s="1"/>
  <c r="V593" i="1"/>
  <c r="W593" i="1" s="1"/>
  <c r="Y593" i="1" s="1"/>
  <c r="V591" i="1"/>
  <c r="W591" i="1" s="1"/>
  <c r="Y591" i="1" s="1"/>
  <c r="V589" i="1"/>
  <c r="W589" i="1" s="1"/>
  <c r="Y589" i="1" s="1"/>
  <c r="V587" i="1"/>
  <c r="W587" i="1" s="1"/>
  <c r="Y587" i="1" s="1"/>
  <c r="V585" i="1"/>
  <c r="W585" i="1" s="1"/>
  <c r="Y585" i="1" s="1"/>
  <c r="V583" i="1"/>
  <c r="W583" i="1" s="1"/>
  <c r="Y583" i="1" s="1"/>
  <c r="V581" i="1"/>
  <c r="W581" i="1" s="1"/>
  <c r="Y581" i="1" s="1"/>
  <c r="V578" i="1"/>
  <c r="W578" i="1" s="1"/>
  <c r="Y578" i="1" s="1"/>
  <c r="V577" i="1"/>
  <c r="W577" i="1" s="1"/>
  <c r="Y577" i="1" s="1"/>
  <c r="V575" i="1"/>
  <c r="W575" i="1" s="1"/>
  <c r="Y575" i="1" s="1"/>
  <c r="V570" i="1"/>
  <c r="W570" i="1" s="1"/>
  <c r="Y570" i="1" s="1"/>
  <c r="V568" i="1"/>
  <c r="W568" i="1" s="1"/>
  <c r="Y568" i="1" s="1"/>
  <c r="V566" i="1"/>
  <c r="W566" i="1" s="1"/>
  <c r="Y566" i="1" s="1"/>
  <c r="V564" i="1"/>
  <c r="W564" i="1" s="1"/>
  <c r="Y564" i="1" s="1"/>
  <c r="V562" i="1"/>
  <c r="W562" i="1" s="1"/>
  <c r="Y562" i="1" s="1"/>
  <c r="V559" i="1"/>
  <c r="W559" i="1" s="1"/>
  <c r="Y559" i="1" s="1"/>
  <c r="V555" i="1"/>
  <c r="W555" i="1" s="1"/>
  <c r="Y555" i="1" s="1"/>
  <c r="V553" i="1"/>
  <c r="W553" i="1" s="1"/>
  <c r="Y553" i="1" s="1"/>
  <c r="V551" i="1"/>
  <c r="W551" i="1" s="1"/>
  <c r="Y551" i="1" s="1"/>
  <c r="V549" i="1"/>
  <c r="W549" i="1" s="1"/>
  <c r="Y549" i="1" s="1"/>
  <c r="V547" i="1"/>
  <c r="W547" i="1" s="1"/>
  <c r="Y547" i="1" s="1"/>
  <c r="V546" i="1"/>
  <c r="W546" i="1" s="1"/>
  <c r="Y546" i="1" s="1"/>
  <c r="V544" i="1"/>
  <c r="W544" i="1" s="1"/>
  <c r="Y544" i="1" s="1"/>
  <c r="V542" i="1"/>
  <c r="W542" i="1" s="1"/>
  <c r="Y542" i="1" s="1"/>
  <c r="V540" i="1"/>
  <c r="W540" i="1" s="1"/>
  <c r="Y540" i="1" s="1"/>
  <c r="V538" i="1"/>
  <c r="W538" i="1" s="1"/>
  <c r="Y538" i="1" s="1"/>
  <c r="V536" i="1"/>
  <c r="W536" i="1" s="1"/>
  <c r="Y536" i="1" s="1"/>
  <c r="V533" i="1"/>
  <c r="W533" i="1" s="1"/>
  <c r="Y533" i="1" s="1"/>
  <c r="V531" i="1"/>
  <c r="W531" i="1" s="1"/>
  <c r="Y531" i="1" s="1"/>
  <c r="V530" i="1"/>
  <c r="W530" i="1" s="1"/>
  <c r="Y530" i="1" s="1"/>
  <c r="V528" i="1"/>
  <c r="W528" i="1" s="1"/>
  <c r="Y528" i="1" s="1"/>
  <c r="V526" i="1"/>
  <c r="W526" i="1" s="1"/>
  <c r="Y526" i="1" s="1"/>
  <c r="V524" i="1"/>
  <c r="W524" i="1" s="1"/>
  <c r="Y524" i="1" s="1"/>
  <c r="V522" i="1"/>
  <c r="W522" i="1" s="1"/>
  <c r="Y522" i="1" s="1"/>
  <c r="V520" i="1"/>
  <c r="W520" i="1" s="1"/>
  <c r="Y520" i="1" s="1"/>
  <c r="V518" i="1"/>
  <c r="W518" i="1" s="1"/>
  <c r="Y518" i="1" s="1"/>
  <c r="V513" i="1"/>
  <c r="W513" i="1" s="1"/>
  <c r="Y513" i="1" s="1"/>
  <c r="V510" i="1"/>
  <c r="W510" i="1" s="1"/>
  <c r="Y510" i="1" s="1"/>
  <c r="V508" i="1"/>
  <c r="W508" i="1" s="1"/>
  <c r="Y508" i="1" s="1"/>
  <c r="V506" i="1"/>
  <c r="W506" i="1" s="1"/>
  <c r="Y506" i="1" s="1"/>
  <c r="V504" i="1"/>
  <c r="W504" i="1" s="1"/>
  <c r="Y504" i="1" s="1"/>
  <c r="V502" i="1"/>
  <c r="W502" i="1" s="1"/>
  <c r="Y502" i="1" s="1"/>
  <c r="V500" i="1"/>
  <c r="W500" i="1" s="1"/>
  <c r="Y500" i="1" s="1"/>
  <c r="V499" i="1"/>
  <c r="W499" i="1" s="1"/>
  <c r="Y499" i="1" s="1"/>
  <c r="V497" i="1"/>
  <c r="W497" i="1" s="1"/>
  <c r="Y497" i="1" s="1"/>
  <c r="V495" i="1"/>
  <c r="W495" i="1" s="1"/>
  <c r="Y495" i="1" s="1"/>
  <c r="V493" i="1"/>
  <c r="W493" i="1" s="1"/>
  <c r="Y493" i="1" s="1"/>
  <c r="V486" i="1"/>
  <c r="W486" i="1" s="1"/>
  <c r="Y486" i="1" s="1"/>
  <c r="V485" i="1"/>
  <c r="W485" i="1" s="1"/>
  <c r="Y485" i="1" s="1"/>
  <c r="V483" i="1"/>
  <c r="W483" i="1" s="1"/>
  <c r="Y483" i="1" s="1"/>
  <c r="V481" i="1"/>
  <c r="W481" i="1" s="1"/>
  <c r="Y481" i="1" s="1"/>
  <c r="V479" i="1"/>
  <c r="W479" i="1" s="1"/>
  <c r="Y479" i="1" s="1"/>
  <c r="V477" i="1"/>
  <c r="W477" i="1" s="1"/>
  <c r="Y477" i="1" s="1"/>
  <c r="V475" i="1"/>
  <c r="W475" i="1" s="1"/>
  <c r="Y475" i="1" s="1"/>
  <c r="V473" i="1"/>
  <c r="W473" i="1" s="1"/>
  <c r="Y473" i="1" s="1"/>
  <c r="V471" i="1"/>
  <c r="W471" i="1" s="1"/>
  <c r="Y471" i="1" s="1"/>
  <c r="V469" i="1"/>
  <c r="W469" i="1" s="1"/>
  <c r="Y469" i="1" s="1"/>
  <c r="V467" i="1"/>
  <c r="W467" i="1" s="1"/>
  <c r="Y467" i="1" s="1"/>
  <c r="V463" i="1"/>
  <c r="W463" i="1" s="1"/>
  <c r="Y463" i="1" s="1"/>
  <c r="V461" i="1"/>
  <c r="W461" i="1" s="1"/>
  <c r="Y461" i="1" s="1"/>
  <c r="V459" i="1"/>
  <c r="W459" i="1" s="1"/>
  <c r="Y459" i="1" s="1"/>
  <c r="V457" i="1"/>
  <c r="W457" i="1" s="1"/>
  <c r="Y457" i="1" s="1"/>
  <c r="V455" i="1"/>
  <c r="W455" i="1" s="1"/>
  <c r="Y455" i="1" s="1"/>
  <c r="V453" i="1"/>
  <c r="W453" i="1" s="1"/>
  <c r="Y453" i="1" s="1"/>
  <c r="V451" i="1"/>
  <c r="W451" i="1" s="1"/>
  <c r="Y451" i="1" s="1"/>
  <c r="V449" i="1"/>
  <c r="W449" i="1" s="1"/>
  <c r="Y449" i="1" s="1"/>
  <c r="V447" i="1"/>
  <c r="W447" i="1" s="1"/>
  <c r="Y447" i="1" s="1"/>
  <c r="V445" i="1"/>
  <c r="W445" i="1" s="1"/>
  <c r="Y445" i="1" s="1"/>
  <c r="V443" i="1"/>
  <c r="W443" i="1" s="1"/>
  <c r="Y443" i="1" s="1"/>
  <c r="V441" i="1"/>
  <c r="W441" i="1" s="1"/>
  <c r="Y441" i="1" s="1"/>
  <c r="V439" i="1"/>
  <c r="W439" i="1" s="1"/>
  <c r="Y439" i="1" s="1"/>
  <c r="V437" i="1"/>
  <c r="W437" i="1" s="1"/>
  <c r="Y437" i="1" s="1"/>
  <c r="V435" i="1"/>
  <c r="W435" i="1" s="1"/>
  <c r="Y435" i="1" s="1"/>
  <c r="V433" i="1"/>
  <c r="W433" i="1" s="1"/>
  <c r="Y433" i="1" s="1"/>
  <c r="V431" i="1"/>
  <c r="W431" i="1" s="1"/>
  <c r="Y431" i="1" s="1"/>
  <c r="V429" i="1"/>
  <c r="W429" i="1" s="1"/>
  <c r="Y429" i="1" s="1"/>
  <c r="V427" i="1"/>
  <c r="W427" i="1" s="1"/>
  <c r="Y427" i="1" s="1"/>
  <c r="V425" i="1"/>
  <c r="W425" i="1" s="1"/>
  <c r="Y425" i="1" s="1"/>
  <c r="V423" i="1"/>
  <c r="W423" i="1" s="1"/>
  <c r="Y423" i="1" s="1"/>
  <c r="V421" i="1"/>
  <c r="W421" i="1" s="1"/>
  <c r="Y421" i="1" s="1"/>
  <c r="V419" i="1"/>
  <c r="W419" i="1" s="1"/>
  <c r="Y419" i="1" s="1"/>
  <c r="V415" i="1"/>
  <c r="W415" i="1" s="1"/>
  <c r="Y415" i="1" s="1"/>
  <c r="V413" i="1"/>
  <c r="W413" i="1" s="1"/>
  <c r="Y413" i="1" s="1"/>
  <c r="V411" i="1"/>
  <c r="W411" i="1" s="1"/>
  <c r="Y411" i="1" s="1"/>
  <c r="V409" i="1"/>
  <c r="W409" i="1" s="1"/>
  <c r="Y409" i="1" s="1"/>
  <c r="V407" i="1"/>
  <c r="W407" i="1" s="1"/>
  <c r="Y407" i="1" s="1"/>
  <c r="V405" i="1"/>
  <c r="W405" i="1" s="1"/>
  <c r="Y405" i="1" s="1"/>
  <c r="V403" i="1"/>
  <c r="W403" i="1" s="1"/>
  <c r="Y403" i="1" s="1"/>
  <c r="V401" i="1"/>
  <c r="W401" i="1" s="1"/>
  <c r="Y401" i="1" s="1"/>
  <c r="V399" i="1"/>
  <c r="W399" i="1" s="1"/>
  <c r="Y399" i="1" s="1"/>
  <c r="V397" i="1"/>
  <c r="W397" i="1" s="1"/>
  <c r="Y397" i="1" s="1"/>
  <c r="V393" i="1"/>
  <c r="W393" i="1" s="1"/>
  <c r="Y393" i="1" s="1"/>
  <c r="V391" i="1"/>
  <c r="W391" i="1" s="1"/>
  <c r="Y391" i="1" s="1"/>
  <c r="V389" i="1"/>
  <c r="W389" i="1" s="1"/>
  <c r="Y389" i="1" s="1"/>
  <c r="V385" i="1"/>
  <c r="W385" i="1" s="1"/>
  <c r="Y385" i="1" s="1"/>
  <c r="V383" i="1"/>
  <c r="W383" i="1" s="1"/>
  <c r="Y383" i="1" s="1"/>
  <c r="V379" i="1"/>
  <c r="W379" i="1" s="1"/>
  <c r="Y379" i="1" s="1"/>
  <c r="V377" i="1"/>
  <c r="W377" i="1" s="1"/>
  <c r="Y377" i="1" s="1"/>
  <c r="V375" i="1"/>
  <c r="W375" i="1" s="1"/>
  <c r="Y375" i="1" s="1"/>
  <c r="V373" i="1"/>
  <c r="W373" i="1" s="1"/>
  <c r="Y373" i="1" s="1"/>
  <c r="V371" i="1"/>
  <c r="W371" i="1" s="1"/>
  <c r="Y371" i="1" s="1"/>
  <c r="V369" i="1"/>
  <c r="W369" i="1" s="1"/>
  <c r="Y369" i="1" s="1"/>
  <c r="V367" i="1"/>
  <c r="W367" i="1" s="1"/>
  <c r="Y367" i="1" s="1"/>
  <c r="V365" i="1"/>
  <c r="W365" i="1" s="1"/>
  <c r="Y365" i="1" s="1"/>
  <c r="V363" i="1"/>
  <c r="W363" i="1" s="1"/>
  <c r="Y363" i="1" s="1"/>
  <c r="V359" i="1"/>
  <c r="W359" i="1" s="1"/>
  <c r="Y359" i="1" s="1"/>
  <c r="V357" i="1"/>
  <c r="W357" i="1" s="1"/>
  <c r="Y357" i="1" s="1"/>
  <c r="V353" i="1"/>
  <c r="W353" i="1" s="1"/>
  <c r="Y353" i="1" s="1"/>
  <c r="V351" i="1"/>
  <c r="W351" i="1" s="1"/>
  <c r="Y351" i="1" s="1"/>
  <c r="V349" i="1"/>
  <c r="W349" i="1" s="1"/>
  <c r="Y349" i="1" s="1"/>
  <c r="V347" i="1"/>
  <c r="W347" i="1" s="1"/>
  <c r="Y347" i="1" s="1"/>
  <c r="V345" i="1"/>
  <c r="W345" i="1" s="1"/>
  <c r="Y345" i="1" s="1"/>
  <c r="V341" i="1"/>
  <c r="W341" i="1" s="1"/>
  <c r="Y341" i="1" s="1"/>
  <c r="V339" i="1"/>
  <c r="W339" i="1" s="1"/>
  <c r="Y339" i="1" s="1"/>
  <c r="V337" i="1"/>
  <c r="W337" i="1" s="1"/>
  <c r="Y337" i="1" s="1"/>
  <c r="V335" i="1"/>
  <c r="W335" i="1" s="1"/>
  <c r="Y335" i="1" s="1"/>
  <c r="V333" i="1"/>
  <c r="W333" i="1" s="1"/>
  <c r="Y333" i="1" s="1"/>
  <c r="V331" i="1"/>
  <c r="W331" i="1" s="1"/>
  <c r="Y331" i="1" s="1"/>
  <c r="V329" i="1"/>
  <c r="W329" i="1" s="1"/>
  <c r="Y329" i="1" s="1"/>
  <c r="V327" i="1"/>
  <c r="W327" i="1" s="1"/>
  <c r="Y327" i="1" s="1"/>
  <c r="V325" i="1"/>
  <c r="W325" i="1" s="1"/>
  <c r="Y325" i="1" s="1"/>
  <c r="V323" i="1"/>
  <c r="W323" i="1" s="1"/>
  <c r="Y323" i="1" s="1"/>
  <c r="V321" i="1"/>
  <c r="W321" i="1" s="1"/>
  <c r="Y321" i="1" s="1"/>
  <c r="V319" i="1"/>
  <c r="W319" i="1" s="1"/>
  <c r="Y319" i="1" s="1"/>
  <c r="V317" i="1"/>
  <c r="W317" i="1" s="1"/>
  <c r="Y317" i="1" s="1"/>
  <c r="V315" i="1"/>
  <c r="W315" i="1" s="1"/>
  <c r="Y315" i="1" s="1"/>
  <c r="V313" i="1"/>
  <c r="W313" i="1" s="1"/>
  <c r="Y313" i="1" s="1"/>
  <c r="V311" i="1"/>
  <c r="W311" i="1" s="1"/>
  <c r="Y311" i="1" s="1"/>
  <c r="V309" i="1"/>
  <c r="W309" i="1" s="1"/>
  <c r="Y309" i="1" s="1"/>
  <c r="V305" i="1"/>
  <c r="W305" i="1" s="1"/>
  <c r="Y305" i="1" s="1"/>
  <c r="V303" i="1"/>
  <c r="W303" i="1" s="1"/>
  <c r="Y303" i="1" s="1"/>
  <c r="V301" i="1"/>
  <c r="W301" i="1" s="1"/>
  <c r="Y301" i="1" s="1"/>
  <c r="V299" i="1"/>
  <c r="W299" i="1" s="1"/>
  <c r="Y299" i="1" s="1"/>
  <c r="V297" i="1"/>
  <c r="W297" i="1" s="1"/>
  <c r="Y297" i="1" s="1"/>
  <c r="V295" i="1"/>
  <c r="W295" i="1" s="1"/>
  <c r="Y295" i="1" s="1"/>
  <c r="V293" i="1"/>
  <c r="W293" i="1" s="1"/>
  <c r="Y293" i="1" s="1"/>
  <c r="V291" i="1"/>
  <c r="W291" i="1" s="1"/>
  <c r="Y291" i="1" s="1"/>
  <c r="V289" i="1"/>
  <c r="W289" i="1" s="1"/>
  <c r="Y289" i="1" s="1"/>
  <c r="V287" i="1"/>
  <c r="W287" i="1" s="1"/>
  <c r="Y287" i="1" s="1"/>
  <c r="V285" i="1"/>
  <c r="W285" i="1" s="1"/>
  <c r="Y285" i="1" s="1"/>
  <c r="V283" i="1"/>
  <c r="W283" i="1" s="1"/>
  <c r="Y283" i="1" s="1"/>
  <c r="V281" i="1"/>
  <c r="W281" i="1" s="1"/>
  <c r="Y281" i="1" s="1"/>
  <c r="V279" i="1"/>
  <c r="W279" i="1" s="1"/>
  <c r="Y279" i="1" s="1"/>
  <c r="V277" i="1"/>
  <c r="W277" i="1" s="1"/>
  <c r="Y277" i="1" s="1"/>
  <c r="V275" i="1"/>
  <c r="W275" i="1" s="1"/>
  <c r="Y275" i="1" s="1"/>
  <c r="V273" i="1"/>
  <c r="W273" i="1" s="1"/>
  <c r="Y273" i="1" s="1"/>
  <c r="V271" i="1"/>
  <c r="W271" i="1" s="1"/>
  <c r="Y271" i="1" s="1"/>
  <c r="V269" i="1"/>
  <c r="W269" i="1" s="1"/>
  <c r="Y269" i="1" s="1"/>
  <c r="V267" i="1"/>
  <c r="W267" i="1" s="1"/>
  <c r="Y267" i="1" s="1"/>
  <c r="V265" i="1"/>
  <c r="W265" i="1" s="1"/>
  <c r="Y265" i="1" s="1"/>
  <c r="V263" i="1"/>
  <c r="W263" i="1" s="1"/>
  <c r="Y263" i="1" s="1"/>
  <c r="V261" i="1"/>
  <c r="W261" i="1" s="1"/>
  <c r="Y261" i="1" s="1"/>
  <c r="V259" i="1"/>
  <c r="W259" i="1" s="1"/>
  <c r="Y259" i="1" s="1"/>
  <c r="V257" i="1"/>
  <c r="W257" i="1" s="1"/>
  <c r="Y257" i="1" s="1"/>
  <c r="V253" i="1"/>
  <c r="W253" i="1" s="1"/>
  <c r="Y253" i="1" s="1"/>
  <c r="V251" i="1"/>
  <c r="W251" i="1" s="1"/>
  <c r="Y251" i="1" s="1"/>
  <c r="V249" i="1"/>
  <c r="W249" i="1" s="1"/>
  <c r="Y249" i="1" s="1"/>
  <c r="V247" i="1"/>
  <c r="W247" i="1" s="1"/>
  <c r="Y247" i="1" s="1"/>
  <c r="V245" i="1"/>
  <c r="W245" i="1" s="1"/>
  <c r="Y245" i="1" s="1"/>
  <c r="V243" i="1"/>
  <c r="W243" i="1" s="1"/>
  <c r="Y243" i="1" s="1"/>
  <c r="V241" i="1"/>
  <c r="W241" i="1" s="1"/>
  <c r="Y241" i="1" s="1"/>
  <c r="V239" i="1"/>
  <c r="W239" i="1" s="1"/>
  <c r="Y239" i="1" s="1"/>
  <c r="V237" i="1"/>
  <c r="W237" i="1" s="1"/>
  <c r="Y237" i="1" s="1"/>
  <c r="V235" i="1"/>
  <c r="W235" i="1" s="1"/>
  <c r="Y235" i="1" s="1"/>
  <c r="V231" i="1"/>
  <c r="W231" i="1" s="1"/>
  <c r="Y231" i="1" s="1"/>
  <c r="V229" i="1"/>
  <c r="W229" i="1" s="1"/>
  <c r="Y229" i="1" s="1"/>
  <c r="V225" i="1"/>
  <c r="W225" i="1" s="1"/>
  <c r="Y225" i="1" s="1"/>
  <c r="V223" i="1"/>
  <c r="W223" i="1" s="1"/>
  <c r="Y223" i="1" s="1"/>
  <c r="V221" i="1"/>
  <c r="W221" i="1" s="1"/>
  <c r="Y221" i="1" s="1"/>
  <c r="V219" i="1"/>
  <c r="W219" i="1" s="1"/>
  <c r="Y219" i="1" s="1"/>
  <c r="W1044" i="1"/>
  <c r="Y1044" i="1" s="1"/>
  <c r="W1042" i="1"/>
  <c r="Y1042" i="1" s="1"/>
  <c r="W1040" i="1"/>
  <c r="Y1040" i="1" s="1"/>
  <c r="W1038" i="1"/>
  <c r="Y1038" i="1" s="1"/>
  <c r="W1036" i="1"/>
  <c r="Y1036" i="1" s="1"/>
  <c r="W1034" i="1"/>
  <c r="Y1034" i="1" s="1"/>
  <c r="W1032" i="1"/>
  <c r="Y1032" i="1" s="1"/>
  <c r="W1030" i="1"/>
  <c r="Y1030" i="1" s="1"/>
  <c r="W1028" i="1"/>
  <c r="Y1028" i="1" s="1"/>
  <c r="W1026" i="1"/>
  <c r="Y1026" i="1" s="1"/>
  <c r="W1024" i="1"/>
  <c r="Y1024" i="1" s="1"/>
  <c r="W1022" i="1"/>
  <c r="Y1022" i="1" s="1"/>
  <c r="W1020" i="1"/>
  <c r="Y1020" i="1" s="1"/>
  <c r="W1018" i="1"/>
  <c r="Y1018" i="1" s="1"/>
  <c r="W1016" i="1"/>
  <c r="Y1016" i="1" s="1"/>
  <c r="W1014" i="1"/>
  <c r="Y1014" i="1" s="1"/>
  <c r="W1012" i="1"/>
  <c r="Y1012" i="1" s="1"/>
  <c r="W1010" i="1"/>
  <c r="Y1010" i="1" s="1"/>
  <c r="W1008" i="1"/>
  <c r="Y1008" i="1" s="1"/>
  <c r="W1005" i="1"/>
  <c r="Y1005" i="1" s="1"/>
  <c r="W1003" i="1"/>
  <c r="Y1003" i="1" s="1"/>
  <c r="W1001" i="1"/>
  <c r="Y1001" i="1" s="1"/>
  <c r="W997" i="1"/>
  <c r="Y997" i="1" s="1"/>
  <c r="W995" i="1"/>
  <c r="Y995" i="1" s="1"/>
  <c r="W993" i="1"/>
  <c r="Y993" i="1" s="1"/>
  <c r="W990" i="1"/>
  <c r="Y990" i="1" s="1"/>
  <c r="W988" i="1"/>
  <c r="Y988" i="1" s="1"/>
  <c r="W986" i="1"/>
  <c r="Y986" i="1" s="1"/>
  <c r="W984" i="1"/>
  <c r="Y984" i="1" s="1"/>
  <c r="W982" i="1"/>
  <c r="Y982" i="1" s="1"/>
  <c r="W980" i="1"/>
  <c r="Y980" i="1" s="1"/>
  <c r="W978" i="1"/>
  <c r="Y978" i="1" s="1"/>
  <c r="W976" i="1"/>
  <c r="Y976" i="1" s="1"/>
  <c r="W974" i="1"/>
  <c r="Y974" i="1" s="1"/>
  <c r="W972" i="1"/>
  <c r="Y972" i="1" s="1"/>
  <c r="W970" i="1"/>
  <c r="Y970" i="1" s="1"/>
  <c r="W968" i="1"/>
  <c r="Y968" i="1" s="1"/>
  <c r="W966" i="1"/>
  <c r="Y966" i="1" s="1"/>
  <c r="W964" i="1"/>
  <c r="Y964" i="1" s="1"/>
  <c r="W962" i="1"/>
  <c r="Y962" i="1" s="1"/>
  <c r="W960" i="1"/>
  <c r="Y960" i="1" s="1"/>
  <c r="W956" i="1"/>
  <c r="Y956" i="1" s="1"/>
  <c r="W954" i="1"/>
  <c r="Y954" i="1" s="1"/>
  <c r="W952" i="1"/>
  <c r="Y952" i="1" s="1"/>
  <c r="W950" i="1"/>
  <c r="Y950" i="1" s="1"/>
  <c r="W948" i="1"/>
  <c r="Y948" i="1" s="1"/>
  <c r="W944" i="1"/>
  <c r="Y944" i="1" s="1"/>
  <c r="W942" i="1"/>
  <c r="Y942" i="1" s="1"/>
  <c r="W940" i="1"/>
  <c r="Y940" i="1" s="1"/>
  <c r="W938" i="1"/>
  <c r="Y938" i="1" s="1"/>
  <c r="W936" i="1"/>
  <c r="Y936" i="1" s="1"/>
  <c r="W934" i="1"/>
  <c r="Y934" i="1" s="1"/>
  <c r="W930" i="1"/>
  <c r="Y930" i="1" s="1"/>
  <c r="W928" i="1"/>
  <c r="Y928" i="1" s="1"/>
  <c r="W926" i="1"/>
  <c r="Y926" i="1" s="1"/>
  <c r="W922" i="1"/>
  <c r="Y922" i="1" s="1"/>
  <c r="W920" i="1"/>
  <c r="Y920" i="1" s="1"/>
  <c r="W918" i="1"/>
  <c r="Y918" i="1" s="1"/>
  <c r="W916" i="1"/>
  <c r="Y916" i="1" s="1"/>
  <c r="W913" i="1"/>
  <c r="Y913" i="1" s="1"/>
  <c r="W910" i="1"/>
  <c r="Y910" i="1" s="1"/>
  <c r="W906" i="1"/>
  <c r="Y906" i="1" s="1"/>
  <c r="W904" i="1"/>
  <c r="Y904" i="1" s="1"/>
  <c r="W902" i="1"/>
  <c r="Y902" i="1" s="1"/>
  <c r="W900" i="1"/>
  <c r="Y900" i="1" s="1"/>
  <c r="W898" i="1"/>
  <c r="Y898" i="1" s="1"/>
  <c r="W896" i="1"/>
  <c r="Y896" i="1" s="1"/>
  <c r="W894" i="1"/>
  <c r="Y894" i="1" s="1"/>
  <c r="W892" i="1"/>
  <c r="Y892" i="1" s="1"/>
  <c r="W890" i="1"/>
  <c r="Y890" i="1" s="1"/>
  <c r="W888" i="1"/>
  <c r="Y888" i="1" s="1"/>
  <c r="W886" i="1"/>
  <c r="Y886" i="1" s="1"/>
  <c r="V217" i="1"/>
  <c r="W217" i="1" s="1"/>
  <c r="Y217" i="1" s="1"/>
  <c r="V215" i="1"/>
  <c r="W215" i="1" s="1"/>
  <c r="Y215" i="1" s="1"/>
  <c r="V211" i="1"/>
  <c r="W211" i="1" s="1"/>
  <c r="Y211" i="1" s="1"/>
  <c r="V209" i="1"/>
  <c r="W209" i="1" s="1"/>
  <c r="Y209" i="1" s="1"/>
  <c r="V207" i="1"/>
  <c r="W207" i="1" s="1"/>
  <c r="Y207" i="1" s="1"/>
  <c r="V205" i="1"/>
  <c r="W205" i="1" s="1"/>
  <c r="Y205" i="1" s="1"/>
  <c r="V203" i="1"/>
  <c r="W203" i="1" s="1"/>
  <c r="Y203" i="1" s="1"/>
  <c r="V201" i="1"/>
  <c r="W201" i="1" s="1"/>
  <c r="Y201" i="1" s="1"/>
  <c r="V199" i="1"/>
  <c r="W199" i="1" s="1"/>
  <c r="Y199" i="1" s="1"/>
  <c r="V197" i="1"/>
  <c r="W197" i="1" s="1"/>
  <c r="Y197" i="1" s="1"/>
  <c r="V195" i="1"/>
  <c r="W195" i="1" s="1"/>
  <c r="Y195" i="1" s="1"/>
  <c r="V193" i="1"/>
  <c r="W193" i="1" s="1"/>
  <c r="Y193" i="1" s="1"/>
  <c r="V191" i="1"/>
  <c r="W191" i="1" s="1"/>
  <c r="Y191" i="1" s="1"/>
  <c r="V189" i="1"/>
  <c r="W189" i="1" s="1"/>
  <c r="Y189" i="1" s="1"/>
  <c r="V187" i="1"/>
  <c r="W187" i="1" s="1"/>
  <c r="Y187" i="1" s="1"/>
  <c r="V185" i="1"/>
  <c r="W185" i="1" s="1"/>
  <c r="Y185" i="1" s="1"/>
  <c r="V183" i="1"/>
  <c r="W183" i="1" s="1"/>
  <c r="Y183" i="1" s="1"/>
  <c r="V181" i="1"/>
  <c r="W181" i="1" s="1"/>
  <c r="Y181" i="1" s="1"/>
  <c r="V179" i="1"/>
  <c r="W179" i="1" s="1"/>
  <c r="Y179" i="1" s="1"/>
  <c r="V177" i="1"/>
  <c r="W177" i="1" s="1"/>
  <c r="Y177" i="1" s="1"/>
  <c r="V175" i="1"/>
  <c r="W175" i="1" s="1"/>
  <c r="Y175" i="1" s="1"/>
  <c r="V173" i="1"/>
  <c r="W173" i="1" s="1"/>
  <c r="Y173" i="1" s="1"/>
  <c r="V167" i="1"/>
  <c r="W167" i="1" s="1"/>
  <c r="Y167" i="1" s="1"/>
  <c r="V165" i="1"/>
  <c r="W165" i="1" s="1"/>
  <c r="Y165" i="1" s="1"/>
  <c r="V163" i="1"/>
  <c r="W163" i="1" s="1"/>
  <c r="Y163" i="1" s="1"/>
  <c r="V161" i="1"/>
  <c r="W161" i="1" s="1"/>
  <c r="Y161" i="1" s="1"/>
  <c r="V159" i="1"/>
  <c r="W159" i="1" s="1"/>
  <c r="Y159" i="1" s="1"/>
  <c r="V157" i="1"/>
  <c r="W157" i="1" s="1"/>
  <c r="Y157" i="1" s="1"/>
  <c r="V155" i="1"/>
  <c r="W155" i="1" s="1"/>
  <c r="Y155" i="1" s="1"/>
  <c r="V153" i="1"/>
  <c r="W153" i="1" s="1"/>
  <c r="Y153" i="1" s="1"/>
  <c r="V151" i="1"/>
  <c r="W151" i="1" s="1"/>
  <c r="Y151" i="1" s="1"/>
  <c r="V149" i="1"/>
  <c r="W149" i="1" s="1"/>
  <c r="Y149" i="1" s="1"/>
  <c r="V147" i="1"/>
  <c r="W147" i="1" s="1"/>
  <c r="Y147" i="1" s="1"/>
  <c r="V145" i="1"/>
  <c r="W145" i="1" s="1"/>
  <c r="Y145" i="1" s="1"/>
  <c r="V143" i="1"/>
  <c r="W143" i="1" s="1"/>
  <c r="Y143" i="1" s="1"/>
  <c r="V141" i="1"/>
  <c r="W141" i="1" s="1"/>
  <c r="Y141" i="1" s="1"/>
  <c r="V139" i="1"/>
  <c r="W139" i="1" s="1"/>
  <c r="Y139" i="1" s="1"/>
  <c r="V137" i="1"/>
  <c r="W137" i="1" s="1"/>
  <c r="Y137" i="1" s="1"/>
  <c r="V135" i="1"/>
  <c r="W135" i="1" s="1"/>
  <c r="Y135" i="1" s="1"/>
  <c r="V133" i="1"/>
  <c r="W133" i="1" s="1"/>
  <c r="Y133" i="1" s="1"/>
  <c r="V131" i="1"/>
  <c r="W131" i="1" s="1"/>
  <c r="Y131" i="1" s="1"/>
  <c r="V129" i="1"/>
  <c r="W129" i="1" s="1"/>
  <c r="Y129" i="1" s="1"/>
  <c r="V127" i="1"/>
  <c r="W127" i="1" s="1"/>
  <c r="Y127" i="1" s="1"/>
  <c r="V125" i="1"/>
  <c r="W125" i="1" s="1"/>
  <c r="Y125" i="1" s="1"/>
  <c r="V123" i="1"/>
  <c r="W123" i="1" s="1"/>
  <c r="Y123" i="1" s="1"/>
  <c r="V121" i="1"/>
  <c r="W121" i="1" s="1"/>
  <c r="Y121" i="1" s="1"/>
  <c r="V119" i="1"/>
  <c r="W119" i="1" s="1"/>
  <c r="Y119" i="1" s="1"/>
  <c r="V115" i="1"/>
  <c r="W115" i="1" s="1"/>
  <c r="Y115" i="1" s="1"/>
  <c r="V113" i="1"/>
  <c r="W113" i="1" s="1"/>
  <c r="Y113" i="1" s="1"/>
  <c r="V111" i="1"/>
  <c r="W111" i="1" s="1"/>
  <c r="Y111" i="1" s="1"/>
  <c r="V109" i="1"/>
  <c r="W109" i="1" s="1"/>
  <c r="Y109" i="1" s="1"/>
  <c r="V107" i="1"/>
  <c r="W107" i="1" s="1"/>
  <c r="Y107" i="1" s="1"/>
  <c r="V105" i="1"/>
  <c r="W105" i="1" s="1"/>
  <c r="Y105" i="1" s="1"/>
  <c r="V103" i="1"/>
  <c r="W103" i="1" s="1"/>
  <c r="Y103" i="1" s="1"/>
  <c r="V101" i="1"/>
  <c r="W101" i="1" s="1"/>
  <c r="Y101" i="1" s="1"/>
  <c r="V97" i="1"/>
  <c r="W97" i="1" s="1"/>
  <c r="Y97" i="1" s="1"/>
  <c r="V95" i="1"/>
  <c r="W95" i="1" s="1"/>
  <c r="Y95" i="1" s="1"/>
  <c r="V91" i="1"/>
  <c r="W91" i="1" s="1"/>
  <c r="Y91" i="1" s="1"/>
  <c r="V89" i="1"/>
  <c r="W89" i="1" s="1"/>
  <c r="Y89" i="1" s="1"/>
  <c r="V87" i="1"/>
  <c r="W87" i="1" s="1"/>
  <c r="Y87" i="1" s="1"/>
  <c r="V85" i="1"/>
  <c r="W85" i="1" s="1"/>
  <c r="Y85" i="1" s="1"/>
  <c r="V83" i="1"/>
  <c r="W83" i="1" s="1"/>
  <c r="Y83" i="1" s="1"/>
  <c r="V81" i="1"/>
  <c r="W81" i="1" s="1"/>
  <c r="Y81" i="1" s="1"/>
  <c r="V79" i="1"/>
  <c r="W79" i="1" s="1"/>
  <c r="Y79" i="1" s="1"/>
  <c r="V77" i="1"/>
  <c r="W77" i="1" s="1"/>
  <c r="Y77" i="1" s="1"/>
  <c r="V75" i="1"/>
  <c r="W75" i="1" s="1"/>
  <c r="Y75" i="1" s="1"/>
  <c r="V73" i="1"/>
  <c r="W73" i="1" s="1"/>
  <c r="Y73" i="1" s="1"/>
  <c r="V71" i="1"/>
  <c r="W71" i="1" s="1"/>
  <c r="Y71" i="1" s="1"/>
  <c r="V69" i="1"/>
  <c r="W69" i="1" s="1"/>
  <c r="Y69" i="1" s="1"/>
  <c r="V67" i="1"/>
  <c r="W67" i="1" s="1"/>
  <c r="Y67" i="1" s="1"/>
  <c r="V65" i="1"/>
  <c r="W65" i="1" s="1"/>
  <c r="Y65" i="1" s="1"/>
  <c r="V63" i="1"/>
  <c r="W63" i="1" s="1"/>
  <c r="Y63" i="1" s="1"/>
  <c r="V61" i="1"/>
  <c r="W61" i="1" s="1"/>
  <c r="Y61" i="1" s="1"/>
  <c r="V59" i="1"/>
  <c r="W59" i="1" s="1"/>
  <c r="Y59" i="1" s="1"/>
  <c r="V57" i="1"/>
  <c r="W57" i="1" s="1"/>
  <c r="Y57" i="1" s="1"/>
  <c r="V55" i="1"/>
  <c r="W55" i="1" s="1"/>
  <c r="Y55" i="1" s="1"/>
  <c r="V53" i="1"/>
  <c r="W53" i="1" s="1"/>
  <c r="Y53" i="1" s="1"/>
  <c r="V579" i="1"/>
  <c r="W579" i="1" s="1"/>
  <c r="Y579" i="1" s="1"/>
  <c r="V50" i="1"/>
  <c r="W50" i="1" s="1"/>
  <c r="Y50" i="1" s="1"/>
  <c r="V48" i="1"/>
  <c r="W48" i="1" s="1"/>
  <c r="Y48" i="1" s="1"/>
  <c r="V47" i="1"/>
  <c r="W47" i="1" s="1"/>
  <c r="Y47" i="1" s="1"/>
  <c r="V45" i="1"/>
  <c r="W45" i="1" s="1"/>
  <c r="Y45" i="1" s="1"/>
  <c r="V41" i="1"/>
  <c r="W41" i="1" s="1"/>
  <c r="Y41" i="1" s="1"/>
  <c r="V39" i="1"/>
  <c r="W39" i="1" s="1"/>
  <c r="Y39" i="1" s="1"/>
  <c r="V37" i="1"/>
  <c r="W37" i="1" s="1"/>
  <c r="Y37" i="1" s="1"/>
  <c r="V35" i="1"/>
  <c r="W35" i="1" s="1"/>
  <c r="Y35" i="1" s="1"/>
  <c r="V33" i="1"/>
  <c r="W33" i="1" s="1"/>
  <c r="Y33" i="1" s="1"/>
  <c r="V31" i="1"/>
  <c r="W31" i="1" s="1"/>
  <c r="Y31" i="1" s="1"/>
  <c r="V30" i="1"/>
  <c r="W30" i="1" s="1"/>
  <c r="Y30" i="1" s="1"/>
  <c r="V28" i="1"/>
  <c r="W28" i="1" s="1"/>
  <c r="Y28" i="1" s="1"/>
  <c r="V26" i="1"/>
  <c r="W26" i="1" s="1"/>
  <c r="Y26" i="1" s="1"/>
  <c r="V24" i="1"/>
  <c r="W24" i="1" s="1"/>
  <c r="Y24" i="1" s="1"/>
  <c r="V23" i="1"/>
  <c r="W23" i="1" s="1"/>
  <c r="Y23" i="1" s="1"/>
  <c r="V21" i="1"/>
  <c r="W21" i="1" s="1"/>
  <c r="Y21" i="1" s="1"/>
  <c r="V19" i="1"/>
  <c r="W19" i="1" s="1"/>
  <c r="Y19" i="1" s="1"/>
  <c r="V17" i="1"/>
  <c r="W17" i="1" s="1"/>
  <c r="Y17" i="1" s="1"/>
  <c r="V517" i="1"/>
  <c r="W517" i="1" s="1"/>
  <c r="Y517" i="1" s="1"/>
  <c r="V14" i="1"/>
  <c r="W14" i="1" s="1"/>
  <c r="Y14" i="1" s="1"/>
  <c r="V12" i="1"/>
  <c r="W12" i="1" s="1"/>
  <c r="Y12" i="1" s="1"/>
  <c r="V511" i="1"/>
  <c r="W511" i="1" s="1"/>
  <c r="Y511" i="1" s="1"/>
  <c r="V9" i="1"/>
  <c r="W9" i="1" s="1"/>
  <c r="Y9" i="1" s="1"/>
  <c r="V7" i="1"/>
  <c r="W7" i="1" s="1"/>
  <c r="Y7" i="1" s="1"/>
  <c r="V999" i="1"/>
  <c r="W999" i="1" s="1"/>
  <c r="Y999" i="1" s="1"/>
  <c r="V958" i="1"/>
  <c r="W958" i="1" s="1"/>
  <c r="Y958" i="1" s="1"/>
  <c r="V932" i="1"/>
  <c r="W932" i="1" s="1"/>
  <c r="Y932" i="1" s="1"/>
  <c r="V924" i="1"/>
  <c r="W924" i="1" s="1"/>
  <c r="Y924" i="1" s="1"/>
  <c r="V908" i="1"/>
  <c r="W908" i="1" s="1"/>
  <c r="Y908" i="1" s="1"/>
  <c r="V871" i="1"/>
  <c r="W871" i="1" s="1"/>
  <c r="Y871" i="1" s="1"/>
  <c r="V864" i="1"/>
  <c r="W864" i="1" s="1"/>
  <c r="Y864" i="1" s="1"/>
  <c r="V861" i="1"/>
  <c r="W861" i="1" s="1"/>
  <c r="Y861" i="1" s="1"/>
  <c r="V830" i="1"/>
  <c r="W830" i="1" s="1"/>
  <c r="Y830" i="1" s="1"/>
  <c r="V828" i="1"/>
  <c r="W828" i="1" s="1"/>
  <c r="Y828" i="1" s="1"/>
  <c r="V819" i="1"/>
  <c r="W819" i="1" s="1"/>
  <c r="Y819" i="1" s="1"/>
  <c r="V772" i="1"/>
  <c r="W772" i="1" s="1"/>
  <c r="Y772" i="1" s="1"/>
  <c r="V746" i="1"/>
  <c r="W746" i="1" s="1"/>
  <c r="Y746" i="1" s="1"/>
  <c r="V744" i="1"/>
  <c r="W744" i="1" s="1"/>
  <c r="Y744" i="1" s="1"/>
  <c r="V732" i="1"/>
  <c r="W732" i="1" s="1"/>
  <c r="Y732" i="1" s="1"/>
  <c r="V707" i="1"/>
  <c r="W707" i="1" s="1"/>
  <c r="Y707" i="1" s="1"/>
  <c r="V945" i="1"/>
  <c r="W945" i="1" s="1"/>
  <c r="Y945" i="1" s="1"/>
  <c r="V653" i="1"/>
  <c r="W653" i="1" s="1"/>
  <c r="Y653" i="1" s="1"/>
  <c r="V641" i="1"/>
  <c r="W641" i="1" s="1"/>
  <c r="Y641" i="1" s="1"/>
  <c r="V636" i="1"/>
  <c r="W636" i="1" s="1"/>
  <c r="Y636" i="1" s="1"/>
  <c r="V607" i="1"/>
  <c r="W607" i="1" s="1"/>
  <c r="Y607" i="1" s="1"/>
  <c r="V572" i="1"/>
  <c r="W572" i="1" s="1"/>
  <c r="Y572" i="1" s="1"/>
  <c r="V557" i="1"/>
  <c r="W557" i="1" s="1"/>
  <c r="Y557" i="1" s="1"/>
  <c r="V514" i="1"/>
  <c r="W514" i="1" s="1"/>
  <c r="Y514" i="1" s="1"/>
  <c r="V491" i="1"/>
  <c r="W491" i="1" s="1"/>
  <c r="Y491" i="1" s="1"/>
  <c r="V488" i="1"/>
  <c r="W488" i="1" s="1"/>
  <c r="Y488" i="1" s="1"/>
  <c r="V465" i="1"/>
  <c r="W465" i="1" s="1"/>
  <c r="Y465" i="1" s="1"/>
  <c r="V417" i="1"/>
  <c r="W417" i="1" s="1"/>
  <c r="Y417" i="1" s="1"/>
  <c r="V396" i="1"/>
  <c r="W396" i="1" s="1"/>
  <c r="Y396" i="1" s="1"/>
  <c r="V388" i="1"/>
  <c r="W388" i="1" s="1"/>
  <c r="Y388" i="1" s="1"/>
  <c r="V381" i="1"/>
  <c r="W381" i="1" s="1"/>
  <c r="Y381" i="1" s="1"/>
  <c r="V361" i="1"/>
  <c r="W361" i="1" s="1"/>
  <c r="Y361" i="1" s="1"/>
  <c r="V356" i="1"/>
  <c r="W356" i="1" s="1"/>
  <c r="Y356" i="1" s="1"/>
  <c r="V344" i="1"/>
  <c r="W344" i="1" s="1"/>
  <c r="Y344" i="1" s="1"/>
  <c r="V307" i="1"/>
  <c r="W307" i="1" s="1"/>
  <c r="Y307" i="1" s="1"/>
  <c r="V255" i="1"/>
  <c r="W255" i="1" s="1"/>
  <c r="Y255" i="1" s="1"/>
  <c r="V234" i="1"/>
  <c r="W234" i="1" s="1"/>
  <c r="Y234" i="1" s="1"/>
  <c r="V228" i="1"/>
  <c r="W228" i="1" s="1"/>
  <c r="Y228" i="1" s="1"/>
  <c r="V213" i="1"/>
  <c r="W213" i="1" s="1"/>
  <c r="Y213" i="1" s="1"/>
  <c r="V172" i="1"/>
  <c r="W172" i="1" s="1"/>
  <c r="Y172" i="1" s="1"/>
  <c r="V169" i="1"/>
  <c r="W169" i="1" s="1"/>
  <c r="Y169" i="1" s="1"/>
  <c r="V117" i="1"/>
  <c r="W117" i="1" s="1"/>
  <c r="Y117" i="1" s="1"/>
  <c r="V99" i="1"/>
  <c r="W99" i="1" s="1"/>
  <c r="Y99" i="1" s="1"/>
  <c r="V94" i="1"/>
  <c r="W94" i="1" s="1"/>
  <c r="Y94" i="1" s="1"/>
  <c r="V875" i="1"/>
  <c r="W875" i="1" s="1"/>
  <c r="Y875" i="1" s="1"/>
  <c r="V43" i="1"/>
  <c r="W43" i="1" s="1"/>
  <c r="Y43" i="1" s="1"/>
</calcChain>
</file>

<file path=xl/sharedStrings.xml><?xml version="1.0" encoding="utf-8"?>
<sst xmlns="http://schemas.openxmlformats.org/spreadsheetml/2006/main" count="12592" uniqueCount="1969">
  <si>
    <t>Order Date</t>
  </si>
  <si>
    <t>Customer Name</t>
  </si>
  <si>
    <t>Address</t>
  </si>
  <si>
    <t>City</t>
  </si>
  <si>
    <t>State</t>
  </si>
  <si>
    <t>Customer Type</t>
  </si>
  <si>
    <t>Account Manager</t>
  </si>
  <si>
    <t>Order Priority</t>
  </si>
  <si>
    <t>Product Name</t>
  </si>
  <si>
    <t>Product Category</t>
  </si>
  <si>
    <t>Product Container</t>
  </si>
  <si>
    <t>Ship Mode</t>
  </si>
  <si>
    <t>Ship Date</t>
  </si>
  <si>
    <t>Cost Price</t>
  </si>
  <si>
    <t>Retail Price</t>
  </si>
  <si>
    <t>Order Quantity</t>
  </si>
  <si>
    <t>Shipping Cost</t>
  </si>
  <si>
    <t>Maribeth Yedwab</t>
  </si>
  <si>
    <t>240-242 Johnston Street,Fitzroy</t>
  </si>
  <si>
    <t>Melbourne</t>
  </si>
  <si>
    <t>VIC</t>
  </si>
  <si>
    <t>Home Office</t>
  </si>
  <si>
    <t>Connor Betts</t>
  </si>
  <si>
    <t>Low</t>
  </si>
  <si>
    <t>Beekin 105-Key Black Keyboard</t>
  </si>
  <si>
    <t>Technology</t>
  </si>
  <si>
    <t>Small Box</t>
  </si>
  <si>
    <t>Regular Air</t>
  </si>
  <si>
    <t>Theresa Swint</t>
  </si>
  <si>
    <t>Consumer</t>
  </si>
  <si>
    <t>Medium</t>
  </si>
  <si>
    <t>Binder Clips by OIC</t>
  </si>
  <si>
    <t>Office Supplies</t>
  </si>
  <si>
    <t>Wrap Bag</t>
  </si>
  <si>
    <t>Art Foster</t>
  </si>
  <si>
    <t>Westfield Parramatta,Parramatta</t>
  </si>
  <si>
    <t>Sydney</t>
  </si>
  <si>
    <t>NSW</t>
  </si>
  <si>
    <t>Stevie Bacata</t>
  </si>
  <si>
    <t>Artisan Legal 4-Ring Binder</t>
  </si>
  <si>
    <t>Roland Black</t>
  </si>
  <si>
    <t>438 Victoria Avenue,Chatswood</t>
  </si>
  <si>
    <t>Small Business</t>
  </si>
  <si>
    <t>Natasha Song</t>
  </si>
  <si>
    <t>High</t>
  </si>
  <si>
    <t>Alex Russell</t>
  </si>
  <si>
    <t>99 Lygon Street,East Brunswick</t>
  </si>
  <si>
    <t>Artisan 479 Labels</t>
  </si>
  <si>
    <t>Cindy Chapman</t>
  </si>
  <si>
    <t>53-55 Liverpool St,Sydney</t>
  </si>
  <si>
    <t>Corporate</t>
  </si>
  <si>
    <t>Tina Carlton</t>
  </si>
  <si>
    <t>Not Specified</t>
  </si>
  <si>
    <t>Steady Major Accent Highlighters</t>
  </si>
  <si>
    <t>Joy Daniels</t>
  </si>
  <si>
    <t>12 Princess Hwy,Sylvania</t>
  </si>
  <si>
    <t>Nicholas Fernandes</t>
  </si>
  <si>
    <t>Barrel Sharpener</t>
  </si>
  <si>
    <t>Small Pack</t>
  </si>
  <si>
    <t>Rick Hansen</t>
  </si>
  <si>
    <t>Macquarie Centre Cnr Herring Road &amp; Waterloo Road,Macquarie Park</t>
  </si>
  <si>
    <t>Cando S750 Color Inkjet Printer</t>
  </si>
  <si>
    <t>Jumbo Drum</t>
  </si>
  <si>
    <t>Delivery Truck</t>
  </si>
  <si>
    <t>Kean Thornton</t>
  </si>
  <si>
    <t>Westfield Sydney,Sydney</t>
  </si>
  <si>
    <t>Critical</t>
  </si>
  <si>
    <t>Artisan Hole Reinforcements</t>
  </si>
  <si>
    <t>Harold Pawlan</t>
  </si>
  <si>
    <t>180 High Street,Windsor</t>
  </si>
  <si>
    <t>UGen Ultra Professional Cordless Optical Suite</t>
  </si>
  <si>
    <t>Ken Heidel</t>
  </si>
  <si>
    <t>Binder Posts</t>
  </si>
  <si>
    <t>Jeremy Pistek</t>
  </si>
  <si>
    <t>85-113 Dunning Ave,Roseberry</t>
  </si>
  <si>
    <t>Mihael Khan</t>
  </si>
  <si>
    <t>Artisan Hi-Liter Pen Style Six-Color Fluorescent Set</t>
  </si>
  <si>
    <t>Julia Barnett</t>
  </si>
  <si>
    <t>485 Crown St,Surry Hills</t>
  </si>
  <si>
    <t>Leighton Forrest</t>
  </si>
  <si>
    <t>Alto Parchment Paper, Assorted Colors</t>
  </si>
  <si>
    <t>Luke Weiss</t>
  </si>
  <si>
    <t>88 Oxford St,Woollahra</t>
  </si>
  <si>
    <t>Charlie Bui</t>
  </si>
  <si>
    <t>1726 Digital Answering Machine</t>
  </si>
  <si>
    <t>Medium Box</t>
  </si>
  <si>
    <t>Laurel Workman</t>
  </si>
  <si>
    <t>38/133-145 Castlereagh St,Sydney</t>
  </si>
  <si>
    <t>Apex Straight Scissors</t>
  </si>
  <si>
    <t>Express Air</t>
  </si>
  <si>
    <t>Carol Darley</t>
  </si>
  <si>
    <t>Crown Complex,Southbank</t>
  </si>
  <si>
    <t>Yvette Biti</t>
  </si>
  <si>
    <t>Smiths Colored Interoffice Envelopes</t>
  </si>
  <si>
    <t>Sung Chung</t>
  </si>
  <si>
    <t>127 Liverpool St,Sydney</t>
  </si>
  <si>
    <t>Samantha Chairs</t>
  </si>
  <si>
    <t>OIC Thumb-Tacks</t>
  </si>
  <si>
    <t>Ann Steele</t>
  </si>
  <si>
    <t>6-8 O'Connell Street,Newtown</t>
  </si>
  <si>
    <t>Patrick ODonnell</t>
  </si>
  <si>
    <t>21 Wentworth St,Parramatta</t>
  </si>
  <si>
    <t>Aanya Zhang</t>
  </si>
  <si>
    <t>Artisan Poly Binder Pockets</t>
  </si>
  <si>
    <t>Bart Watters</t>
  </si>
  <si>
    <t>Westfield 1 Anderson St,Chatswood</t>
  </si>
  <si>
    <t>Dave Hallsten</t>
  </si>
  <si>
    <t>1 John St,Waterloo</t>
  </si>
  <si>
    <t>Artisan 474 Labels</t>
  </si>
  <si>
    <t>Stephanie Phelps</t>
  </si>
  <si>
    <t>324A King St,Newtown</t>
  </si>
  <si>
    <t>TechSavi Cordless Elite Duo</t>
  </si>
  <si>
    <t>Muhammed Yedwab</t>
  </si>
  <si>
    <t>18 Whistler St,Sydney</t>
  </si>
  <si>
    <t>Cynthia Arntzen</t>
  </si>
  <si>
    <t>Hoyts Entertainment Quarter 122 Lang Road,Moore Park</t>
  </si>
  <si>
    <t>Smiths Metal Binder Clips</t>
  </si>
  <si>
    <t>Adesso Programmable 142-Key Keyboard</t>
  </si>
  <si>
    <t>Shahid Shariari</t>
  </si>
  <si>
    <t>3/219 Canley Vale Road,Canley Heights</t>
  </si>
  <si>
    <t>Smiths General Use 3-Ring Binders</t>
  </si>
  <si>
    <t>Artisan Binding System Hidden Tab Executive Style Index Sets</t>
  </si>
  <si>
    <t>Tracy Zic</t>
  </si>
  <si>
    <t>24 Addison Rd,Marrickville</t>
  </si>
  <si>
    <t>Radhya Staples</t>
  </si>
  <si>
    <t>Pizazz Drawing Pencil Set</t>
  </si>
  <si>
    <t>Guy Armstrong</t>
  </si>
  <si>
    <t>6 Mary St,Newtown</t>
  </si>
  <si>
    <t>TechSavi Access Keyboard</t>
  </si>
  <si>
    <t>Steve Nguyen</t>
  </si>
  <si>
    <t>61 York St,Sydney</t>
  </si>
  <si>
    <t>Ames Color-File Green Diamond Border X-ray Mailers</t>
  </si>
  <si>
    <t>Lisa Hazard</t>
  </si>
  <si>
    <t>Cnr Williams Road &amp; Lechlade Ave,South Yarra</t>
  </si>
  <si>
    <t>Artisan Binder Labels</t>
  </si>
  <si>
    <t>Giulietta Weimer</t>
  </si>
  <si>
    <t>48 Albion St,Surry Hills</t>
  </si>
  <si>
    <t>Benjamin Farhat</t>
  </si>
  <si>
    <t>188 Pitt Street,Sydney</t>
  </si>
  <si>
    <t>Office Shears by Apex</t>
  </si>
  <si>
    <t>Nora Price</t>
  </si>
  <si>
    <t>7 Khartoum Rd,Macquarie Park</t>
  </si>
  <si>
    <t>Preston Senome</t>
  </si>
  <si>
    <t>Christopher Martinez</t>
  </si>
  <si>
    <t>Apex Box Cutter Scissors</t>
  </si>
  <si>
    <t>Theresa Coyne</t>
  </si>
  <si>
    <t>EcoTones Memo Sheets</t>
  </si>
  <si>
    <t>Monica Federle</t>
  </si>
  <si>
    <t>834 Bourke St,Waterloo</t>
  </si>
  <si>
    <t>Aluminum Document Frame</t>
  </si>
  <si>
    <t>Furniture</t>
  </si>
  <si>
    <t>Dorris Love</t>
  </si>
  <si>
    <t>359 Crown Street,Surry Hills</t>
  </si>
  <si>
    <t>Phoebe Gour</t>
  </si>
  <si>
    <t>Alto Perma 2700 Stacking Storage Drawers</t>
  </si>
  <si>
    <t>Bagged Rubber Bands</t>
  </si>
  <si>
    <t>Ken Lonsdale</t>
  </si>
  <si>
    <t>DrawIt Pizazz Watercolor Pencils, 10-Color Set with Brush</t>
  </si>
  <si>
    <t>Gary Hwang</t>
  </si>
  <si>
    <t>60 York St,Sydney</t>
  </si>
  <si>
    <t>Brad Thomas</t>
  </si>
  <si>
    <t>152 Bunnerong Road,Eastgardens</t>
  </si>
  <si>
    <t>Smiths Gold Paper Clips</t>
  </si>
  <si>
    <t>12 Colored Short Pencils</t>
  </si>
  <si>
    <t>Erica Hernandez</t>
  </si>
  <si>
    <t>Amy Hunt</t>
  </si>
  <si>
    <t>60 Commercial Rd,Prahran</t>
  </si>
  <si>
    <t>Multi-Use Personal File Cart and Caster Set, Three Stacking Bins</t>
  </si>
  <si>
    <t>Ben Peterman</t>
  </si>
  <si>
    <t>Frank Atkinson</t>
  </si>
  <si>
    <t>Jennifer Jackson</t>
  </si>
  <si>
    <t>Anthony Rawles</t>
  </si>
  <si>
    <t>Shop 1, 186-190 Church Street,Parramatta;46a Macleay Street,Potts Point</t>
  </si>
  <si>
    <t>Artisan Durable Binders</t>
  </si>
  <si>
    <t>UGen Ultra Cordless Optical Suite</t>
  </si>
  <si>
    <t>Grant Carroll</t>
  </si>
  <si>
    <t>10 O'Connell St,Sydney</t>
  </si>
  <si>
    <t>Col-Erase Pencils with Erasers</t>
  </si>
  <si>
    <t>Matthew Grinstein</t>
  </si>
  <si>
    <t>105 Pitt St,Sydney</t>
  </si>
  <si>
    <t>Artisan 481 Labels</t>
  </si>
  <si>
    <t>Pauline Chand</t>
  </si>
  <si>
    <t>501 George St,Sydney</t>
  </si>
  <si>
    <t>300 Series Non-Flip</t>
  </si>
  <si>
    <t>John Murray</t>
  </si>
  <si>
    <t>Sydney Fish Market, Bank Street, Sydney</t>
  </si>
  <si>
    <t>Cando PC940 Copier</t>
  </si>
  <si>
    <t>Jack OBriant</t>
  </si>
  <si>
    <t>85-113 Dunning Ave,Rosebery</t>
  </si>
  <si>
    <t>3Max Organizer Strips</t>
  </si>
  <si>
    <t>Laurel Elliston</t>
  </si>
  <si>
    <t>Erin Ashbrook</t>
  </si>
  <si>
    <t>Assorted Color Push Pins</t>
  </si>
  <si>
    <t>Matt Connell</t>
  </si>
  <si>
    <t>470 Anzac Parade,Kingsford</t>
  </si>
  <si>
    <t>Becky Pak</t>
  </si>
  <si>
    <t>79 Elliott St,Balmain</t>
  </si>
  <si>
    <t>Smiths Standard Envelopes</t>
  </si>
  <si>
    <t>Tony Sayre</t>
  </si>
  <si>
    <t>499-501 Lygon Street,Carlton North</t>
  </si>
  <si>
    <t>Artisan Hi-Liter Comfort Grip Fluorescent Highlighter, Yellow Ink</t>
  </si>
  <si>
    <t>Michael Paige</t>
  </si>
  <si>
    <t>506 Swan Street,Richmond</t>
  </si>
  <si>
    <t>Saphhira Shifley</t>
  </si>
  <si>
    <t>Westfield Miranda, 600 Kingsway,Miranda</t>
  </si>
  <si>
    <t>Brown Kraft Recycled Envelopes</t>
  </si>
  <si>
    <t>Jonathan Doherty</t>
  </si>
  <si>
    <t>OIC Colored Binder Clips, Assorted Sizes</t>
  </si>
  <si>
    <t>Alan Barnes</t>
  </si>
  <si>
    <t>99 Glebe Point Rd,Glebe</t>
  </si>
  <si>
    <t>Ryan Crowe</t>
  </si>
  <si>
    <t>Self-Adhesive Removable Labels</t>
  </si>
  <si>
    <t>Dan Campbell</t>
  </si>
  <si>
    <t>1/173-179 Bronte Rd,Waverley</t>
  </si>
  <si>
    <t>Cyra Reiten</t>
  </si>
  <si>
    <t>Laser DVD-RAM discs</t>
  </si>
  <si>
    <t>Luke Foster</t>
  </si>
  <si>
    <t>2-4 College Street, Darlinghurst</t>
  </si>
  <si>
    <t>Ken Black</t>
  </si>
  <si>
    <t>Carol Triggs</t>
  </si>
  <si>
    <t>Creator Anti Dust Chalk, 12/Pack</t>
  </si>
  <si>
    <t>Stephanie Ulpright</t>
  </si>
  <si>
    <t>541 Church St ,Richmond</t>
  </si>
  <si>
    <t>Steady EarthWrite Recycled Pencils, Medium Soft, #2</t>
  </si>
  <si>
    <t>Bill Shonely</t>
  </si>
  <si>
    <t>73 MacLeay St,Potts Point</t>
  </si>
  <si>
    <t>Sheri Gordon</t>
  </si>
  <si>
    <t>Artisan 48 Labels</t>
  </si>
  <si>
    <t>Liz Carlisle</t>
  </si>
  <si>
    <t>797 Botany Rd,Rosebery</t>
  </si>
  <si>
    <t>Cassandra Brandow</t>
  </si>
  <si>
    <t>106 Ebley Street,Bondi Junction</t>
  </si>
  <si>
    <t>Apex Preferred Stainless Steel Scissors</t>
  </si>
  <si>
    <t>Valerie Mitchum</t>
  </si>
  <si>
    <t>Steady 52201 APSCO Electric Pencil Sharpener</t>
  </si>
  <si>
    <t>Roland Murray</t>
  </si>
  <si>
    <t>Steady Colorific Colored Pencils, 12/Box</t>
  </si>
  <si>
    <t>Rick Wilson</t>
  </si>
  <si>
    <t>81 MacLeay St,Potts Point</t>
  </si>
  <si>
    <t>210 Trimline Phone, White</t>
  </si>
  <si>
    <t>Roy Phan</t>
  </si>
  <si>
    <t>Artisan Hanging File Binders</t>
  </si>
  <si>
    <t>George Zrebassa</t>
  </si>
  <si>
    <t>Pierre Wener</t>
  </si>
  <si>
    <t>531 King St,Newtown</t>
  </si>
  <si>
    <t>Joni Sundaresam</t>
  </si>
  <si>
    <t>8 Rankins Lane ,Melbourne</t>
  </si>
  <si>
    <t>Beekin 6 Outlet Metallic Surge Strip</t>
  </si>
  <si>
    <t>Logan Haushalter</t>
  </si>
  <si>
    <t>222 Barkly St,St Kilda</t>
  </si>
  <si>
    <t>Patrick Jones</t>
  </si>
  <si>
    <t>221 Barkly St,St Kilda</t>
  </si>
  <si>
    <t>Unpadded Memo Slips</t>
  </si>
  <si>
    <t>Tanja Norvell</t>
  </si>
  <si>
    <t>541 Church St,Richmond</t>
  </si>
  <si>
    <t>Caroline Jumper</t>
  </si>
  <si>
    <t>145 Ramsay St,Haberfield</t>
  </si>
  <si>
    <t>Nicole Brennan</t>
  </si>
  <si>
    <t>310 Wattle St,Ultimo</t>
  </si>
  <si>
    <t>Sean ODonnell</t>
  </si>
  <si>
    <t>3Max Polarizing Task Lamp with Clamp Arm, Light Gray</t>
  </si>
  <si>
    <t>Large Box</t>
  </si>
  <si>
    <t>Patrick Bzostek</t>
  </si>
  <si>
    <t>1/50-58 Hunter St,Sydney</t>
  </si>
  <si>
    <t>Todd Boyes</t>
  </si>
  <si>
    <t>Edward Nazzal</t>
  </si>
  <si>
    <t>2a/285A Crown St,Surry Hills</t>
  </si>
  <si>
    <t>Chuck Clark</t>
  </si>
  <si>
    <t>Doug Jacobs</t>
  </si>
  <si>
    <t>1/160 Anzac Parade,Kensington</t>
  </si>
  <si>
    <t>Odella Nelson</t>
  </si>
  <si>
    <t>523 King St,Newtown</t>
  </si>
  <si>
    <t>Barry Franz</t>
  </si>
  <si>
    <t>Naresj Patel</t>
  </si>
  <si>
    <t>TypeRight  Top-Opening Peel &amp; Seel Envelopes, Plain White</t>
  </si>
  <si>
    <t>Thea Hendricks</t>
  </si>
  <si>
    <t>412 Brunswick St,Fitzroy</t>
  </si>
  <si>
    <t>TypeRight Side-Opening Peel &amp; Seel Expanding Envelopes</t>
  </si>
  <si>
    <t>Smiths Bulldog Clip</t>
  </si>
  <si>
    <t>Sylvia Foulston</t>
  </si>
  <si>
    <t>Katherine Ducich</t>
  </si>
  <si>
    <t>61A Bay Road,Wollstonecraft</t>
  </si>
  <si>
    <t>Phillip Flathmann</t>
  </si>
  <si>
    <t>David Flashing</t>
  </si>
  <si>
    <t>Laura Armstrong</t>
  </si>
  <si>
    <t>Troy Staebel</t>
  </si>
  <si>
    <t>1-2/299 Sussex St,Sydney</t>
  </si>
  <si>
    <t>Artisan Flip-Chart Easel Binder, Black</t>
  </si>
  <si>
    <t>Mike Kennedy</t>
  </si>
  <si>
    <t>Smiths Colored Bar Computer Paper</t>
  </si>
  <si>
    <t>TechSavi Cordless Access Keyboard</t>
  </si>
  <si>
    <t>Valerie Dominguez</t>
  </si>
  <si>
    <t>Christine Phan</t>
  </si>
  <si>
    <t>Richard Bierner</t>
  </si>
  <si>
    <t>Ashley Jarboe</t>
  </si>
  <si>
    <t>Smiths SlimLine Pencil Sharpener</t>
  </si>
  <si>
    <t>Matthew Clasen</t>
  </si>
  <si>
    <t>Wirebound Message Book, 4 per Page</t>
  </si>
  <si>
    <t>John Castell</t>
  </si>
  <si>
    <t>Artisan 478 Labels</t>
  </si>
  <si>
    <t>Artisan Printable Repositionable Plastic Tabs</t>
  </si>
  <si>
    <t>Economy Rollaway Files</t>
  </si>
  <si>
    <t>Giulietta Baptist</t>
  </si>
  <si>
    <t>Brooke Gillingham</t>
  </si>
  <si>
    <t>Emerson LQ-870 Dot Matrix Printer</t>
  </si>
  <si>
    <t>Nathan Gelder</t>
  </si>
  <si>
    <t>Pizazz Colored Pencils</t>
  </si>
  <si>
    <t>Christina Vanderzanden</t>
  </si>
  <si>
    <t>Smiths File Caddy</t>
  </si>
  <si>
    <t>Darrin Van Huff</t>
  </si>
  <si>
    <t>Raymond Fair</t>
  </si>
  <si>
    <t>Artisan Hi-Liter GlideStik Fluorescent Highlighter, Yellow Ink</t>
  </si>
  <si>
    <t>Kristina Nunn</t>
  </si>
  <si>
    <t>22 Civic Rd,Auburn</t>
  </si>
  <si>
    <t>Cynthia Voltz</t>
  </si>
  <si>
    <t>Clay Ludtke</t>
  </si>
  <si>
    <t>Alto Memo Cubes</t>
  </si>
  <si>
    <t>Lindsay Shagiari</t>
  </si>
  <si>
    <t>5/250 Old Northern Road ,Castle Hill</t>
  </si>
  <si>
    <t>600 Series Non-Flip</t>
  </si>
  <si>
    <t>Henry Goldwyn</t>
  </si>
  <si>
    <t>Jasper Cacioppo</t>
  </si>
  <si>
    <t>HFX LaserJet 3310 Copier</t>
  </si>
  <si>
    <t>PastelOcean Color Pencil Set</t>
  </si>
  <si>
    <t>Quincy Jones</t>
  </si>
  <si>
    <t>Shop 3/144 Waterloo Road,Greenacre</t>
  </si>
  <si>
    <t>Kelly Williams</t>
  </si>
  <si>
    <t>Maria Zettner</t>
  </si>
  <si>
    <t>Ed Ludwig</t>
  </si>
  <si>
    <t>Emily Grady</t>
  </si>
  <si>
    <t>Angle-D Binders with Locking Rings, Label Holders</t>
  </si>
  <si>
    <t>Vivek Grady</t>
  </si>
  <si>
    <t>Colored Envelopes</t>
  </si>
  <si>
    <t>Pete Armstrong</t>
  </si>
  <si>
    <t>Wirebound Voice Message Log Book</t>
  </si>
  <si>
    <t>Dennis Bolton</t>
  </si>
  <si>
    <t>8 Quay Street,Haymarket</t>
  </si>
  <si>
    <t>Artisan 487 Labels</t>
  </si>
  <si>
    <t>Sung Shariari</t>
  </si>
  <si>
    <t>6/15 Cross Street,Double Bay</t>
  </si>
  <si>
    <t>Michelle Arnett</t>
  </si>
  <si>
    <t>Maureen Gastineau</t>
  </si>
  <si>
    <t>Airmail Envelopes</t>
  </si>
  <si>
    <t>Beth Thompson</t>
  </si>
  <si>
    <t>Bruce Stewart</t>
  </si>
  <si>
    <t>Michael Stewart</t>
  </si>
  <si>
    <t>Dean Percer</t>
  </si>
  <si>
    <t>Deluxe Rollaway Locking File with Drawer</t>
  </si>
  <si>
    <t>Michelle Huthwaite</t>
  </si>
  <si>
    <t>155 Oxford Street,Darlinghurst</t>
  </si>
  <si>
    <t>HFX 610 Color Digital Copier / Printer</t>
  </si>
  <si>
    <t>Steady Pocket Accent Highlighters</t>
  </si>
  <si>
    <t>Maribeth Dona</t>
  </si>
  <si>
    <t>Debra Catini</t>
  </si>
  <si>
    <t>Katherine Murray</t>
  </si>
  <si>
    <t>Pizazz Dustless Chalk Sticks</t>
  </si>
  <si>
    <t>Denise Monton</t>
  </si>
  <si>
    <t>2/797 Botany Rd,Rosebery</t>
  </si>
  <si>
    <t>Philip Fox</t>
  </si>
  <si>
    <t>73 York St,Sydney</t>
  </si>
  <si>
    <t>Susan Pistek</t>
  </si>
  <si>
    <t>Astrea Jones</t>
  </si>
  <si>
    <t>Lindsay Castell</t>
  </si>
  <si>
    <t>Qantas Domestic Terminal,Mascot</t>
  </si>
  <si>
    <t>Brian DeCherney</t>
  </si>
  <si>
    <t>DrawIt Colored Pencils, 48-Color Set</t>
  </si>
  <si>
    <t>Harold Dahlen</t>
  </si>
  <si>
    <t>John Huston</t>
  </si>
  <si>
    <t>154 Castlereagh St,Sydney</t>
  </si>
  <si>
    <t>Shaun Weien</t>
  </si>
  <si>
    <t>UGen RF Keyboard</t>
  </si>
  <si>
    <t>Arthur Prichep</t>
  </si>
  <si>
    <t>Neil Knudson</t>
  </si>
  <si>
    <t>4A Lyons St,Strathfield</t>
  </si>
  <si>
    <t>Christina Anderson</t>
  </si>
  <si>
    <t>Multimedia Mailers</t>
  </si>
  <si>
    <t>Vicky Freymann</t>
  </si>
  <si>
    <t>Steady Liquid Accent Tank-Style Highlighters</t>
  </si>
  <si>
    <t>Brad Eason</t>
  </si>
  <si>
    <t>1737 Botany Rd,Banksmeadow</t>
  </si>
  <si>
    <t>Jeremy Farry</t>
  </si>
  <si>
    <t>181 Enmore Rd,Enmore</t>
  </si>
  <si>
    <t>Jim Kriz</t>
  </si>
  <si>
    <t>Smiths Bulk Pack Metal Binder Clips</t>
  </si>
  <si>
    <t>Christy Brittain</t>
  </si>
  <si>
    <t>Bill Donatelli</t>
  </si>
  <si>
    <t>TechSavi Internet Navigator Keyboard</t>
  </si>
  <si>
    <t>Peter Buhler</t>
  </si>
  <si>
    <t>Lela Donovan</t>
  </si>
  <si>
    <t>255 Devonshire St,Surry Hills</t>
  </si>
  <si>
    <t>Jim Karlsson</t>
  </si>
  <si>
    <t>Daniel Lacy</t>
  </si>
  <si>
    <t>Thais Sissman</t>
  </si>
  <si>
    <t>Eva Jacobs</t>
  </si>
  <si>
    <t>Dana Kaydos</t>
  </si>
  <si>
    <t>Eric Barreto</t>
  </si>
  <si>
    <t>John Lucas</t>
  </si>
  <si>
    <t>Rose OBrian</t>
  </si>
  <si>
    <t>157 Norton St,Leichhardt</t>
  </si>
  <si>
    <t>Frank Price</t>
  </si>
  <si>
    <t>224A Gertrude St,Fitzroy</t>
  </si>
  <si>
    <t>Sonia Sunley</t>
  </si>
  <si>
    <t>George Ashbrook</t>
  </si>
  <si>
    <t>Economy Binders</t>
  </si>
  <si>
    <t>John Lee</t>
  </si>
  <si>
    <t>Self-Adhesive Ring Binder Labels</t>
  </si>
  <si>
    <t>Roy Collins</t>
  </si>
  <si>
    <t>Cindy Stewart</t>
  </si>
  <si>
    <t>24 Capacity Maxi Data Binder Racks, Pearl</t>
  </si>
  <si>
    <t>Michelle Moray</t>
  </si>
  <si>
    <t>Fluorescent Highlighters by DrawIt</t>
  </si>
  <si>
    <t>Artisan Heavy-Duty EZD  Binder With Locking Rings</t>
  </si>
  <si>
    <t>Greg Hansen</t>
  </si>
  <si>
    <t>Scott Cohen</t>
  </si>
  <si>
    <t>Sally Knutson</t>
  </si>
  <si>
    <t>Valerie Takahito</t>
  </si>
  <si>
    <t>Toby Carlisle</t>
  </si>
  <si>
    <t>Stuart Van</t>
  </si>
  <si>
    <t>Shahid Collister</t>
  </si>
  <si>
    <t>Heather Kirkland</t>
  </si>
  <si>
    <t>Thomas Thornton</t>
  </si>
  <si>
    <t>Don Weiss</t>
  </si>
  <si>
    <t>Darrin Sayre</t>
  </si>
  <si>
    <t>Denny Joy</t>
  </si>
  <si>
    <t>Barry Weirich</t>
  </si>
  <si>
    <t>Berenike Kampe</t>
  </si>
  <si>
    <t>Colored Push Pins</t>
  </si>
  <si>
    <t>Corey Lock</t>
  </si>
  <si>
    <t>Adrian Shami</t>
  </si>
  <si>
    <t>Apex Forged Steel Scissors with Black Enamel Handles</t>
  </si>
  <si>
    <t>Hunter Glantz</t>
  </si>
  <si>
    <t>Ruben Dartt</t>
  </si>
  <si>
    <t>Alan Dominguez</t>
  </si>
  <si>
    <t>Craig Leslie</t>
  </si>
  <si>
    <t>10 Bligh St,Melbourne</t>
  </si>
  <si>
    <t>Deirdre Greer</t>
  </si>
  <si>
    <t>33/4 Barangaroo Avenue,Sydney</t>
  </si>
  <si>
    <t>Nick Crebassa</t>
  </si>
  <si>
    <t>Cyma Kinney</t>
  </si>
  <si>
    <t>Toby Knight</t>
  </si>
  <si>
    <t>Deanra Eno</t>
  </si>
  <si>
    <t>Michael Kennedy</t>
  </si>
  <si>
    <t>3 Orwell St,Potts Point</t>
  </si>
  <si>
    <t>Robert Marley</t>
  </si>
  <si>
    <t>211/25-29 Dixon St,Haymarket</t>
  </si>
  <si>
    <t>Artisan File Folder Labels</t>
  </si>
  <si>
    <t>MaryBeth Skach</t>
  </si>
  <si>
    <t>Laser Neon Mac Format Diskettes, 10/Pack</t>
  </si>
  <si>
    <t>Sandra Flanagan</t>
  </si>
  <si>
    <t>Xit Blank Computer Paper</t>
  </si>
  <si>
    <t>Magdelene Morse</t>
  </si>
  <si>
    <t>53 Riley Street,Woolloomooloo</t>
  </si>
  <si>
    <t>Smiths Pushpins</t>
  </si>
  <si>
    <t>Andrew Allen</t>
  </si>
  <si>
    <t>Shirley Schmidt</t>
  </si>
  <si>
    <t>Erica Smith</t>
  </si>
  <si>
    <t>600 Series Flip</t>
  </si>
  <si>
    <t>Steven Cartwright</t>
  </si>
  <si>
    <t>Linda Southworth</t>
  </si>
  <si>
    <t>Artisan Hi-Liter Smear-Safe Highlighters</t>
  </si>
  <si>
    <t>Clay Cheatham</t>
  </si>
  <si>
    <t>Andy Reiter</t>
  </si>
  <si>
    <t>Dionis Lloyd</t>
  </si>
  <si>
    <t>Don Jones</t>
  </si>
  <si>
    <t>Gary Hansen</t>
  </si>
  <si>
    <t>273 George Street,Sydney</t>
  </si>
  <si>
    <t>Scot Coram</t>
  </si>
  <si>
    <t>Alejandro Ballentine</t>
  </si>
  <si>
    <t>Lumi Crayons</t>
  </si>
  <si>
    <t>Ralph Knight</t>
  </si>
  <si>
    <t>5/63-71 Enmore Rd,Newtown</t>
  </si>
  <si>
    <t>Roy Skaria</t>
  </si>
  <si>
    <t>Ed Braxton</t>
  </si>
  <si>
    <t>Darrin Martin</t>
  </si>
  <si>
    <t>Patrick Gardner</t>
  </si>
  <si>
    <t>Artisan Reinforcements for Hole-Punch Pages</t>
  </si>
  <si>
    <t>Bryan Spruell</t>
  </si>
  <si>
    <t>1 John Street,Waterloo</t>
  </si>
  <si>
    <t>Noel Staavos</t>
  </si>
  <si>
    <t>Aleksandra Gannaway</t>
  </si>
  <si>
    <t>Message Book, One Form per Page</t>
  </si>
  <si>
    <t>Joy Bell</t>
  </si>
  <si>
    <t>Tamara Willingham</t>
  </si>
  <si>
    <t>Sue Ann Reed</t>
  </si>
  <si>
    <t>Justin MacKendrick</t>
  </si>
  <si>
    <t>53-55 Liverpool Street,Sydney</t>
  </si>
  <si>
    <t>Maria Bertelson</t>
  </si>
  <si>
    <t>Lena Creighton</t>
  </si>
  <si>
    <t>Steady Liquid Accent Highlighters</t>
  </si>
  <si>
    <t>Bart Folk</t>
  </si>
  <si>
    <t>Matt Collister</t>
  </si>
  <si>
    <t>DrawIt Colored Pencils</t>
  </si>
  <si>
    <t>Gary McGarr</t>
  </si>
  <si>
    <t>Ken Dana</t>
  </si>
  <si>
    <t>Art Miller</t>
  </si>
  <si>
    <t>Karl Brown</t>
  </si>
  <si>
    <t>Sarah Foster</t>
  </si>
  <si>
    <t>Olvera Toch</t>
  </si>
  <si>
    <t>3 Carrington Road ,Box Hill</t>
  </si>
  <si>
    <t>Patrick OBrill</t>
  </si>
  <si>
    <t>Charles Crestani</t>
  </si>
  <si>
    <t>Paul Knutson</t>
  </si>
  <si>
    <t>Craig Carroll</t>
  </si>
  <si>
    <t>Alliance Rubber Bands</t>
  </si>
  <si>
    <t>Erin Creighton</t>
  </si>
  <si>
    <t>Dan Lawera</t>
  </si>
  <si>
    <t>Paul MacIntyre</t>
  </si>
  <si>
    <t>Artisan Arch Ring Binders</t>
  </si>
  <si>
    <t>Julie Creighton</t>
  </si>
  <si>
    <t>Smiths Pen Style Liquid Stix; Assorted (yellow, pink, green, blue, orange), 5/Pack</t>
  </si>
  <si>
    <t>Ellis Ballard</t>
  </si>
  <si>
    <t>Lycoris Saunders</t>
  </si>
  <si>
    <t>Beth Fritzler</t>
  </si>
  <si>
    <t>Shahid Hopkins</t>
  </si>
  <si>
    <t>Jenna Caffey</t>
  </si>
  <si>
    <t>Alan Hwang</t>
  </si>
  <si>
    <t>223 Barkly St,St Kilda</t>
  </si>
  <si>
    <t>Michael Oakman</t>
  </si>
  <si>
    <t>Peter Fuller</t>
  </si>
  <si>
    <t>Cindy Schnelling</t>
  </si>
  <si>
    <t>Mitch Gastineau</t>
  </si>
  <si>
    <t>Bobby Trafton</t>
  </si>
  <si>
    <t>Gary Zandusky</t>
  </si>
  <si>
    <t>Tamara Manning</t>
  </si>
  <si>
    <t>184 King Street,Newtown</t>
  </si>
  <si>
    <t>William Brown</t>
  </si>
  <si>
    <t>HFX 6S Scientific Calculator</t>
  </si>
  <si>
    <t>Annie Thurman</t>
  </si>
  <si>
    <t>Kelly Lampkin</t>
  </si>
  <si>
    <t>OIC Bulk Pack Metal Binder Clips</t>
  </si>
  <si>
    <t>Barbara Fisher</t>
  </si>
  <si>
    <t>Lisa DeCherney</t>
  </si>
  <si>
    <t>Smiths Paper Clips</t>
  </si>
  <si>
    <t>Clytie Kelty</t>
  </si>
  <si>
    <t>8 Khartoum Rd,Macquarie Park</t>
  </si>
  <si>
    <t>Janet Lee</t>
  </si>
  <si>
    <t>Emerson Stylus 1520 Color Inkjet Printer</t>
  </si>
  <si>
    <t>Damala Kotsonis</t>
  </si>
  <si>
    <t>Anthony Johnson</t>
  </si>
  <si>
    <t>Brad Norvell</t>
  </si>
  <si>
    <t>120 Hardware St,Melbourne</t>
  </si>
  <si>
    <t>Yana Sorensen</t>
  </si>
  <si>
    <t>Denise Leinenbach</t>
  </si>
  <si>
    <t>Mitch Webber</t>
  </si>
  <si>
    <t>Apex Office Executive Series Stainless Steel Trimmers</t>
  </si>
  <si>
    <t>Ricardo Emerson</t>
  </si>
  <si>
    <t>Bobby Elias</t>
  </si>
  <si>
    <t>Meg Tillman</t>
  </si>
  <si>
    <t>Victor Price</t>
  </si>
  <si>
    <t>Grant Thornton</t>
  </si>
  <si>
    <t>98 Holdsworth Street,Woollahra</t>
  </si>
  <si>
    <t>Larry Hughes</t>
  </si>
  <si>
    <t>Maxwell Schwartz</t>
  </si>
  <si>
    <t>Edward Becker</t>
  </si>
  <si>
    <t>Eleni McCrary</t>
  </si>
  <si>
    <t>Fred McMath</t>
  </si>
  <si>
    <t>Alto Six-Outlet Power Strip, 4 Cord Length</t>
  </si>
  <si>
    <t>Nora Pelletier</t>
  </si>
  <si>
    <t>5/250 Old Northern Road,Castle Hill</t>
  </si>
  <si>
    <t>Nona Balk</t>
  </si>
  <si>
    <t>Raymond Book</t>
  </si>
  <si>
    <t>Christine Sundaresam</t>
  </si>
  <si>
    <t>Steve Carroll</t>
  </si>
  <si>
    <t>Alto 3-Hole Punch</t>
  </si>
  <si>
    <t>Tracy Collins</t>
  </si>
  <si>
    <t>TechSavi Cordless Navigator Duo</t>
  </si>
  <si>
    <t>Julie Prescott</t>
  </si>
  <si>
    <t>Jack Lebron</t>
  </si>
  <si>
    <t>Toby Grace</t>
  </si>
  <si>
    <t>Carl Jackson</t>
  </si>
  <si>
    <t>Adams "While You Were Out" Message Pads</t>
  </si>
  <si>
    <t>Greg Tran</t>
  </si>
  <si>
    <t>Christopher Conant</t>
  </si>
  <si>
    <t>Fred Chung</t>
  </si>
  <si>
    <t>Neil French</t>
  </si>
  <si>
    <t>Cynthia Delaney</t>
  </si>
  <si>
    <t>Susan Vittorini</t>
  </si>
  <si>
    <t>Barry Blumstein</t>
  </si>
  <si>
    <t>Barry Gonzalez</t>
  </si>
  <si>
    <t>Keith Dawkins</t>
  </si>
  <si>
    <t>402 Argyle St,Moss Vale</t>
  </si>
  <si>
    <t>Larry Tron</t>
  </si>
  <si>
    <t>Ralph Kennedy</t>
  </si>
  <si>
    <t>3Max Polarizing Light Filter Sleeves</t>
  </si>
  <si>
    <t>Patrick Ryan</t>
  </si>
  <si>
    <t>Artisan Non-Stick Binders</t>
  </si>
  <si>
    <t>Randy Ferguson</t>
  </si>
  <si>
    <t>Karen Ferguson</t>
  </si>
  <si>
    <t>Brian Dahlen</t>
  </si>
  <si>
    <t>Joseph Airdo</t>
  </si>
  <si>
    <t>Max Engle</t>
  </si>
  <si>
    <t>Stefania Perrino</t>
  </si>
  <si>
    <t>Arianne Irving</t>
  </si>
  <si>
    <t>Lauren Leatherbury</t>
  </si>
  <si>
    <t>Beth Paige</t>
  </si>
  <si>
    <t>Erica Bern</t>
  </si>
  <si>
    <t>Annie Cyprus</t>
  </si>
  <si>
    <t>Tamara Chand</t>
  </si>
  <si>
    <t>96 Liverpool St,Sydney</t>
  </si>
  <si>
    <t>Alan Schoenberger</t>
  </si>
  <si>
    <t>333-339 Enmore Rd,Marrickville</t>
  </si>
  <si>
    <t>Liz MacKendrick</t>
  </si>
  <si>
    <t>Michael Chen</t>
  </si>
  <si>
    <t>Nathan Mautz</t>
  </si>
  <si>
    <t>George Bell</t>
  </si>
  <si>
    <t>Lynn Smith</t>
  </si>
  <si>
    <t>Maurice Satty</t>
  </si>
  <si>
    <t>Mike Gockenbach</t>
  </si>
  <si>
    <t>Thomas Boland</t>
  </si>
  <si>
    <t>Allen Armold</t>
  </si>
  <si>
    <t>Alan Shonely</t>
  </si>
  <si>
    <t>Carlos Meador</t>
  </si>
  <si>
    <t>Sibella Parks</t>
  </si>
  <si>
    <t>Muhammed MacIntyre</t>
  </si>
  <si>
    <t>Frank Hawley</t>
  </si>
  <si>
    <t>Shop 1 797 Botany Rd,Rosebery</t>
  </si>
  <si>
    <t>Penelope Sewall</t>
  </si>
  <si>
    <t>Ricardo Block</t>
  </si>
  <si>
    <t>Shui Tom</t>
  </si>
  <si>
    <t>Bill Stewart</t>
  </si>
  <si>
    <t>Michelle Lonsdale</t>
  </si>
  <si>
    <t>Suzanne McNair</t>
  </si>
  <si>
    <t>Denny Blanton</t>
  </si>
  <si>
    <t>Apex Elite Stainless Steel Scissors</t>
  </si>
  <si>
    <t>Chad McGuire</t>
  </si>
  <si>
    <t>Pauline Webber</t>
  </si>
  <si>
    <t>Dianna Arnett</t>
  </si>
  <si>
    <t>Peter McVee</t>
  </si>
  <si>
    <t>Frank Carlisle</t>
  </si>
  <si>
    <t>Christopher Schild</t>
  </si>
  <si>
    <t>Artisan Hi-Liter Fluorescent Desk Style Markers</t>
  </si>
  <si>
    <t>Deborah Brumfield</t>
  </si>
  <si>
    <t>Art Ferguson</t>
  </si>
  <si>
    <t>Philip Brown</t>
  </si>
  <si>
    <t>Artisan Durable Poly Binders</t>
  </si>
  <si>
    <t>Arthur Gainer</t>
  </si>
  <si>
    <t>Trudy Schmidt</t>
  </si>
  <si>
    <t>Alejandro Grove</t>
  </si>
  <si>
    <t>Bradley Nguyen</t>
  </si>
  <si>
    <t>Tom Stivers</t>
  </si>
  <si>
    <t>Katrina Edelman</t>
  </si>
  <si>
    <t>Craig Molinari</t>
  </si>
  <si>
    <t>Tom Ashbrook</t>
  </si>
  <si>
    <t>Alto Keyboard-In-A-Box</t>
  </si>
  <si>
    <t>Apex Design Stainless Steel Bent Scissors</t>
  </si>
  <si>
    <t>Natalie Webber</t>
  </si>
  <si>
    <t>98-104 Parramatta Rd,Camperdown</t>
  </si>
  <si>
    <t>Jonathan Howell</t>
  </si>
  <si>
    <t>Carlos Soltero</t>
  </si>
  <si>
    <t>1/41B Elizabeth Bay Rd,Elizabeth Bay</t>
  </si>
  <si>
    <t>Anthony Garverick</t>
  </si>
  <si>
    <t>Trudy Brown</t>
  </si>
  <si>
    <t>Tracy Poddar</t>
  </si>
  <si>
    <t>Sarah Bern</t>
  </si>
  <si>
    <t>Anne McFarland</t>
  </si>
  <si>
    <t>Roy French</t>
  </si>
  <si>
    <t>78 Stanley St,Darlinghurst</t>
  </si>
  <si>
    <t>Ann Blume</t>
  </si>
  <si>
    <t>Brian Thompson</t>
  </si>
  <si>
    <t>Security-Tint Envelopes</t>
  </si>
  <si>
    <t>Sandra Glassco</t>
  </si>
  <si>
    <t>Ralph Arnett</t>
  </si>
  <si>
    <t>Doug Bickford</t>
  </si>
  <si>
    <t>David Smith</t>
  </si>
  <si>
    <t>Ionia McGrath</t>
  </si>
  <si>
    <t>Claire Good</t>
  </si>
  <si>
    <t>7/370-374 Victoria Ave,Chatswood</t>
  </si>
  <si>
    <t>Cari Schnelling</t>
  </si>
  <si>
    <t>Julia Dunbar</t>
  </si>
  <si>
    <t>Binding Machine Supplies</t>
  </si>
  <si>
    <t>Carl Ludwig</t>
  </si>
  <si>
    <t>Corinna Mitchell</t>
  </si>
  <si>
    <t>27 Greenfield Parade,Bankstown</t>
  </si>
  <si>
    <t>Jennifer Braxton</t>
  </si>
  <si>
    <t>Artisan Hi-Liter EverBold Pen Style Fluorescent Highlighters, 4/Pack</t>
  </si>
  <si>
    <t>Clay Rozendal</t>
  </si>
  <si>
    <t>Maya Herman</t>
  </si>
  <si>
    <t>Max Jones</t>
  </si>
  <si>
    <t>Jim Sink</t>
  </si>
  <si>
    <t>Katherine Nockton</t>
  </si>
  <si>
    <t>Troy Blackwell</t>
  </si>
  <si>
    <t>Joy Smith</t>
  </si>
  <si>
    <t>Katrina Willman</t>
  </si>
  <si>
    <t>Sarah Brown</t>
  </si>
  <si>
    <t>Artisan Round Ring Poly Binders</t>
  </si>
  <si>
    <t>Alto Perma 3000 Stacking Storage Drawers</t>
  </si>
  <si>
    <t>Tim Taslimi</t>
  </si>
  <si>
    <t>Desktop 3-Pocket Hot File</t>
  </si>
  <si>
    <t>Greg Guthrie</t>
  </si>
  <si>
    <t>Brian Stugart</t>
  </si>
  <si>
    <t>Theone Pippenger</t>
  </si>
  <si>
    <t>Harry Greene</t>
  </si>
  <si>
    <t>Marc Crier</t>
  </si>
  <si>
    <t>Robert Barroso</t>
  </si>
  <si>
    <t>163 Concord Road,North Strathfield</t>
  </si>
  <si>
    <t>Vivek Gonzalez</t>
  </si>
  <si>
    <t>Janet Martin</t>
  </si>
  <si>
    <t>Ritsa Hightower</t>
  </si>
  <si>
    <t>Jesus Ocampo</t>
  </si>
  <si>
    <t>Nicole Hansen</t>
  </si>
  <si>
    <t>Giulietta Dortch</t>
  </si>
  <si>
    <t>Harold Ryan</t>
  </si>
  <si>
    <t>Brendan Murry</t>
  </si>
  <si>
    <t>Jamie Kunitz</t>
  </si>
  <si>
    <t>Jill Stevenson</t>
  </si>
  <si>
    <t>Becky Castell</t>
  </si>
  <si>
    <t>Eugene Moren</t>
  </si>
  <si>
    <t>TechSavi Cordless Keyboard</t>
  </si>
  <si>
    <t>Catherine Glotzbach</t>
  </si>
  <si>
    <t>Kelly Collister</t>
  </si>
  <si>
    <t>Roger Demir</t>
  </si>
  <si>
    <t>2/86 Enmore Rd,Enmore</t>
  </si>
  <si>
    <t>Sam Craven</t>
  </si>
  <si>
    <t>Trudy Bell</t>
  </si>
  <si>
    <t>Sanjit Jacobs</t>
  </si>
  <si>
    <t>Liz Price</t>
  </si>
  <si>
    <t>Charles McCrossin</t>
  </si>
  <si>
    <t>Jack Garza</t>
  </si>
  <si>
    <t>Victoria Pisteka</t>
  </si>
  <si>
    <t>Aaron Bergman</t>
  </si>
  <si>
    <t>Vivek Sundaresam</t>
  </si>
  <si>
    <t>Ruben Ausman</t>
  </si>
  <si>
    <t>Jill Fjeld</t>
  </si>
  <si>
    <t>Benjamin Patterson</t>
  </si>
  <si>
    <t>Sara Luxemburg</t>
  </si>
  <si>
    <t>Adrian Hane</t>
  </si>
  <si>
    <t>Tonja Turnell</t>
  </si>
  <si>
    <t>Carol Adams</t>
  </si>
  <si>
    <t>Shirley Jackson</t>
  </si>
  <si>
    <t>Keith Herrera</t>
  </si>
  <si>
    <t>Mark Packer</t>
  </si>
  <si>
    <t>Victoria Wilson</t>
  </si>
  <si>
    <t>Gene Hale</t>
  </si>
  <si>
    <t>Steady Colorific Eraseable Coloring Pencils, 12 Count</t>
  </si>
  <si>
    <t>Bobby Odegard</t>
  </si>
  <si>
    <t>James Galang</t>
  </si>
  <si>
    <t>Daniel Byrd</t>
  </si>
  <si>
    <t>Christine Abelman</t>
  </si>
  <si>
    <t>Nora Paige</t>
  </si>
  <si>
    <t>Barry Pond</t>
  </si>
  <si>
    <t>Jim Mitchum</t>
  </si>
  <si>
    <t>Bruce Degenhardt</t>
  </si>
  <si>
    <t>Toby Swindell</t>
  </si>
  <si>
    <t>Chuck Sachs</t>
  </si>
  <si>
    <t>Frank Merwin</t>
  </si>
  <si>
    <t>Dianna Wilson</t>
  </si>
  <si>
    <t>Jeremy Lonsdale</t>
  </si>
  <si>
    <t>Andy Yotov</t>
  </si>
  <si>
    <t>Melanie Page</t>
  </si>
  <si>
    <t>Richard Eichhorn</t>
  </si>
  <si>
    <t>Juliana Krohn</t>
  </si>
  <si>
    <t>Jennifer Patt</t>
  </si>
  <si>
    <t>Jim Radford</t>
  </si>
  <si>
    <t>Tracy Blumstein</t>
  </si>
  <si>
    <t>Liz Willingham</t>
  </si>
  <si>
    <t>Michelle Tran</t>
  </si>
  <si>
    <t>Anemone Ratner</t>
  </si>
  <si>
    <t>Xylona Price</t>
  </si>
  <si>
    <t>Brenda Bowman</t>
  </si>
  <si>
    <t>Carlos Daly</t>
  </si>
  <si>
    <t>Steve Chapman</t>
  </si>
  <si>
    <t>Alex Grayson</t>
  </si>
  <si>
    <t>Rob Haberlin</t>
  </si>
  <si>
    <t>Anne Pryor</t>
  </si>
  <si>
    <t>Justin Ellison</t>
  </si>
  <si>
    <t>Chad Cunningham</t>
  </si>
  <si>
    <t>Dennis Pardue</t>
  </si>
  <si>
    <t>Rick Duston</t>
  </si>
  <si>
    <t>260 Marrickville Rd,Marrickville</t>
  </si>
  <si>
    <t>Adam Hart</t>
  </si>
  <si>
    <t>Delfina Latchford</t>
  </si>
  <si>
    <t>Lena Radford</t>
  </si>
  <si>
    <t>Creator Colored Pencils</t>
  </si>
  <si>
    <t>Erica Hackney</t>
  </si>
  <si>
    <t>Amy Cox</t>
  </si>
  <si>
    <t>TypeRight  Top-Opening Peel &amp; Seel  Envelopes, Gray</t>
  </si>
  <si>
    <t>Pamela Coakley</t>
  </si>
  <si>
    <t>Blackstonian Pencils</t>
  </si>
  <si>
    <t>Elpida Rittenbach</t>
  </si>
  <si>
    <t>Susan MacKendrick</t>
  </si>
  <si>
    <t>Dennis Kane</t>
  </si>
  <si>
    <t>Mathew Reese</t>
  </si>
  <si>
    <t>Hilary Holden</t>
  </si>
  <si>
    <t>Michael Nguyen</t>
  </si>
  <si>
    <t>Sarah Jordon</t>
  </si>
  <si>
    <t>Bill Eplett</t>
  </si>
  <si>
    <t>Helen Andreada</t>
  </si>
  <si>
    <t>Emerson C82 Color Inkjet Printer</t>
  </si>
  <si>
    <t>Mark Van Huff</t>
  </si>
  <si>
    <t>Sanjit Engle</t>
  </si>
  <si>
    <t>Nat Gilpin</t>
  </si>
  <si>
    <t>274 Canley Vale Rd,Canley Heights</t>
  </si>
  <si>
    <t>Fred Wasserman</t>
  </si>
  <si>
    <t>Nick Zandusky</t>
  </si>
  <si>
    <t>Charlotte Melton</t>
  </si>
  <si>
    <t>Duane Huffman</t>
  </si>
  <si>
    <t>Don Miller</t>
  </si>
  <si>
    <t>Tony Molinari</t>
  </si>
  <si>
    <t>Justin Hirsh</t>
  </si>
  <si>
    <t>Chuck Magee</t>
  </si>
  <si>
    <t>Eugene Barchas</t>
  </si>
  <si>
    <t>Pamela Stobb</t>
  </si>
  <si>
    <t>Jas OCarroll</t>
  </si>
  <si>
    <t>Tom Prescott</t>
  </si>
  <si>
    <t>Eugene Hildebrand</t>
  </si>
  <si>
    <t>Paul Prost</t>
  </si>
  <si>
    <t>Ed Jacobs</t>
  </si>
  <si>
    <t>Joni Wasserman</t>
  </si>
  <si>
    <t>John Dryer</t>
  </si>
  <si>
    <t>Michael Grace</t>
  </si>
  <si>
    <t>Chloris Kastensmidt</t>
  </si>
  <si>
    <t>Mick Crebagga</t>
  </si>
  <si>
    <t>Ann Chong</t>
  </si>
  <si>
    <t>Marina Lichtenstein</t>
  </si>
  <si>
    <t>Victoria Brennan</t>
  </si>
  <si>
    <t>Michael Granlund</t>
  </si>
  <si>
    <t>Max Ludwig</t>
  </si>
  <si>
    <t>Nancy Lomonaco</t>
  </si>
  <si>
    <t>Artisan Premier Heavy-Duty Binder with Round Locking Rings</t>
  </si>
  <si>
    <t>Skye Norling</t>
  </si>
  <si>
    <t>Bradley Drucker</t>
  </si>
  <si>
    <t>Justin Knight</t>
  </si>
  <si>
    <t>Dave Poirier</t>
  </si>
  <si>
    <t>Edward Hooks</t>
  </si>
  <si>
    <t>Kean Takahito</t>
  </si>
  <si>
    <t>Vivian Mathis</t>
  </si>
  <si>
    <t>Seth Vernon</t>
  </si>
  <si>
    <t>Charles Sheldon</t>
  </si>
  <si>
    <t>Adam Shillingsburg</t>
  </si>
  <si>
    <t>Ben Wallace</t>
  </si>
  <si>
    <t>Julie Kriz</t>
  </si>
  <si>
    <t>Aaron Smayling</t>
  </si>
  <si>
    <t>Stuart Calhoun</t>
  </si>
  <si>
    <t>Adam Bellavance</t>
  </si>
  <si>
    <t>Paul Lucas</t>
  </si>
  <si>
    <t>Mike Vittorini</t>
  </si>
  <si>
    <t>Jim Epp</t>
  </si>
  <si>
    <t>Luke Schmidt</t>
  </si>
  <si>
    <t>Denny Ordway</t>
  </si>
  <si>
    <t>Becky Martin</t>
  </si>
  <si>
    <t>Dave Kipp</t>
  </si>
  <si>
    <t>Nat Carroll</t>
  </si>
  <si>
    <t>Eudokia Martin</t>
  </si>
  <si>
    <t>Scot Wooten</t>
  </si>
  <si>
    <t>Liz Pelletier</t>
  </si>
  <si>
    <t>Thea Hudgings</t>
  </si>
  <si>
    <t>Dario Medina</t>
  </si>
  <si>
    <t>Smiths Premium Bright 1-Part Blank Computer Paper</t>
  </si>
  <si>
    <t>Noah Childs</t>
  </si>
  <si>
    <t>Mick Brown</t>
  </si>
  <si>
    <t>Darren Powers</t>
  </si>
  <si>
    <t>Rick Reed</t>
  </si>
  <si>
    <t>Sean Wendt</t>
  </si>
  <si>
    <t>Tamara Dahlen</t>
  </si>
  <si>
    <t>Total</t>
  </si>
  <si>
    <t>Sub Total</t>
  </si>
  <si>
    <t>Order Total</t>
  </si>
  <si>
    <t>Discount %</t>
  </si>
  <si>
    <t>Discount $</t>
  </si>
  <si>
    <t>Order No</t>
  </si>
  <si>
    <t>5071-1</t>
  </si>
  <si>
    <t>5071-2</t>
  </si>
  <si>
    <t>5160-1</t>
  </si>
  <si>
    <t>5160-2</t>
  </si>
  <si>
    <t>5168-1</t>
  </si>
  <si>
    <t>5168-2</t>
  </si>
  <si>
    <t>5195-1</t>
  </si>
  <si>
    <t>5195-2</t>
  </si>
  <si>
    <t>5268-1</t>
  </si>
  <si>
    <t>5268-2</t>
  </si>
  <si>
    <t>5274-1</t>
  </si>
  <si>
    <t>5274-2</t>
  </si>
  <si>
    <t>5335-1</t>
  </si>
  <si>
    <t>5335-2</t>
  </si>
  <si>
    <t>5358-1</t>
  </si>
  <si>
    <t>5358-2</t>
  </si>
  <si>
    <t>5367-1</t>
  </si>
  <si>
    <t>5367-2</t>
  </si>
  <si>
    <t>5402-1</t>
  </si>
  <si>
    <t>5402-2</t>
  </si>
  <si>
    <t>5479-1</t>
  </si>
  <si>
    <t>5479-2</t>
  </si>
  <si>
    <t>5539-1</t>
  </si>
  <si>
    <t>5539-2</t>
  </si>
  <si>
    <t>5558-1</t>
  </si>
  <si>
    <t>5558-2</t>
  </si>
  <si>
    <t>5566-1</t>
  </si>
  <si>
    <t>5566-2</t>
  </si>
  <si>
    <t>5599-1</t>
  </si>
  <si>
    <t>5599-2</t>
  </si>
  <si>
    <t>5609-1</t>
  </si>
  <si>
    <t>5609-2</t>
  </si>
  <si>
    <t>5621-1</t>
  </si>
  <si>
    <t>5621-2</t>
  </si>
  <si>
    <t>5655-1</t>
  </si>
  <si>
    <t>5655-2</t>
  </si>
  <si>
    <t>5724-1</t>
  </si>
  <si>
    <t>5724-2</t>
  </si>
  <si>
    <t>5762-1</t>
  </si>
  <si>
    <t>5762-2</t>
  </si>
  <si>
    <t>5768-1</t>
  </si>
  <si>
    <t>5768-2</t>
  </si>
  <si>
    <t>5804-1</t>
  </si>
  <si>
    <t>5804-2</t>
  </si>
  <si>
    <t>5869-1</t>
  </si>
  <si>
    <t>5869-2</t>
  </si>
  <si>
    <t>5887-1</t>
  </si>
  <si>
    <t>5943-1</t>
  </si>
  <si>
    <t>5943-2</t>
  </si>
  <si>
    <t>5990-1</t>
  </si>
  <si>
    <t>5990-2</t>
  </si>
  <si>
    <t>5997-1</t>
  </si>
  <si>
    <t>5997-2</t>
  </si>
  <si>
    <t>6014-1</t>
  </si>
  <si>
    <t>6014-2</t>
  </si>
  <si>
    <t>6104-1</t>
  </si>
  <si>
    <t>6104-2</t>
  </si>
  <si>
    <t>6143-1</t>
  </si>
  <si>
    <t>6143-2</t>
  </si>
  <si>
    <t>6159-1</t>
  </si>
  <si>
    <t>6159-2</t>
  </si>
  <si>
    <t>6197-1</t>
  </si>
  <si>
    <t>6197-2</t>
  </si>
  <si>
    <t>6266-1</t>
  </si>
  <si>
    <t>6266-2</t>
  </si>
  <si>
    <t>6278-1</t>
  </si>
  <si>
    <t>6278-2</t>
  </si>
  <si>
    <t>6280-1</t>
  </si>
  <si>
    <t>6280-2</t>
  </si>
  <si>
    <t>6324-1</t>
  </si>
  <si>
    <t>6325-1</t>
  </si>
  <si>
    <t>6325-2</t>
  </si>
  <si>
    <t>6328-1</t>
  </si>
  <si>
    <t>6336-1</t>
  </si>
  <si>
    <t>6336-2</t>
  </si>
  <si>
    <t>6384-1</t>
  </si>
  <si>
    <t>6384-2</t>
  </si>
  <si>
    <t>6403-1</t>
  </si>
  <si>
    <t>6403-2</t>
  </si>
  <si>
    <t>6417-1</t>
  </si>
  <si>
    <t>6417-2</t>
  </si>
  <si>
    <t>6457-1</t>
  </si>
  <si>
    <t>6457-2</t>
  </si>
  <si>
    <t>6515-1</t>
  </si>
  <si>
    <t>6515-2</t>
  </si>
  <si>
    <t>5014-1</t>
  </si>
  <si>
    <t>5016-1</t>
  </si>
  <si>
    <t>5018-1</t>
  </si>
  <si>
    <t>5019-1</t>
  </si>
  <si>
    <t>5020-1</t>
  </si>
  <si>
    <t>5023-1</t>
  </si>
  <si>
    <t>5024-1</t>
  </si>
  <si>
    <t>5025-1</t>
  </si>
  <si>
    <t>5027-1</t>
  </si>
  <si>
    <t>5029-1</t>
  </si>
  <si>
    <t>5031-1</t>
  </si>
  <si>
    <t>5033-1</t>
  </si>
  <si>
    <t>5034-1</t>
  </si>
  <si>
    <t>5036-1</t>
  </si>
  <si>
    <t>5037-1</t>
  </si>
  <si>
    <t>5038-1</t>
  </si>
  <si>
    <t>5039-1</t>
  </si>
  <si>
    <t>5040-1</t>
  </si>
  <si>
    <t>5043-1</t>
  </si>
  <si>
    <t>5045-1</t>
  </si>
  <si>
    <t>5047-1</t>
  </si>
  <si>
    <t>5048-1</t>
  </si>
  <si>
    <t>5049-1</t>
  </si>
  <si>
    <t>5050-1</t>
  </si>
  <si>
    <t>5052-1</t>
  </si>
  <si>
    <t>5055-1</t>
  </si>
  <si>
    <t>5057-1</t>
  </si>
  <si>
    <t>5059-1</t>
  </si>
  <si>
    <t>5060-1</t>
  </si>
  <si>
    <t>5061-1</t>
  </si>
  <si>
    <t>5062-1</t>
  </si>
  <si>
    <t>5063-1</t>
  </si>
  <si>
    <t>5064-1</t>
  </si>
  <si>
    <t>5066-1</t>
  </si>
  <si>
    <t>5068-1</t>
  </si>
  <si>
    <t>5070-1</t>
  </si>
  <si>
    <t>5075-1</t>
  </si>
  <si>
    <t>5077-1</t>
  </si>
  <si>
    <t>5079-1</t>
  </si>
  <si>
    <t>5081-1</t>
  </si>
  <si>
    <t>5084-1</t>
  </si>
  <si>
    <t>5086-1</t>
  </si>
  <si>
    <t>5087-1</t>
  </si>
  <si>
    <t>5089-1</t>
  </si>
  <si>
    <t>5091-1</t>
  </si>
  <si>
    <t>5093-1</t>
  </si>
  <si>
    <t>5095-1</t>
  </si>
  <si>
    <t>5097-1</t>
  </si>
  <si>
    <t>5099-1</t>
  </si>
  <si>
    <t>5101-1</t>
  </si>
  <si>
    <t>5103-1</t>
  </si>
  <si>
    <t>5104-1</t>
  </si>
  <si>
    <t>5106-1</t>
  </si>
  <si>
    <t>5108-1</t>
  </si>
  <si>
    <t>5109-1</t>
  </si>
  <si>
    <t>5111-1</t>
  </si>
  <si>
    <t>5112-1</t>
  </si>
  <si>
    <t>5113-1</t>
  </si>
  <si>
    <t>5114-1</t>
  </si>
  <si>
    <t>5115-1</t>
  </si>
  <si>
    <t>5117-1</t>
  </si>
  <si>
    <t>5119-1</t>
  </si>
  <si>
    <t>5120-1</t>
  </si>
  <si>
    <t>5122-1</t>
  </si>
  <si>
    <t>5124-1</t>
  </si>
  <si>
    <t>5125-1</t>
  </si>
  <si>
    <t>5127-1</t>
  </si>
  <si>
    <t>5128-1</t>
  </si>
  <si>
    <t>5129-1</t>
  </si>
  <si>
    <t>5131-1</t>
  </si>
  <si>
    <t>5133-1</t>
  </si>
  <si>
    <t>5134-1</t>
  </si>
  <si>
    <t>5135-1</t>
  </si>
  <si>
    <t>5137-1</t>
  </si>
  <si>
    <t>5138-1</t>
  </si>
  <si>
    <t>5140-1</t>
  </si>
  <si>
    <t>5142-1</t>
  </si>
  <si>
    <t>5144-1</t>
  </si>
  <si>
    <t>5148-1</t>
  </si>
  <si>
    <t>5150-1</t>
  </si>
  <si>
    <t>5152-1</t>
  </si>
  <si>
    <t>5154-1</t>
  </si>
  <si>
    <t>5156-1</t>
  </si>
  <si>
    <t>5158-1</t>
  </si>
  <si>
    <t>5159-1</t>
  </si>
  <si>
    <t>5163-1</t>
  </si>
  <si>
    <t>5165-1</t>
  </si>
  <si>
    <t>5166-1</t>
  </si>
  <si>
    <t>5171-1</t>
  </si>
  <si>
    <t>5173-1</t>
  </si>
  <si>
    <t>5174-1</t>
  </si>
  <si>
    <t>5175-1</t>
  </si>
  <si>
    <t>5177-1</t>
  </si>
  <si>
    <t>5178-1</t>
  </si>
  <si>
    <t>5180-1</t>
  </si>
  <si>
    <t>5181-1</t>
  </si>
  <si>
    <t>5183-1</t>
  </si>
  <si>
    <t>5185-1</t>
  </si>
  <si>
    <t>5186-1</t>
  </si>
  <si>
    <t>5188-1</t>
  </si>
  <si>
    <t>5189-1</t>
  </si>
  <si>
    <t>5191-1</t>
  </si>
  <si>
    <t>5193-1</t>
  </si>
  <si>
    <t>5194-1</t>
  </si>
  <si>
    <t>5198-1</t>
  </si>
  <si>
    <t>5200-1</t>
  </si>
  <si>
    <t>5201-1</t>
  </si>
  <si>
    <t>5202-1</t>
  </si>
  <si>
    <t>5204-1</t>
  </si>
  <si>
    <t>5206-1</t>
  </si>
  <si>
    <t>5207-1</t>
  </si>
  <si>
    <t>5208-1</t>
  </si>
  <si>
    <t>5209-1</t>
  </si>
  <si>
    <t>5211-1</t>
  </si>
  <si>
    <t>5212-1</t>
  </si>
  <si>
    <t>5213-1</t>
  </si>
  <si>
    <t>5214-1</t>
  </si>
  <si>
    <t>5215-1</t>
  </si>
  <si>
    <t>5216-1</t>
  </si>
  <si>
    <t>5218-1</t>
  </si>
  <si>
    <t>5220-1</t>
  </si>
  <si>
    <t>5221-1</t>
  </si>
  <si>
    <t>5222-1</t>
  </si>
  <si>
    <t>5224-1</t>
  </si>
  <si>
    <t>5225-1</t>
  </si>
  <si>
    <t>5226-1</t>
  </si>
  <si>
    <t>5227-1</t>
  </si>
  <si>
    <t>5229-1</t>
  </si>
  <si>
    <t>5231-1</t>
  </si>
  <si>
    <t>5232-1</t>
  </si>
  <si>
    <t>5234-1</t>
  </si>
  <si>
    <t>5235-1</t>
  </si>
  <si>
    <t>5236-1</t>
  </si>
  <si>
    <t>5238-1</t>
  </si>
  <si>
    <t>5239-1</t>
  </si>
  <si>
    <t>5240-1</t>
  </si>
  <si>
    <t>5241-1</t>
  </si>
  <si>
    <t>5242-1</t>
  </si>
  <si>
    <t>5244-1</t>
  </si>
  <si>
    <t>5246-1</t>
  </si>
  <si>
    <t>5247-1</t>
  </si>
  <si>
    <t>5248-1</t>
  </si>
  <si>
    <t>5250-1</t>
  </si>
  <si>
    <t>5251-1</t>
  </si>
  <si>
    <t>5253-1</t>
  </si>
  <si>
    <t>5254-1</t>
  </si>
  <si>
    <t>5256-1</t>
  </si>
  <si>
    <t>5257-1</t>
  </si>
  <si>
    <t>5259-1</t>
  </si>
  <si>
    <t>5260-1</t>
  </si>
  <si>
    <t>5261-1</t>
  </si>
  <si>
    <t>5263-1</t>
  </si>
  <si>
    <t>5265-1</t>
  </si>
  <si>
    <t>5267-1</t>
  </si>
  <si>
    <t>5272-1</t>
  </si>
  <si>
    <t>5277-1</t>
  </si>
  <si>
    <t>5278-1</t>
  </si>
  <si>
    <t>5279-1</t>
  </si>
  <si>
    <t>5280-1</t>
  </si>
  <si>
    <t>5282-1</t>
  </si>
  <si>
    <t>5284-1</t>
  </si>
  <si>
    <t>5286-1</t>
  </si>
  <si>
    <t>5288-1</t>
  </si>
  <si>
    <t>5290-1</t>
  </si>
  <si>
    <t>5291-1</t>
  </si>
  <si>
    <t>5292-1</t>
  </si>
  <si>
    <t>5294-1</t>
  </si>
  <si>
    <t>5296-1</t>
  </si>
  <si>
    <t>5298-1</t>
  </si>
  <si>
    <t>5299-1</t>
  </si>
  <si>
    <t>5300-1</t>
  </si>
  <si>
    <t>5302-1</t>
  </si>
  <si>
    <t>5303-1</t>
  </si>
  <si>
    <t>5304-1</t>
  </si>
  <si>
    <t>5305-1</t>
  </si>
  <si>
    <t>5307-1</t>
  </si>
  <si>
    <t>5309-1</t>
  </si>
  <si>
    <t>5310-1</t>
  </si>
  <si>
    <t>5311-1</t>
  </si>
  <si>
    <t>5312-1</t>
  </si>
  <si>
    <t>5313-1</t>
  </si>
  <si>
    <t>5314-1</t>
  </si>
  <si>
    <t>5315-1</t>
  </si>
  <si>
    <t>5316-1</t>
  </si>
  <si>
    <t>5318-1</t>
  </si>
  <si>
    <t>5319-1</t>
  </si>
  <si>
    <t>5321-1</t>
  </si>
  <si>
    <t>5323-1</t>
  </si>
  <si>
    <t>5324-1</t>
  </si>
  <si>
    <t>5326-1</t>
  </si>
  <si>
    <t>5328-1</t>
  </si>
  <si>
    <t>5330-1</t>
  </si>
  <si>
    <t>5332-1</t>
  </si>
  <si>
    <t>5334-1</t>
  </si>
  <si>
    <t>5336-1</t>
  </si>
  <si>
    <t>5340-1</t>
  </si>
  <si>
    <t>5342-1</t>
  </si>
  <si>
    <t>5343-1</t>
  </si>
  <si>
    <t>5345-1</t>
  </si>
  <si>
    <t>5346-1</t>
  </si>
  <si>
    <t>5347-1</t>
  </si>
  <si>
    <t>5349-1</t>
  </si>
  <si>
    <t>5350-1</t>
  </si>
  <si>
    <t>5352-1</t>
  </si>
  <si>
    <t>5354-1</t>
  </si>
  <si>
    <t>5355-1</t>
  </si>
  <si>
    <t>5357-1</t>
  </si>
  <si>
    <t>5360-1</t>
  </si>
  <si>
    <t>5362-1</t>
  </si>
  <si>
    <t>5364-1</t>
  </si>
  <si>
    <t>5365-1</t>
  </si>
  <si>
    <t>5369-1</t>
  </si>
  <si>
    <t>5373-1</t>
  </si>
  <si>
    <t>5375-1</t>
  </si>
  <si>
    <t>5377-1</t>
  </si>
  <si>
    <t>5379-1</t>
  </si>
  <si>
    <t>5381-1</t>
  </si>
  <si>
    <t>5383-1</t>
  </si>
  <si>
    <t>5384-1</t>
  </si>
  <si>
    <t>5386-1</t>
  </si>
  <si>
    <t>5388-1</t>
  </si>
  <si>
    <t>5389-1</t>
  </si>
  <si>
    <t>5391-1</t>
  </si>
  <si>
    <t>5392-1</t>
  </si>
  <si>
    <t>5393-1</t>
  </si>
  <si>
    <t>5394-1</t>
  </si>
  <si>
    <t>5395-1</t>
  </si>
  <si>
    <t>5396-1</t>
  </si>
  <si>
    <t>5398-1</t>
  </si>
  <si>
    <t>5400-1</t>
  </si>
  <si>
    <t>5404-1</t>
  </si>
  <si>
    <t>5405-1</t>
  </si>
  <si>
    <t>5407-1</t>
  </si>
  <si>
    <t>5409-1</t>
  </si>
  <si>
    <t>5411-1</t>
  </si>
  <si>
    <t>5413-1</t>
  </si>
  <si>
    <t>5415-1</t>
  </si>
  <si>
    <t>5416-1</t>
  </si>
  <si>
    <t>5418-1</t>
  </si>
  <si>
    <t>5420-1</t>
  </si>
  <si>
    <t>5421-1</t>
  </si>
  <si>
    <t>5423-1</t>
  </si>
  <si>
    <t>5424-1</t>
  </si>
  <si>
    <t>5426-1</t>
  </si>
  <si>
    <t>5428-1</t>
  </si>
  <si>
    <t>5430-1</t>
  </si>
  <si>
    <t>5432-1</t>
  </si>
  <si>
    <t>5433-1</t>
  </si>
  <si>
    <t>5434-1</t>
  </si>
  <si>
    <t>5435-1</t>
  </si>
  <si>
    <t>5436-1</t>
  </si>
  <si>
    <t>5438-1</t>
  </si>
  <si>
    <t>5439-1</t>
  </si>
  <si>
    <t>5440-1</t>
  </si>
  <si>
    <t>5442-1</t>
  </si>
  <si>
    <t>5444-1</t>
  </si>
  <si>
    <t>5445-1</t>
  </si>
  <si>
    <t>5446-1</t>
  </si>
  <si>
    <t>5448-1</t>
  </si>
  <si>
    <t>5449-1</t>
  </si>
  <si>
    <t>5450-1</t>
  </si>
  <si>
    <t>5451-1</t>
  </si>
  <si>
    <t>5453-1</t>
  </si>
  <si>
    <t>5455-1</t>
  </si>
  <si>
    <t>5456-1</t>
  </si>
  <si>
    <t>5457-1</t>
  </si>
  <si>
    <t>5458-1</t>
  </si>
  <si>
    <t>5460-1</t>
  </si>
  <si>
    <t>5461-1</t>
  </si>
  <si>
    <t>5463-1</t>
  </si>
  <si>
    <t>5465-1</t>
  </si>
  <si>
    <t>5467-1</t>
  </si>
  <si>
    <t>5469-1</t>
  </si>
  <si>
    <t>5470-1</t>
  </si>
  <si>
    <t>5471-1</t>
  </si>
  <si>
    <t>5473-1</t>
  </si>
  <si>
    <t>5475-1</t>
  </si>
  <si>
    <t>5476-1</t>
  </si>
  <si>
    <t>5477-1</t>
  </si>
  <si>
    <t>5478-1</t>
  </si>
  <si>
    <t>5483-1</t>
  </si>
  <si>
    <t>5485-1</t>
  </si>
  <si>
    <t>5487-1</t>
  </si>
  <si>
    <t>5489-1</t>
  </si>
  <si>
    <t>5491-1</t>
  </si>
  <si>
    <t>5493-1</t>
  </si>
  <si>
    <t>5494-1</t>
  </si>
  <si>
    <t>5496-1</t>
  </si>
  <si>
    <t>5497-1</t>
  </si>
  <si>
    <t>5498-1</t>
  </si>
  <si>
    <t>5500-1</t>
  </si>
  <si>
    <t>5502-1</t>
  </si>
  <si>
    <t>5504-1</t>
  </si>
  <si>
    <t>5505-1</t>
  </si>
  <si>
    <t>5506-1</t>
  </si>
  <si>
    <t>5507-1</t>
  </si>
  <si>
    <t>5508-1</t>
  </si>
  <si>
    <t>5510-1</t>
  </si>
  <si>
    <t>5512-1</t>
  </si>
  <si>
    <t>5513-1</t>
  </si>
  <si>
    <t>5514-1</t>
  </si>
  <si>
    <t>5516-1</t>
  </si>
  <si>
    <t>5518-1</t>
  </si>
  <si>
    <t>5520-1</t>
  </si>
  <si>
    <t>5521-1</t>
  </si>
  <si>
    <t>5523-1</t>
  </si>
  <si>
    <t>5525-1</t>
  </si>
  <si>
    <t>5526-1</t>
  </si>
  <si>
    <t>5527-1</t>
  </si>
  <si>
    <t>5529-1</t>
  </si>
  <si>
    <t>5531-1</t>
  </si>
  <si>
    <t>5533-1</t>
  </si>
  <si>
    <t>5534-1</t>
  </si>
  <si>
    <t>5536-1</t>
  </si>
  <si>
    <t>5537-1</t>
  </si>
  <si>
    <t>5541-1</t>
  </si>
  <si>
    <t>5544-1</t>
  </si>
  <si>
    <t>5546-1</t>
  </si>
  <si>
    <t>5547-1</t>
  </si>
  <si>
    <t>5548-1</t>
  </si>
  <si>
    <t>5549-1</t>
  </si>
  <si>
    <t>5551-1</t>
  </si>
  <si>
    <t>5552-1</t>
  </si>
  <si>
    <t>5554-1</t>
  </si>
  <si>
    <t>5556-1</t>
  </si>
  <si>
    <t>5560-1</t>
  </si>
  <si>
    <t>5562-1</t>
  </si>
  <si>
    <t>5564-1</t>
  </si>
  <si>
    <t>5569-1</t>
  </si>
  <si>
    <t>5570-1</t>
  </si>
  <si>
    <t>5572-1</t>
  </si>
  <si>
    <t>5574-1</t>
  </si>
  <si>
    <t>5576-1</t>
  </si>
  <si>
    <t>5578-1</t>
  </si>
  <si>
    <t>5579-1</t>
  </si>
  <si>
    <t>5581-1</t>
  </si>
  <si>
    <t>5583-1</t>
  </si>
  <si>
    <t>5584-1</t>
  </si>
  <si>
    <t>5586-1</t>
  </si>
  <si>
    <t>5588-1</t>
  </si>
  <si>
    <t>5589-1</t>
  </si>
  <si>
    <t>5591-1</t>
  </si>
  <si>
    <t>5593-1</t>
  </si>
  <si>
    <t>5594-1</t>
  </si>
  <si>
    <t>5596-1</t>
  </si>
  <si>
    <t>5597-1</t>
  </si>
  <si>
    <t>5603-1</t>
  </si>
  <si>
    <t>5604-1</t>
  </si>
  <si>
    <t>5605-1</t>
  </si>
  <si>
    <t>5606-1</t>
  </si>
  <si>
    <t>5607-1</t>
  </si>
  <si>
    <t>5612-1</t>
  </si>
  <si>
    <t>5613-1</t>
  </si>
  <si>
    <t>5615-1</t>
  </si>
  <si>
    <t>5616-1</t>
  </si>
  <si>
    <t>5618-1</t>
  </si>
  <si>
    <t>5619-1</t>
  </si>
  <si>
    <t>5625-1</t>
  </si>
  <si>
    <t>5627-1</t>
  </si>
  <si>
    <t>5629-1</t>
  </si>
  <si>
    <t>5630-1</t>
  </si>
  <si>
    <t>5631-1</t>
  </si>
  <si>
    <t>5633-1</t>
  </si>
  <si>
    <t>5635-1</t>
  </si>
  <si>
    <t>5637-1</t>
  </si>
  <si>
    <t>5639-1</t>
  </si>
  <si>
    <t>5641-1</t>
  </si>
  <si>
    <t>5643-1</t>
  </si>
  <si>
    <t>5644-1</t>
  </si>
  <si>
    <t>5645-1</t>
  </si>
  <si>
    <t>5646-1</t>
  </si>
  <si>
    <t>5647-1</t>
  </si>
  <si>
    <t>5648-1</t>
  </si>
  <si>
    <t>5650-1</t>
  </si>
  <si>
    <t>5651-1</t>
  </si>
  <si>
    <t>5653-1</t>
  </si>
  <si>
    <t>5658-1</t>
  </si>
  <si>
    <t>5659-1</t>
  </si>
  <si>
    <t>5661-1</t>
  </si>
  <si>
    <t>5663-1</t>
  </si>
  <si>
    <t>5665-1</t>
  </si>
  <si>
    <t>5667-1</t>
  </si>
  <si>
    <t>5669-1</t>
  </si>
  <si>
    <t>5670-1</t>
  </si>
  <si>
    <t>5671-1</t>
  </si>
  <si>
    <t>5672-1</t>
  </si>
  <si>
    <t>5674-1</t>
  </si>
  <si>
    <t>5676-1</t>
  </si>
  <si>
    <t>5677-1</t>
  </si>
  <si>
    <t>5679-1</t>
  </si>
  <si>
    <t>5680-1</t>
  </si>
  <si>
    <t>5681-1</t>
  </si>
  <si>
    <t>5682-1</t>
  </si>
  <si>
    <t>5684-1</t>
  </si>
  <si>
    <t>5685-1</t>
  </si>
  <si>
    <t>5686-1</t>
  </si>
  <si>
    <t>5687-1</t>
  </si>
  <si>
    <t>5689-1</t>
  </si>
  <si>
    <t>5690-1</t>
  </si>
  <si>
    <t>5692-1</t>
  </si>
  <si>
    <t>5693-1</t>
  </si>
  <si>
    <t>5695-1</t>
  </si>
  <si>
    <t>5696-1</t>
  </si>
  <si>
    <t>5698-1</t>
  </si>
  <si>
    <t>5699-1</t>
  </si>
  <si>
    <t>5701-1</t>
  </si>
  <si>
    <t>5702-1</t>
  </si>
  <si>
    <t>5703-1</t>
  </si>
  <si>
    <t>5705-1</t>
  </si>
  <si>
    <t>5706-1</t>
  </si>
  <si>
    <t>5708-1</t>
  </si>
  <si>
    <t>5710-1</t>
  </si>
  <si>
    <t>5711-1</t>
  </si>
  <si>
    <t>5712-1</t>
  </si>
  <si>
    <t>5713-1</t>
  </si>
  <si>
    <t>5715-1</t>
  </si>
  <si>
    <t>5717-1</t>
  </si>
  <si>
    <t>5718-1</t>
  </si>
  <si>
    <t>5719-1</t>
  </si>
  <si>
    <t>5720-1</t>
  </si>
  <si>
    <t>5721-1</t>
  </si>
  <si>
    <t>5722-1</t>
  </si>
  <si>
    <t>5728-1</t>
  </si>
  <si>
    <t>5730-1</t>
  </si>
  <si>
    <t>5731-1</t>
  </si>
  <si>
    <t>5732-1</t>
  </si>
  <si>
    <t>5734-1</t>
  </si>
  <si>
    <t>5736-1</t>
  </si>
  <si>
    <t>5737-1</t>
  </si>
  <si>
    <t>5738-1</t>
  </si>
  <si>
    <t>5740-1</t>
  </si>
  <si>
    <t>5741-1</t>
  </si>
  <si>
    <t>5742-1</t>
  </si>
  <si>
    <t>5743-1</t>
  </si>
  <si>
    <t>5745-1</t>
  </si>
  <si>
    <t>5747-1</t>
  </si>
  <si>
    <t>5749-1</t>
  </si>
  <si>
    <t>5750-1</t>
  </si>
  <si>
    <t>5752-1</t>
  </si>
  <si>
    <t>5754-1</t>
  </si>
  <si>
    <t>5755-1</t>
  </si>
  <si>
    <t>5757-1</t>
  </si>
  <si>
    <t>5760-1</t>
  </si>
  <si>
    <t>5766-1</t>
  </si>
  <si>
    <t>5773-1</t>
  </si>
  <si>
    <t>5775-1</t>
  </si>
  <si>
    <t>5777-1</t>
  </si>
  <si>
    <t>5778-1</t>
  </si>
  <si>
    <t>5779-1</t>
  </si>
  <si>
    <t>5781-1</t>
  </si>
  <si>
    <t>5782-1</t>
  </si>
  <si>
    <t>5784-1</t>
  </si>
  <si>
    <t>5786-1</t>
  </si>
  <si>
    <t>5787-1</t>
  </si>
  <si>
    <t>5788-1</t>
  </si>
  <si>
    <t>5790-1</t>
  </si>
  <si>
    <t>5791-1</t>
  </si>
  <si>
    <t>5793-1</t>
  </si>
  <si>
    <t>5795-1</t>
  </si>
  <si>
    <t>5797-1</t>
  </si>
  <si>
    <t>5799-1</t>
  </si>
  <si>
    <t>5800-1</t>
  </si>
  <si>
    <t>5801-1</t>
  </si>
  <si>
    <t>5803-1</t>
  </si>
  <si>
    <t>5806-1</t>
  </si>
  <si>
    <t>5807-1</t>
  </si>
  <si>
    <t>5809-1</t>
  </si>
  <si>
    <t>5811-1</t>
  </si>
  <si>
    <t>5813-1</t>
  </si>
  <si>
    <t>5814-1</t>
  </si>
  <si>
    <t>5815-1</t>
  </si>
  <si>
    <t>5816-1</t>
  </si>
  <si>
    <t>5818-1</t>
  </si>
  <si>
    <t>5819-1</t>
  </si>
  <si>
    <t>5821-1</t>
  </si>
  <si>
    <t>5822-1</t>
  </si>
  <si>
    <t>5824-1</t>
  </si>
  <si>
    <t>5826-1</t>
  </si>
  <si>
    <t>5829-1</t>
  </si>
  <si>
    <t>5831-1</t>
  </si>
  <si>
    <t>5832-1</t>
  </si>
  <si>
    <t>5834-1</t>
  </si>
  <si>
    <t>5835-1</t>
  </si>
  <si>
    <t>5837-1</t>
  </si>
  <si>
    <t>5838-1</t>
  </si>
  <si>
    <t>5840-1</t>
  </si>
  <si>
    <t>5841-1</t>
  </si>
  <si>
    <t>5842-1</t>
  </si>
  <si>
    <t>5843-1</t>
  </si>
  <si>
    <t>5845-1</t>
  </si>
  <si>
    <t>5847-1</t>
  </si>
  <si>
    <t>5848-1</t>
  </si>
  <si>
    <t>5850-1</t>
  </si>
  <si>
    <t>5852-1</t>
  </si>
  <si>
    <t>5854-1</t>
  </si>
  <si>
    <t>5856-1</t>
  </si>
  <si>
    <t>5857-1</t>
  </si>
  <si>
    <t>5859-1</t>
  </si>
  <si>
    <t>5861-1</t>
  </si>
  <si>
    <t>5863-1</t>
  </si>
  <si>
    <t>5865-1</t>
  </si>
  <si>
    <t>5867-1</t>
  </si>
  <si>
    <t>5868-1</t>
  </si>
  <si>
    <t>5870-1</t>
  </si>
  <si>
    <t>5872-1</t>
  </si>
  <si>
    <t>5873-1</t>
  </si>
  <si>
    <t>5875-1</t>
  </si>
  <si>
    <t>5877-1</t>
  </si>
  <si>
    <t>5879-1</t>
  </si>
  <si>
    <t>5881-1</t>
  </si>
  <si>
    <t>5882-1</t>
  </si>
  <si>
    <t>5884-1</t>
  </si>
  <si>
    <t>5885-1</t>
  </si>
  <si>
    <t>5886-1</t>
  </si>
  <si>
    <t>5891-1</t>
  </si>
  <si>
    <t>5893-1</t>
  </si>
  <si>
    <t>5894-1</t>
  </si>
  <si>
    <t>5896-1</t>
  </si>
  <si>
    <t>5898-1</t>
  </si>
  <si>
    <t>5900-1</t>
  </si>
  <si>
    <t>5902-1</t>
  </si>
  <si>
    <t>5904-1</t>
  </si>
  <si>
    <t>5906-1</t>
  </si>
  <si>
    <t>5907-1</t>
  </si>
  <si>
    <t>5908-1</t>
  </si>
  <si>
    <t>5909-1</t>
  </si>
  <si>
    <t>5911-1</t>
  </si>
  <si>
    <t>5913-1</t>
  </si>
  <si>
    <t>5914-1</t>
  </si>
  <si>
    <t>5916-1</t>
  </si>
  <si>
    <t>5917-1</t>
  </si>
  <si>
    <t>5919-1</t>
  </si>
  <si>
    <t>5921-1</t>
  </si>
  <si>
    <t>5923-1</t>
  </si>
  <si>
    <t>5925-1</t>
  </si>
  <si>
    <t>5927-1</t>
  </si>
  <si>
    <t>5928-1</t>
  </si>
  <si>
    <t>5930-1</t>
  </si>
  <si>
    <t>5931-1</t>
  </si>
  <si>
    <t>5932-1</t>
  </si>
  <si>
    <t>5933-1</t>
  </si>
  <si>
    <t>5935-1</t>
  </si>
  <si>
    <t>5937-1</t>
  </si>
  <si>
    <t>5938-1</t>
  </si>
  <si>
    <t>5939-1</t>
  </si>
  <si>
    <t>5941-1</t>
  </si>
  <si>
    <t>5944-1</t>
  </si>
  <si>
    <t>5947-1</t>
  </si>
  <si>
    <t>5949-1</t>
  </si>
  <si>
    <t>5951-1</t>
  </si>
  <si>
    <t>5952-1</t>
  </si>
  <si>
    <t>5955-1</t>
  </si>
  <si>
    <t>5956-1</t>
  </si>
  <si>
    <t>5960-1</t>
  </si>
  <si>
    <t>5962-1</t>
  </si>
  <si>
    <t>5964-1</t>
  </si>
  <si>
    <t>5965-1</t>
  </si>
  <si>
    <t>5967-1</t>
  </si>
  <si>
    <t>5968-1</t>
  </si>
  <si>
    <t>5969-1</t>
  </si>
  <si>
    <t>5971-1</t>
  </si>
  <si>
    <t>5973-1</t>
  </si>
  <si>
    <t>5974-1</t>
  </si>
  <si>
    <t>5976-1</t>
  </si>
  <si>
    <t>5977-1</t>
  </si>
  <si>
    <t>5978-1</t>
  </si>
  <si>
    <t>5980-1</t>
  </si>
  <si>
    <t>5982-1</t>
  </si>
  <si>
    <t>5983-1</t>
  </si>
  <si>
    <t>5984-1</t>
  </si>
  <si>
    <t>5985-1</t>
  </si>
  <si>
    <t>5987-1</t>
  </si>
  <si>
    <t>5988-1</t>
  </si>
  <si>
    <t>5993-1</t>
  </si>
  <si>
    <t>5994-1</t>
  </si>
  <si>
    <t>5996-1</t>
  </si>
  <si>
    <t>6000-1</t>
  </si>
  <si>
    <t>6001-1</t>
  </si>
  <si>
    <t>6002-1</t>
  </si>
  <si>
    <t>6003-1</t>
  </si>
  <si>
    <t>6005-1</t>
  </si>
  <si>
    <t>6006-1</t>
  </si>
  <si>
    <t>6007-1</t>
  </si>
  <si>
    <t>6009-1</t>
  </si>
  <si>
    <t>6011-1</t>
  </si>
  <si>
    <t>6012-1</t>
  </si>
  <si>
    <t>6017-1</t>
  </si>
  <si>
    <t>6019-1</t>
  </si>
  <si>
    <t>6021-1</t>
  </si>
  <si>
    <t>6023-1</t>
  </si>
  <si>
    <t>6025-1</t>
  </si>
  <si>
    <t>6027-1</t>
  </si>
  <si>
    <t>6029-1</t>
  </si>
  <si>
    <t>6030-1</t>
  </si>
  <si>
    <t>6032-1</t>
  </si>
  <si>
    <t>6034-1</t>
  </si>
  <si>
    <t>6036-1</t>
  </si>
  <si>
    <t>6037-1</t>
  </si>
  <si>
    <t>6038-1</t>
  </si>
  <si>
    <t>6039-1</t>
  </si>
  <si>
    <t>6042-1</t>
  </si>
  <si>
    <t>6044-1</t>
  </si>
  <si>
    <t>6046-1</t>
  </si>
  <si>
    <t>6048-1</t>
  </si>
  <si>
    <t>6050-1</t>
  </si>
  <si>
    <t>6052-1</t>
  </si>
  <si>
    <t>6054-1</t>
  </si>
  <si>
    <t>6056-1</t>
  </si>
  <si>
    <t>6057-1</t>
  </si>
  <si>
    <t>6058-1</t>
  </si>
  <si>
    <t>6059-1</t>
  </si>
  <si>
    <t>6061-1</t>
  </si>
  <si>
    <t>6063-1</t>
  </si>
  <si>
    <t>6065-1</t>
  </si>
  <si>
    <t>6066-1</t>
  </si>
  <si>
    <t>6067-1</t>
  </si>
  <si>
    <t>6068-1</t>
  </si>
  <si>
    <t>6070-1</t>
  </si>
  <si>
    <t>6071-1</t>
  </si>
  <si>
    <t>6072-1</t>
  </si>
  <si>
    <t>6074-1</t>
  </si>
  <si>
    <t>6076-1</t>
  </si>
  <si>
    <t>6077-1</t>
  </si>
  <si>
    <t>6079-1</t>
  </si>
  <si>
    <t>6081-1</t>
  </si>
  <si>
    <t>6083-1</t>
  </si>
  <si>
    <t>6085-1</t>
  </si>
  <si>
    <t>6086-1</t>
  </si>
  <si>
    <t>6088-1</t>
  </si>
  <si>
    <t>6090-1</t>
  </si>
  <si>
    <t>6094-1</t>
  </si>
  <si>
    <t>6095-1</t>
  </si>
  <si>
    <t>6096-1</t>
  </si>
  <si>
    <t>6098-1</t>
  </si>
  <si>
    <t>6099-1</t>
  </si>
  <si>
    <t>6100-1</t>
  </si>
  <si>
    <t>6102-1</t>
  </si>
  <si>
    <t>6103-1</t>
  </si>
  <si>
    <t>6108-1</t>
  </si>
  <si>
    <t>6109-1</t>
  </si>
  <si>
    <t>6110-1</t>
  </si>
  <si>
    <t>6112-1</t>
  </si>
  <si>
    <t>6113-1</t>
  </si>
  <si>
    <t>6114-1</t>
  </si>
  <si>
    <t>6116-1</t>
  </si>
  <si>
    <t>6118-1</t>
  </si>
  <si>
    <t>6119-1</t>
  </si>
  <si>
    <t>6121-1</t>
  </si>
  <si>
    <t>6123-1</t>
  </si>
  <si>
    <t>6124-1</t>
  </si>
  <si>
    <t>6125-1</t>
  </si>
  <si>
    <t>6127-1</t>
  </si>
  <si>
    <t>6128-1</t>
  </si>
  <si>
    <t>6130-1</t>
  </si>
  <si>
    <t>6132-1</t>
  </si>
  <si>
    <t>6134-1</t>
  </si>
  <si>
    <t>6135-1</t>
  </si>
  <si>
    <t>6136-1</t>
  </si>
  <si>
    <t>6138-1</t>
  </si>
  <si>
    <t>6140-1</t>
  </si>
  <si>
    <t>6141-1</t>
  </si>
  <si>
    <t>6144-1</t>
  </si>
  <si>
    <t>6146-1</t>
  </si>
  <si>
    <t>6148-1</t>
  </si>
  <si>
    <t>6150-1</t>
  </si>
  <si>
    <t>6151-1</t>
  </si>
  <si>
    <t>6152-1</t>
  </si>
  <si>
    <t>6154-1</t>
  </si>
  <si>
    <t>6155-1</t>
  </si>
  <si>
    <t>6157-1</t>
  </si>
  <si>
    <t>6158-1</t>
  </si>
  <si>
    <t>6165-1</t>
  </si>
  <si>
    <t>6166-1</t>
  </si>
  <si>
    <t>6167-1</t>
  </si>
  <si>
    <t>6169-1</t>
  </si>
  <si>
    <t>6170-1</t>
  </si>
  <si>
    <t>6172-1</t>
  </si>
  <si>
    <t>6174-1</t>
  </si>
  <si>
    <t>6175-1</t>
  </si>
  <si>
    <t>6176-1</t>
  </si>
  <si>
    <t>6177-1</t>
  </si>
  <si>
    <t>6179-1</t>
  </si>
  <si>
    <t>6181-1</t>
  </si>
  <si>
    <t>6183-1</t>
  </si>
  <si>
    <t>6184-1</t>
  </si>
  <si>
    <t>6186-1</t>
  </si>
  <si>
    <t>6187-1</t>
  </si>
  <si>
    <t>6189-1</t>
  </si>
  <si>
    <t>6190-1</t>
  </si>
  <si>
    <t>6191-1</t>
  </si>
  <si>
    <t>6193-1</t>
  </si>
  <si>
    <t>6194-1</t>
  </si>
  <si>
    <t>6196-1</t>
  </si>
  <si>
    <t>6201-1</t>
  </si>
  <si>
    <t>6203-1</t>
  </si>
  <si>
    <t>6204-1</t>
  </si>
  <si>
    <t>6206-1</t>
  </si>
  <si>
    <t>6208-1</t>
  </si>
  <si>
    <t>6209-1</t>
  </si>
  <si>
    <t>6211-1</t>
  </si>
  <si>
    <t>6213-1</t>
  </si>
  <si>
    <t>6214-1</t>
  </si>
  <si>
    <t>6215-1</t>
  </si>
  <si>
    <t>6217-1</t>
  </si>
  <si>
    <t>6219-1</t>
  </si>
  <si>
    <t>6220-1</t>
  </si>
  <si>
    <t>6221-1</t>
  </si>
  <si>
    <t>6222-1</t>
  </si>
  <si>
    <t>6223-1</t>
  </si>
  <si>
    <t>6224-1</t>
  </si>
  <si>
    <t>6225-1</t>
  </si>
  <si>
    <t>6226-1</t>
  </si>
  <si>
    <t>6227-1</t>
  </si>
  <si>
    <t>6228-1</t>
  </si>
  <si>
    <t>6230-1</t>
  </si>
  <si>
    <t>6231-1</t>
  </si>
  <si>
    <t>6232-1</t>
  </si>
  <si>
    <t>6234-1</t>
  </si>
  <si>
    <t>6235-1</t>
  </si>
  <si>
    <t>6237-1</t>
  </si>
  <si>
    <t>6238-1</t>
  </si>
  <si>
    <t>6240-1</t>
  </si>
  <si>
    <t>6242-1</t>
  </si>
  <si>
    <t>6243-1</t>
  </si>
  <si>
    <t>6244-1</t>
  </si>
  <si>
    <t>6246-1</t>
  </si>
  <si>
    <t>6248-1</t>
  </si>
  <si>
    <t>6250-1</t>
  </si>
  <si>
    <t>6252-1</t>
  </si>
  <si>
    <t>6254-1</t>
  </si>
  <si>
    <t>6256-1</t>
  </si>
  <si>
    <t>6258-1</t>
  </si>
  <si>
    <t>6260-1</t>
  </si>
  <si>
    <t>6261-1</t>
  </si>
  <si>
    <t>6263-1</t>
  </si>
  <si>
    <t>6264-1</t>
  </si>
  <si>
    <t>6269-1</t>
  </si>
  <si>
    <t>6270-1</t>
  </si>
  <si>
    <t>6272-1</t>
  </si>
  <si>
    <t>6273-1</t>
  </si>
  <si>
    <t>6274-1</t>
  </si>
  <si>
    <t>6275-1</t>
  </si>
  <si>
    <t>6276-1</t>
  </si>
  <si>
    <t>6281-1</t>
  </si>
  <si>
    <t>6285-1</t>
  </si>
  <si>
    <t>6287-1</t>
  </si>
  <si>
    <t>6288-1</t>
  </si>
  <si>
    <t>6290-1</t>
  </si>
  <si>
    <t>6291-1</t>
  </si>
  <si>
    <t>6293-1</t>
  </si>
  <si>
    <t>6294-1</t>
  </si>
  <si>
    <t>6295-1</t>
  </si>
  <si>
    <t>6296-1</t>
  </si>
  <si>
    <t>6298-1</t>
  </si>
  <si>
    <t>6300-1</t>
  </si>
  <si>
    <t>6301-1</t>
  </si>
  <si>
    <t>6302-1</t>
  </si>
  <si>
    <t>6303-1</t>
  </si>
  <si>
    <t>6304-1</t>
  </si>
  <si>
    <t>6306-1</t>
  </si>
  <si>
    <t>6307-1</t>
  </si>
  <si>
    <t>6309-1</t>
  </si>
  <si>
    <t>6311-1</t>
  </si>
  <si>
    <t>6313-1</t>
  </si>
  <si>
    <t>6315-1</t>
  </si>
  <si>
    <t>6316-1</t>
  </si>
  <si>
    <t>6317-1</t>
  </si>
  <si>
    <t>6319-1</t>
  </si>
  <si>
    <t>6320-1</t>
  </si>
  <si>
    <t>6321-1</t>
  </si>
  <si>
    <t>6322-1</t>
  </si>
  <si>
    <t>6327-1</t>
  </si>
  <si>
    <t>6329-1</t>
  </si>
  <si>
    <t>6330-1</t>
  </si>
  <si>
    <t>6332-1</t>
  </si>
  <si>
    <t>6333-1</t>
  </si>
  <si>
    <t>6335-1</t>
  </si>
  <si>
    <t>6339-1</t>
  </si>
  <si>
    <t>6340-1</t>
  </si>
  <si>
    <t>6342-1</t>
  </si>
  <si>
    <t>6343-1</t>
  </si>
  <si>
    <t>6345-1</t>
  </si>
  <si>
    <t>6346-1</t>
  </si>
  <si>
    <t>6348-1</t>
  </si>
  <si>
    <t>6349-1</t>
  </si>
  <si>
    <t>6351-1</t>
  </si>
  <si>
    <t>6352-1</t>
  </si>
  <si>
    <t>6353-1</t>
  </si>
  <si>
    <t>6354-1</t>
  </si>
  <si>
    <t>6355-1</t>
  </si>
  <si>
    <t>6356-1</t>
  </si>
  <si>
    <t>6358-1</t>
  </si>
  <si>
    <t>6359-1</t>
  </si>
  <si>
    <t>6361-1</t>
  </si>
  <si>
    <t>6362-1</t>
  </si>
  <si>
    <t>6364-1</t>
  </si>
  <si>
    <t>6365-1</t>
  </si>
  <si>
    <t>6367-1</t>
  </si>
  <si>
    <t>6369-1</t>
  </si>
  <si>
    <t>6370-1</t>
  </si>
  <si>
    <t>6371-1</t>
  </si>
  <si>
    <t>6373-1</t>
  </si>
  <si>
    <t>6374-1</t>
  </si>
  <si>
    <t>6376-1</t>
  </si>
  <si>
    <t>6377-1</t>
  </si>
  <si>
    <t>6379-1</t>
  </si>
  <si>
    <t>6380-1</t>
  </si>
  <si>
    <t>6382-1</t>
  </si>
  <si>
    <t>6387-1</t>
  </si>
  <si>
    <t>6389-1</t>
  </si>
  <si>
    <t>6390-1</t>
  </si>
  <si>
    <t>6391-1</t>
  </si>
  <si>
    <t>6392-1</t>
  </si>
  <si>
    <t>6393-1</t>
  </si>
  <si>
    <t>6394-1</t>
  </si>
  <si>
    <t>6396-1</t>
  </si>
  <si>
    <t>6397-1</t>
  </si>
  <si>
    <t>6399-1</t>
  </si>
  <si>
    <t>6401-1</t>
  </si>
  <si>
    <t>6402-1</t>
  </si>
  <si>
    <t>6407-1</t>
  </si>
  <si>
    <t>6409-1</t>
  </si>
  <si>
    <t>6411-1</t>
  </si>
  <si>
    <t>6413-1</t>
  </si>
  <si>
    <t>6414-1</t>
  </si>
  <si>
    <t>6415-1</t>
  </si>
  <si>
    <t>6418-1</t>
  </si>
  <si>
    <t>6422-1</t>
  </si>
  <si>
    <t>6423-1</t>
  </si>
  <si>
    <t>6425-1</t>
  </si>
  <si>
    <t>6426-1</t>
  </si>
  <si>
    <t>6427-1</t>
  </si>
  <si>
    <t>6429-1</t>
  </si>
  <si>
    <t>6430-1</t>
  </si>
  <si>
    <t>6432-1</t>
  </si>
  <si>
    <t>6433-1</t>
  </si>
  <si>
    <t>6434-1</t>
  </si>
  <si>
    <t>6436-1</t>
  </si>
  <si>
    <t>6438-1</t>
  </si>
  <si>
    <t>6440-1</t>
  </si>
  <si>
    <t>6442-1</t>
  </si>
  <si>
    <t>6443-1</t>
  </si>
  <si>
    <t>6445-1</t>
  </si>
  <si>
    <t>6447-1</t>
  </si>
  <si>
    <t>6449-1</t>
  </si>
  <si>
    <t>6451-1</t>
  </si>
  <si>
    <t>6453-1</t>
  </si>
  <si>
    <t>6455-1</t>
  </si>
  <si>
    <t>6460-1</t>
  </si>
  <si>
    <t>6461-1</t>
  </si>
  <si>
    <t>6463-1</t>
  </si>
  <si>
    <t>6465-1</t>
  </si>
  <si>
    <t>6467-1</t>
  </si>
  <si>
    <t>6469-1</t>
  </si>
  <si>
    <t>6471-1</t>
  </si>
  <si>
    <t>6472-1</t>
  </si>
  <si>
    <t>6473-1</t>
  </si>
  <si>
    <t>6475-1</t>
  </si>
  <si>
    <t>6477-1</t>
  </si>
  <si>
    <t>6479-1</t>
  </si>
  <si>
    <t>6480-1</t>
  </si>
  <si>
    <t>6482-1</t>
  </si>
  <si>
    <t>6483-1</t>
  </si>
  <si>
    <t>6484-1</t>
  </si>
  <si>
    <t>6485-1</t>
  </si>
  <si>
    <t>6487-1</t>
  </si>
  <si>
    <t>6489-1</t>
  </si>
  <si>
    <t>6491-1</t>
  </si>
  <si>
    <t>6493-1</t>
  </si>
  <si>
    <t>6495-1</t>
  </si>
  <si>
    <t>6496-1</t>
  </si>
  <si>
    <t>6497-1</t>
  </si>
  <si>
    <t>6498-1</t>
  </si>
  <si>
    <t>6499-1</t>
  </si>
  <si>
    <t>6500-1</t>
  </si>
  <si>
    <t>6502-1</t>
  </si>
  <si>
    <t>6503-1</t>
  </si>
  <si>
    <t>6504-1</t>
  </si>
  <si>
    <t>6505-1</t>
  </si>
  <si>
    <t>6506-1</t>
  </si>
  <si>
    <t>6507-1</t>
  </si>
  <si>
    <t>6509-1</t>
  </si>
  <si>
    <t>6510-1</t>
  </si>
  <si>
    <t>6511-1</t>
  </si>
  <si>
    <t>6512-1</t>
  </si>
  <si>
    <t>6514-1</t>
  </si>
  <si>
    <t>6517-1</t>
  </si>
  <si>
    <t>6521-1</t>
  </si>
  <si>
    <t>6523-1</t>
  </si>
  <si>
    <t>6525-1</t>
  </si>
  <si>
    <t>6527-1</t>
  </si>
  <si>
    <t>6528-1</t>
  </si>
  <si>
    <t>6529-1</t>
  </si>
  <si>
    <t>6530-1</t>
  </si>
  <si>
    <t>6531-1</t>
  </si>
  <si>
    <t>6532-1</t>
  </si>
  <si>
    <t>6534-1</t>
  </si>
  <si>
    <t>6535-1</t>
  </si>
  <si>
    <t>6536-1</t>
  </si>
  <si>
    <t>6538-1</t>
  </si>
  <si>
    <t>6540-1</t>
  </si>
  <si>
    <t>6541-1</t>
  </si>
  <si>
    <t>6542-1</t>
  </si>
  <si>
    <t>6543-1</t>
  </si>
  <si>
    <t>6544-1</t>
  </si>
  <si>
    <t>6546-1</t>
  </si>
  <si>
    <t>6548-1</t>
  </si>
  <si>
    <t>6550-1</t>
  </si>
  <si>
    <t>6552-1</t>
  </si>
  <si>
    <t>6553-1</t>
  </si>
  <si>
    <t>6555-1</t>
  </si>
  <si>
    <t>6557-1</t>
  </si>
  <si>
    <t>6558-1</t>
  </si>
  <si>
    <t>6560-1</t>
  </si>
  <si>
    <t>6561-1</t>
  </si>
  <si>
    <t>6562-1</t>
  </si>
  <si>
    <t>6564-1</t>
  </si>
  <si>
    <t>6565-1</t>
  </si>
  <si>
    <t>6567-1</t>
  </si>
  <si>
    <t>6569-1</t>
  </si>
  <si>
    <t>6571-1</t>
  </si>
  <si>
    <t>6572-1</t>
  </si>
  <si>
    <t>6574-1</t>
  </si>
  <si>
    <t>6576-1</t>
  </si>
  <si>
    <t>6577-1</t>
  </si>
  <si>
    <t>6579-1</t>
  </si>
  <si>
    <t>6581-1</t>
  </si>
  <si>
    <t>6582-1</t>
  </si>
  <si>
    <t>6584-1</t>
  </si>
  <si>
    <t>6586-1</t>
  </si>
  <si>
    <t xml:space="preserve"> Shipping Data</t>
  </si>
  <si>
    <t>Profit Margin</t>
  </si>
  <si>
    <t>Orders:</t>
  </si>
  <si>
    <t>Shipped:</t>
  </si>
  <si>
    <t>Missing Priorities:</t>
  </si>
  <si>
    <t>Order Year</t>
  </si>
  <si>
    <t>Perth</t>
  </si>
  <si>
    <t>WA</t>
  </si>
  <si>
    <t>29 Wellington Street</t>
  </si>
  <si>
    <t>30 Wellington Street</t>
  </si>
  <si>
    <t>31 Wellington Street</t>
  </si>
  <si>
    <t>32 Wellington Street</t>
  </si>
  <si>
    <t>33 Wellington Street</t>
  </si>
  <si>
    <t>14/76 Newcastle Street</t>
  </si>
  <si>
    <t>27/580 Hay Street</t>
  </si>
  <si>
    <t>37/59 Brewer Street</t>
  </si>
  <si>
    <t>15 Aberdeen Street</t>
  </si>
  <si>
    <t>101 Murray Street</t>
  </si>
  <si>
    <t>14 Money Street</t>
  </si>
  <si>
    <t>14 Knebworth Avenue</t>
  </si>
  <si>
    <t>3/265 Stirling Street</t>
  </si>
  <si>
    <t>1/20 Pendal Lane</t>
  </si>
  <si>
    <t>10/145 Newcastle Street</t>
  </si>
  <si>
    <t>22 St Georges Terrace</t>
  </si>
  <si>
    <t>32/82 King Street</t>
  </si>
  <si>
    <t>8/2 Edward Street</t>
  </si>
  <si>
    <t>18 Robinson Avenue</t>
  </si>
  <si>
    <t>8 Orange Street</t>
  </si>
  <si>
    <t>6 Brookman Street</t>
  </si>
  <si>
    <t>65 Palmerston Street</t>
  </si>
  <si>
    <t>10 Lake Street</t>
  </si>
  <si>
    <t>508/130 Mounts Bay Road, Perth</t>
  </si>
  <si>
    <t>73 Lindsay Street, Perth</t>
  </si>
  <si>
    <t>74 Lindsay Street, Perth</t>
  </si>
  <si>
    <t>75 Lindsay Street, Perth</t>
  </si>
  <si>
    <t>76 Lindsay Street, Perth</t>
  </si>
  <si>
    <t>101/12 Victoria Ave, Perth</t>
  </si>
  <si>
    <t>15 Aberdeen Street, Perth</t>
  </si>
  <si>
    <t>29 Wellington Street, Perth</t>
  </si>
  <si>
    <t>30 Wellington Street, Perth</t>
  </si>
  <si>
    <t>31 Wellington Street, Perth</t>
  </si>
  <si>
    <t>32 Wellington Street, Perth</t>
  </si>
  <si>
    <t>33 Wellington Street, Perth</t>
  </si>
  <si>
    <t>101 Murray Street, Perth</t>
  </si>
  <si>
    <t>10 Lake Street, Perth</t>
  </si>
  <si>
    <t>14 Money Street, Perth</t>
  </si>
  <si>
    <t>14/76 Newcastle Street, Perth</t>
  </si>
  <si>
    <t>14 Knebworth Avenue, Perth</t>
  </si>
  <si>
    <t>3/265 Stirling Street, Perth</t>
  </si>
  <si>
    <t>65 Palmerston Street, Perth</t>
  </si>
  <si>
    <t>1/20 Pendal Lane, Perth</t>
  </si>
  <si>
    <t>10/145 Newcastle Street, Perth</t>
  </si>
  <si>
    <t>27/580 Hay Street, Perth</t>
  </si>
  <si>
    <t>22 St Georges Terrace, Perth</t>
  </si>
  <si>
    <t>6 Brookman Street, Perth</t>
  </si>
  <si>
    <t>32/82 King Street, Perth</t>
  </si>
  <si>
    <t>8 Orange Street, Perth</t>
  </si>
  <si>
    <t>18 Robinson Avenue, Perth</t>
  </si>
  <si>
    <t>37/59 Brewer Street, Perth</t>
  </si>
  <si>
    <t>8/2 Edward Street, Perth</t>
  </si>
  <si>
    <t>5802-1</t>
  </si>
  <si>
    <t>5805-1</t>
  </si>
  <si>
    <t>5833-1</t>
  </si>
  <si>
    <t>5871-1</t>
  </si>
  <si>
    <t>5888-1</t>
  </si>
  <si>
    <t>5888-2</t>
  </si>
  <si>
    <t>5899-1</t>
  </si>
  <si>
    <t>6339-2</t>
  </si>
  <si>
    <t>6338-1</t>
  </si>
  <si>
    <t>6168-1</t>
  </si>
  <si>
    <t>6185-1</t>
  </si>
  <si>
    <t>6257-1</t>
  </si>
  <si>
    <t>6337-1</t>
  </si>
  <si>
    <t>6347-1</t>
  </si>
  <si>
    <t>6388-1</t>
  </si>
  <si>
    <t>6395-1</t>
  </si>
  <si>
    <t>6437-1</t>
  </si>
  <si>
    <t>6437-2</t>
  </si>
  <si>
    <t>6508-1</t>
  </si>
  <si>
    <t>6526-1</t>
  </si>
  <si>
    <t>Row Labels</t>
  </si>
  <si>
    <t>Grand Total</t>
  </si>
  <si>
    <t>Sum of Total</t>
  </si>
  <si>
    <t>2015</t>
  </si>
  <si>
    <t>2016</t>
  </si>
  <si>
    <t>Count of Total</t>
  </si>
  <si>
    <t>Column Labels</t>
  </si>
  <si>
    <t>2015 Total</t>
  </si>
  <si>
    <t>2016 Total</t>
  </si>
  <si>
    <t>Qtr1</t>
  </si>
  <si>
    <t>Qtr2</t>
  </si>
  <si>
    <t>Qtr3</t>
  </si>
  <si>
    <t>Qtr4</t>
  </si>
  <si>
    <t>Pivot Reports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</si>
</sst>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6" x14ac:knownFonts="1">
    <font>
      <sz val="11"/>
      <color theme="1"/>
      <name val="Calibri"/>
      <family val="2"/>
      <scheme val="minor"/>
    </font>
    <font>
      <sz val="11"/>
      <color theme="1"/>
      <name val="Calibri"/>
      <family val="2"/>
      <scheme val="minor"/>
    </font>
    <font>
      <sz val="11"/>
      <color rgb="FF000000"/>
      <name val="Calibri"/>
      <family val="2"/>
      <scheme val="minor"/>
    </font>
    <font>
      <sz val="11"/>
      <color theme="0"/>
      <name val="Calibri"/>
      <family val="2"/>
      <scheme val="minor"/>
    </font>
    <font>
      <b/>
      <sz val="11"/>
      <color rgb="FF3F3F3F"/>
      <name val="Calibri"/>
      <family val="2"/>
      <scheme val="minor"/>
    </font>
    <font>
      <sz val="24"/>
      <color theme="0"/>
      <name val="Calibri"/>
      <family val="2"/>
      <scheme val="minor"/>
    </font>
  </fonts>
  <fills count="4">
    <fill>
      <patternFill patternType="none"/>
    </fill>
    <fill>
      <patternFill patternType="gray125"/>
    </fill>
    <fill>
      <patternFill patternType="solid">
        <fgColor rgb="FFF2F2F2"/>
      </patternFill>
    </fill>
    <fill>
      <patternFill patternType="solid">
        <fgColor theme="8"/>
      </patternFill>
    </fill>
  </fills>
  <borders count="2">
    <border>
      <left/>
      <right/>
      <top/>
      <bottom/>
      <diagonal/>
    </border>
    <border>
      <left style="thin">
        <color rgb="FF3F3F3F"/>
      </left>
      <right style="thin">
        <color rgb="FF3F3F3F"/>
      </right>
      <top style="thin">
        <color rgb="FF3F3F3F"/>
      </top>
      <bottom style="thin">
        <color rgb="FF3F3F3F"/>
      </bottom>
      <diagonal/>
    </border>
  </borders>
  <cellStyleXfs count="4">
    <xf numFmtId="0" fontId="0" fillId="0" borderId="0"/>
    <xf numFmtId="9" fontId="1" fillId="0" borderId="0" applyFont="0" applyFill="0" applyBorder="0" applyAlignment="0" applyProtection="0"/>
    <xf numFmtId="0" fontId="4" fillId="2" borderId="1" applyNumberFormat="0" applyAlignment="0" applyProtection="0"/>
    <xf numFmtId="0" fontId="3" fillId="3" borderId="0" applyNumberFormat="0" applyBorder="0" applyAlignment="0" applyProtection="0"/>
  </cellStyleXfs>
  <cellXfs count="16">
    <xf numFmtId="0" fontId="0" fillId="0" borderId="0" xfId="0"/>
    <xf numFmtId="14" fontId="2" fillId="0" borderId="0" xfId="0" applyNumberFormat="1" applyFont="1"/>
    <xf numFmtId="0" fontId="2" fillId="0" borderId="0" xfId="0" applyFont="1"/>
    <xf numFmtId="164" fontId="2" fillId="0" borderId="0" xfId="0" applyNumberFormat="1" applyFont="1"/>
    <xf numFmtId="9" fontId="2" fillId="0" borderId="0" xfId="1" applyFont="1" applyAlignment="1"/>
    <xf numFmtId="164" fontId="0" fillId="0" borderId="0" xfId="0" applyNumberFormat="1"/>
    <xf numFmtId="164" fontId="2" fillId="0" borderId="0" xfId="1" applyNumberFormat="1" applyFont="1" applyAlignment="1"/>
    <xf numFmtId="0" fontId="3" fillId="3" borderId="0" xfId="3"/>
    <xf numFmtId="0" fontId="5" fillId="3" borderId="0" xfId="3" applyFont="1"/>
    <xf numFmtId="18" fontId="5" fillId="3" borderId="0" xfId="3" applyNumberFormat="1" applyFont="1" applyAlignment="1">
      <alignment vertical="center"/>
    </xf>
    <xf numFmtId="0" fontId="4" fillId="2" borderId="1" xfId="2"/>
    <xf numFmtId="0" fontId="0" fillId="0" borderId="0" xfId="0" applyAlignment="1">
      <alignment horizontal="left"/>
    </xf>
    <xf numFmtId="0" fontId="0" fillId="0" borderId="0" xfId="0" quotePrefix="1"/>
    <xf numFmtId="0" fontId="0" fillId="0" borderId="0" xfId="0" pivotButton="1"/>
    <xf numFmtId="14" fontId="0" fillId="0" borderId="0" xfId="0" applyNumberFormat="1"/>
    <xf numFmtId="14" fontId="0" fillId="0" borderId="0" xfId="0" applyNumberFormat="1" applyAlignment="1">
      <alignment horizontal="left" indent="1"/>
    </xf>
  </cellXfs>
  <cellStyles count="4">
    <cellStyle name="Accent5" xfId="3" builtinId="45"/>
    <cellStyle name="Normal" xfId="0" builtinId="0"/>
    <cellStyle name="Output" xfId="2" builtinId="21"/>
    <cellStyle name="Per cent" xfId="1" builtinId="5"/>
  </cellStyles>
  <dxfs count="26">
    <dxf>
      <numFmt numFmtId="164" formatCode="&quot;$&quot;#,##0.00"/>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164" formatCode="&quot;$&quot;#,##0.00"/>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164" formatCode="&quot;$&quot;#,##0.00"/>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164" formatCode="&quot;$&quot;#,##0.00"/>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13" formatCode="0%"/>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164" formatCode="&quot;$&quot;#,##0.00"/>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164" formatCode="&quot;$&quot;#,##0.00"/>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164" formatCode="&quot;$&quot;#,##0.00"/>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164" formatCode="&quot;$&quot;#,##0.00"/>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165" formatCode="d/mm/yyyy"/>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165" formatCode="d/mm/yyyy"/>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 Pivot Tables, Pivot Chart, Slicers.xlsm]Main Pivots!PivotTable1</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RU"/>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s>
    <c:plotArea>
      <c:layout/>
      <c:barChart>
        <c:barDir val="col"/>
        <c:grouping val="clustered"/>
        <c:varyColors val="0"/>
        <c:ser>
          <c:idx val="0"/>
          <c:order val="0"/>
          <c:tx>
            <c:strRef>
              <c:f>'Main Pivots'!$P$3</c:f>
              <c:strCache>
                <c:ptCount val="1"/>
                <c:pt idx="0">
                  <c:v>Total</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1-BD22-45C9-B956-F82EB344BB07}"/>
              </c:ext>
            </c:extLst>
          </c:dPt>
          <c:dPt>
            <c:idx val="1"/>
            <c:invertIfNegative val="0"/>
            <c:bubble3D val="0"/>
            <c:extLst>
              <c:ext xmlns:c16="http://schemas.microsoft.com/office/drawing/2014/chart" uri="{C3380CC4-5D6E-409C-BE32-E72D297353CC}">
                <c16:uniqueId val="{00000003-BD22-45C9-B956-F82EB344BB07}"/>
              </c:ext>
            </c:extLst>
          </c:dPt>
          <c:dPt>
            <c:idx val="2"/>
            <c:invertIfNegative val="0"/>
            <c:bubble3D val="0"/>
            <c:extLst>
              <c:ext xmlns:c16="http://schemas.microsoft.com/office/drawing/2014/chart" uri="{C3380CC4-5D6E-409C-BE32-E72D297353CC}">
                <c16:uniqueId val="{00000005-BD22-45C9-B956-F82EB344BB07}"/>
              </c:ext>
            </c:extLst>
          </c:dPt>
          <c:dPt>
            <c:idx val="3"/>
            <c:invertIfNegative val="0"/>
            <c:bubble3D val="0"/>
            <c:extLst>
              <c:ext xmlns:c16="http://schemas.microsoft.com/office/drawing/2014/chart" uri="{C3380CC4-5D6E-409C-BE32-E72D297353CC}">
                <c16:uniqueId val="{00000007-BD22-45C9-B956-F82EB344BB0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RU"/>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'Main Pivots'!$O$4:$O$8</c:f>
              <c:strCache>
                <c:ptCount val="4"/>
                <c:pt idx="0">
                  <c:v>Consumer</c:v>
                </c:pt>
                <c:pt idx="1">
                  <c:v>Small Business</c:v>
                </c:pt>
                <c:pt idx="2">
                  <c:v>Home Office</c:v>
                </c:pt>
                <c:pt idx="3">
                  <c:v>Corporate</c:v>
                </c:pt>
              </c:strCache>
            </c:strRef>
          </c:cat>
          <c:val>
            <c:numRef>
              <c:f>'Main Pivots'!$P$4:$P$8</c:f>
              <c:numCache>
                <c:formatCode>General</c:formatCode>
                <c:ptCount val="4"/>
                <c:pt idx="0">
                  <c:v>177</c:v>
                </c:pt>
                <c:pt idx="1">
                  <c:v>221</c:v>
                </c:pt>
                <c:pt idx="2">
                  <c:v>264</c:v>
                </c:pt>
                <c:pt idx="3">
                  <c:v>377</c:v>
                </c:pt>
              </c:numCache>
            </c:numRef>
          </c:val>
          <c:extLst>
            <c:ext xmlns:c16="http://schemas.microsoft.com/office/drawing/2014/chart" uri="{C3380CC4-5D6E-409C-BE32-E72D297353CC}">
              <c16:uniqueId val="{00000000-71F2-425A-B1FC-0850E094E69E}"/>
            </c:ext>
          </c:extLst>
        </c:ser>
        <c:dLbls>
          <c:showLegendKey val="0"/>
          <c:showVal val="0"/>
          <c:showCatName val="0"/>
          <c:showSerName val="0"/>
          <c:showPercent val="0"/>
          <c:showBubbleSize val="0"/>
        </c:dLbls>
        <c:gapWidth val="219"/>
        <c:overlap val="-27"/>
        <c:axId val="492373695"/>
        <c:axId val="242509711"/>
      </c:barChart>
      <c:catAx>
        <c:axId val="4923736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RU"/>
          </a:p>
        </c:txPr>
        <c:crossAx val="242509711"/>
        <c:crosses val="autoZero"/>
        <c:auto val="1"/>
        <c:lblAlgn val="ctr"/>
        <c:lblOffset val="100"/>
        <c:noMultiLvlLbl val="0"/>
      </c:catAx>
      <c:valAx>
        <c:axId val="242509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RU"/>
          </a:p>
        </c:txPr>
        <c:crossAx val="49237369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RU"/>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 Pivot Tables, Pivot Chart, Slicers.xlsm]Main Pivots!RegionalPivot</c:name>
    <c:fmtId val="0"/>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RU"/>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RU"/>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RU"/>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'Main Pivots'!$B$19:$B$20</c:f>
              <c:strCache>
                <c:ptCount val="1"/>
                <c:pt idx="0">
                  <c:v>WA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'Main Pivots'!$A$21:$A$35</c:f>
              <c:multiLvlStrCache>
                <c:ptCount val="8"/>
                <c:lvl>
                  <c:pt idx="0">
                    <c:v>Qtr1</c:v>
                  </c:pt>
                  <c:pt idx="1">
                    <c:v>Qtr2</c:v>
                  </c:pt>
                  <c:pt idx="2">
                    <c:v>Qtr3</c:v>
                  </c:pt>
                  <c:pt idx="3">
                    <c:v>Qtr4</c:v>
                  </c:pt>
                  <c:pt idx="4">
                    <c:v>Qtr1</c:v>
                  </c:pt>
                  <c:pt idx="5">
                    <c:v>Qtr2</c:v>
                  </c:pt>
                  <c:pt idx="6">
                    <c:v>Qtr3</c:v>
                  </c:pt>
                  <c:pt idx="7">
                    <c:v>Qtr4</c:v>
                  </c:pt>
                </c:lvl>
                <c:lvl>
                  <c:pt idx="0">
                    <c:v>2015</c:v>
                  </c:pt>
                  <c:pt idx="4">
                    <c:v>2016</c:v>
                  </c:pt>
                </c:lvl>
              </c:multiLvlStrCache>
            </c:multiLvlStrRef>
          </c:cat>
          <c:val>
            <c:numRef>
              <c:f>'Main Pivots'!$B$21:$B$35</c:f>
              <c:numCache>
                <c:formatCode>"$"#\ ##0.00</c:formatCode>
                <c:ptCount val="8"/>
                <c:pt idx="0">
                  <c:v>3148.0843</c:v>
                </c:pt>
                <c:pt idx="1">
                  <c:v>7910.5563999999995</c:v>
                </c:pt>
                <c:pt idx="2">
                  <c:v>4132.2871999999998</c:v>
                </c:pt>
                <c:pt idx="3">
                  <c:v>4997.7249000000002</c:v>
                </c:pt>
                <c:pt idx="4">
                  <c:v>3630.0371999999998</c:v>
                </c:pt>
                <c:pt idx="5">
                  <c:v>5208.7814000000008</c:v>
                </c:pt>
                <c:pt idx="6">
                  <c:v>12716.390100000001</c:v>
                </c:pt>
                <c:pt idx="7">
                  <c:v>2938.4452999999999</c:v>
                </c:pt>
              </c:numCache>
            </c:numRef>
          </c:val>
          <c:smooth val="0"/>
          <c:extLst>
            <c:ext xmlns:c16="http://schemas.microsoft.com/office/drawing/2014/chart" uri="{C3380CC4-5D6E-409C-BE32-E72D297353CC}">
              <c16:uniqueId val="{00000000-A42F-412F-BDFC-3C92195A7DF3}"/>
            </c:ext>
          </c:extLst>
        </c:ser>
        <c:ser>
          <c:idx val="1"/>
          <c:order val="1"/>
          <c:tx>
            <c:strRef>
              <c:f>'Main Pivots'!$C$19:$C$20</c:f>
              <c:strCache>
                <c:ptCount val="1"/>
                <c:pt idx="0">
                  <c:v>VIC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Pt>
            <c:idx val="4"/>
            <c:marker>
              <c:symbol val="circle"/>
              <c:size val="5"/>
              <c:spPr>
                <a:solidFill>
                  <a:schemeClr val="accent2"/>
                </a:solidFill>
                <a:ln w="9525">
                  <a:solidFill>
                    <a:schemeClr val="accent2"/>
                  </a:solidFill>
                </a:ln>
                <a:effectLst/>
              </c:spPr>
            </c:marker>
            <c:bubble3D val="0"/>
            <c:spPr>
              <a:ln w="28575" cap="rnd">
                <a:solidFill>
                  <a:schemeClr val="accent2"/>
                </a:solidFill>
                <a:round/>
              </a:ln>
              <a:effectLst/>
            </c:spPr>
            <c:extLst>
              <c:ext xmlns:c16="http://schemas.microsoft.com/office/drawing/2014/chart" uri="{C3380CC4-5D6E-409C-BE32-E72D297353CC}">
                <c16:uniqueId val="{00000003-A030-7A4A-AADB-5C2628B3A423}"/>
              </c:ext>
            </c:extLst>
          </c:dPt>
          <c:cat>
            <c:multiLvlStrRef>
              <c:f>'Main Pivots'!$A$21:$A$35</c:f>
              <c:multiLvlStrCache>
                <c:ptCount val="8"/>
                <c:lvl>
                  <c:pt idx="0">
                    <c:v>Qtr1</c:v>
                  </c:pt>
                  <c:pt idx="1">
                    <c:v>Qtr2</c:v>
                  </c:pt>
                  <c:pt idx="2">
                    <c:v>Qtr3</c:v>
                  </c:pt>
                  <c:pt idx="3">
                    <c:v>Qtr4</c:v>
                  </c:pt>
                  <c:pt idx="4">
                    <c:v>Qtr1</c:v>
                  </c:pt>
                  <c:pt idx="5">
                    <c:v>Qtr2</c:v>
                  </c:pt>
                  <c:pt idx="6">
                    <c:v>Qtr3</c:v>
                  </c:pt>
                  <c:pt idx="7">
                    <c:v>Qtr4</c:v>
                  </c:pt>
                </c:lvl>
                <c:lvl>
                  <c:pt idx="0">
                    <c:v>2015</c:v>
                  </c:pt>
                  <c:pt idx="4">
                    <c:v>2016</c:v>
                  </c:pt>
                </c:lvl>
              </c:multiLvlStrCache>
            </c:multiLvlStrRef>
          </c:cat>
          <c:val>
            <c:numRef>
              <c:f>'Main Pivots'!$C$21:$C$35</c:f>
              <c:numCache>
                <c:formatCode>"$"#\ ##0.00</c:formatCode>
                <c:ptCount val="8"/>
                <c:pt idx="0">
                  <c:v>33085.339099999997</c:v>
                </c:pt>
                <c:pt idx="1">
                  <c:v>27044.158900000002</c:v>
                </c:pt>
                <c:pt idx="2">
                  <c:v>10324.0574</c:v>
                </c:pt>
                <c:pt idx="3">
                  <c:v>6975.8998000000001</c:v>
                </c:pt>
                <c:pt idx="4">
                  <c:v>23729.875599999996</c:v>
                </c:pt>
                <c:pt idx="5">
                  <c:v>20411.773300000001</c:v>
                </c:pt>
                <c:pt idx="6">
                  <c:v>6232.9407999999985</c:v>
                </c:pt>
                <c:pt idx="7">
                  <c:v>11460.5463</c:v>
                </c:pt>
              </c:numCache>
            </c:numRef>
          </c:val>
          <c:smooth val="0"/>
          <c:extLst>
            <c:ext xmlns:c16="http://schemas.microsoft.com/office/drawing/2014/chart" uri="{C3380CC4-5D6E-409C-BE32-E72D297353CC}">
              <c16:uniqueId val="{00000001-A030-7A4A-AADB-5C2628B3A423}"/>
            </c:ext>
          </c:extLst>
        </c:ser>
        <c:ser>
          <c:idx val="2"/>
          <c:order val="2"/>
          <c:tx>
            <c:strRef>
              <c:f>'Main Pivots'!$D$19:$D$20</c:f>
              <c:strCache>
                <c:ptCount val="1"/>
                <c:pt idx="0">
                  <c:v>NSW</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'Main Pivots'!$A$21:$A$35</c:f>
              <c:multiLvlStrCache>
                <c:ptCount val="8"/>
                <c:lvl>
                  <c:pt idx="0">
                    <c:v>Qtr1</c:v>
                  </c:pt>
                  <c:pt idx="1">
                    <c:v>Qtr2</c:v>
                  </c:pt>
                  <c:pt idx="2">
                    <c:v>Qtr3</c:v>
                  </c:pt>
                  <c:pt idx="3">
                    <c:v>Qtr4</c:v>
                  </c:pt>
                  <c:pt idx="4">
                    <c:v>Qtr1</c:v>
                  </c:pt>
                  <c:pt idx="5">
                    <c:v>Qtr2</c:v>
                  </c:pt>
                  <c:pt idx="6">
                    <c:v>Qtr3</c:v>
                  </c:pt>
                  <c:pt idx="7">
                    <c:v>Qtr4</c:v>
                  </c:pt>
                </c:lvl>
                <c:lvl>
                  <c:pt idx="0">
                    <c:v>2015</c:v>
                  </c:pt>
                  <c:pt idx="4">
                    <c:v>2016</c:v>
                  </c:pt>
                </c:lvl>
              </c:multiLvlStrCache>
            </c:multiLvlStrRef>
          </c:cat>
          <c:val>
            <c:numRef>
              <c:f>'Main Pivots'!$D$21:$D$35</c:f>
              <c:numCache>
                <c:formatCode>"$"#\ ##0.00</c:formatCode>
                <c:ptCount val="8"/>
                <c:pt idx="0">
                  <c:v>45614.359200000014</c:v>
                </c:pt>
                <c:pt idx="1">
                  <c:v>77060.204899999997</c:v>
                </c:pt>
                <c:pt idx="2">
                  <c:v>62475.234900000003</c:v>
                </c:pt>
                <c:pt idx="3">
                  <c:v>69995.039199999985</c:v>
                </c:pt>
                <c:pt idx="4">
                  <c:v>62364.591300000015</c:v>
                </c:pt>
                <c:pt idx="5">
                  <c:v>29577.634400000003</c:v>
                </c:pt>
                <c:pt idx="6">
                  <c:v>44971.108999999997</c:v>
                </c:pt>
                <c:pt idx="7">
                  <c:v>49046.571500000013</c:v>
                </c:pt>
              </c:numCache>
            </c:numRef>
          </c:val>
          <c:smooth val="0"/>
          <c:extLst>
            <c:ext xmlns:c16="http://schemas.microsoft.com/office/drawing/2014/chart" uri="{C3380CC4-5D6E-409C-BE32-E72D297353CC}">
              <c16:uniqueId val="{00000002-A030-7A4A-AADB-5C2628B3A423}"/>
            </c:ext>
          </c:extLst>
        </c:ser>
        <c:dLbls>
          <c:showLegendKey val="0"/>
          <c:showVal val="0"/>
          <c:showCatName val="0"/>
          <c:showSerName val="0"/>
          <c:showPercent val="0"/>
          <c:showBubbleSize val="0"/>
        </c:dLbls>
        <c:marker val="1"/>
        <c:smooth val="0"/>
        <c:axId val="443797224"/>
        <c:axId val="443798208"/>
      </c:lineChart>
      <c:catAx>
        <c:axId val="443797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RU"/>
          </a:p>
        </c:txPr>
        <c:crossAx val="443798208"/>
        <c:crosses val="autoZero"/>
        <c:auto val="1"/>
        <c:lblAlgn val="ctr"/>
        <c:lblOffset val="100"/>
        <c:noMultiLvlLbl val="0"/>
      </c:catAx>
      <c:valAx>
        <c:axId val="443798208"/>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RU"/>
          </a:p>
        </c:txPr>
        <c:crossAx val="4437972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RU"/>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175172</xdr:colOff>
      <xdr:row>1</xdr:row>
      <xdr:rowOff>89743</xdr:rowOff>
    </xdr:from>
    <xdr:to>
      <xdr:col>5</xdr:col>
      <xdr:colOff>196944</xdr:colOff>
      <xdr:row>16</xdr:row>
      <xdr:rowOff>180615</xdr:rowOff>
    </xdr:to>
    <xdr:graphicFrame macro="">
      <xdr:nvGraphicFramePr>
        <xdr:cNvPr id="3" name="Chart 2">
          <a:extLst>
            <a:ext uri="{FF2B5EF4-FFF2-40B4-BE49-F238E27FC236}">
              <a16:creationId xmlns:a16="http://schemas.microsoft.com/office/drawing/2014/main" id="{0DE97CB1-08E9-4403-8E1D-DB3A7D4B4D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190623</xdr:colOff>
      <xdr:row>1</xdr:row>
      <xdr:rowOff>100690</xdr:rowOff>
    </xdr:from>
    <xdr:to>
      <xdr:col>13</xdr:col>
      <xdr:colOff>392009</xdr:colOff>
      <xdr:row>16</xdr:row>
      <xdr:rowOff>179613</xdr:rowOff>
    </xdr:to>
    <xdr:graphicFrame macro="">
      <xdr:nvGraphicFramePr>
        <xdr:cNvPr id="4" name="Chart 3">
          <a:extLst>
            <a:ext uri="{FF2B5EF4-FFF2-40B4-BE49-F238E27FC236}">
              <a16:creationId xmlns:a16="http://schemas.microsoft.com/office/drawing/2014/main" id="{21B5B004-2936-446A-950C-88977D22A4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141202</xdr:colOff>
      <xdr:row>17</xdr:row>
      <xdr:rowOff>152399</xdr:rowOff>
    </xdr:from>
    <xdr:to>
      <xdr:col>7</xdr:col>
      <xdr:colOff>494988</xdr:colOff>
      <xdr:row>27</xdr:row>
      <xdr:rowOff>101828</xdr:rowOff>
    </xdr:to>
    <mc:AlternateContent xmlns:mc="http://schemas.openxmlformats.org/markup-compatibility/2006">
      <mc:Choice xmlns:a14="http://schemas.microsoft.com/office/drawing/2010/main" Requires="a14">
        <xdr:graphicFrame macro="">
          <xdr:nvGraphicFramePr>
            <xdr:cNvPr id="23" name="State">
              <a:extLst>
                <a:ext uri="{FF2B5EF4-FFF2-40B4-BE49-F238E27FC236}">
                  <a16:creationId xmlns:a16="http://schemas.microsoft.com/office/drawing/2014/main" id="{5675A901-9CCE-4C9D-819A-97E28D459CEF}"/>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4706633" y="3557313"/>
              <a:ext cx="1919389" cy="181063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625615</xdr:colOff>
      <xdr:row>17</xdr:row>
      <xdr:rowOff>152399</xdr:rowOff>
    </xdr:from>
    <xdr:to>
      <xdr:col>10</xdr:col>
      <xdr:colOff>348029</xdr:colOff>
      <xdr:row>27</xdr:row>
      <xdr:rowOff>101828</xdr:rowOff>
    </xdr:to>
    <mc:AlternateContent xmlns:mc="http://schemas.openxmlformats.org/markup-compatibility/2006">
      <mc:Choice xmlns:a14="http://schemas.microsoft.com/office/drawing/2010/main" Requires="a14">
        <xdr:graphicFrame macro="">
          <xdr:nvGraphicFramePr>
            <xdr:cNvPr id="24" name="Customer Type">
              <a:extLst>
                <a:ext uri="{FF2B5EF4-FFF2-40B4-BE49-F238E27FC236}">
                  <a16:creationId xmlns:a16="http://schemas.microsoft.com/office/drawing/2014/main" id="{1D02F805-2113-4B8C-8BC1-264930839D76}"/>
                </a:ext>
              </a:extLst>
            </xdr:cNvPr>
            <xdr:cNvGraphicFramePr/>
          </xdr:nvGraphicFramePr>
          <xdr:xfrm>
            <a:off x="0" y="0"/>
            <a:ext cx="0" cy="0"/>
          </xdr:xfrm>
          <a:graphic>
            <a:graphicData uri="http://schemas.microsoft.com/office/drawing/2010/slicer">
              <sle:slicer xmlns:sle="http://schemas.microsoft.com/office/drawing/2010/slicer" name="Customer Type"/>
            </a:graphicData>
          </a:graphic>
        </xdr:graphicFrame>
      </mc:Choice>
      <mc:Fallback>
        <xdr:sp macro="" textlink="">
          <xdr:nvSpPr>
            <xdr:cNvPr id="0" name=""/>
            <xdr:cNvSpPr>
              <a:spLocks noTextEdit="1"/>
            </xdr:cNvSpPr>
          </xdr:nvSpPr>
          <xdr:spPr>
            <a:xfrm>
              <a:off x="6756649" y="3557313"/>
              <a:ext cx="1955863" cy="181063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478656</xdr:colOff>
      <xdr:row>17</xdr:row>
      <xdr:rowOff>152399</xdr:rowOff>
    </xdr:from>
    <xdr:to>
      <xdr:col>13</xdr:col>
      <xdr:colOff>348028</xdr:colOff>
      <xdr:row>27</xdr:row>
      <xdr:rowOff>101828</xdr:rowOff>
    </xdr:to>
    <mc:AlternateContent xmlns:mc="http://schemas.openxmlformats.org/markup-compatibility/2006">
      <mc:Choice xmlns:a14="http://schemas.microsoft.com/office/drawing/2010/main" Requires="a14">
        <xdr:graphicFrame macro="">
          <xdr:nvGraphicFramePr>
            <xdr:cNvPr id="25" name="Account Manager">
              <a:extLst>
                <a:ext uri="{FF2B5EF4-FFF2-40B4-BE49-F238E27FC236}">
                  <a16:creationId xmlns:a16="http://schemas.microsoft.com/office/drawing/2014/main" id="{54DE9A05-4D65-4B09-9966-0D5FBE0F0E7A}"/>
                </a:ext>
              </a:extLst>
            </xdr:cNvPr>
            <xdr:cNvGraphicFramePr/>
          </xdr:nvGraphicFramePr>
          <xdr:xfrm>
            <a:off x="0" y="0"/>
            <a:ext cx="0" cy="0"/>
          </xdr:xfrm>
          <a:graphic>
            <a:graphicData uri="http://schemas.microsoft.com/office/drawing/2010/slicer">
              <sle:slicer xmlns:sle="http://schemas.microsoft.com/office/drawing/2010/slicer" name="Account Manager"/>
            </a:graphicData>
          </a:graphic>
        </xdr:graphicFrame>
      </mc:Choice>
      <mc:Fallback>
        <xdr:sp macro="" textlink="">
          <xdr:nvSpPr>
            <xdr:cNvPr id="0" name=""/>
            <xdr:cNvSpPr>
              <a:spLocks noTextEdit="1"/>
            </xdr:cNvSpPr>
          </xdr:nvSpPr>
          <xdr:spPr>
            <a:xfrm>
              <a:off x="8843139" y="3557313"/>
              <a:ext cx="1960492" cy="181063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 refreshedDate="42926.5389931713" createdVersion="6" refreshedVersion="6" minRefreshableVersion="3" recordCount="1039" xr:uid="{00000000-000A-0000-FFFF-FFFF00000000}">
  <cacheSource type="worksheet">
    <worksheetSource name="Sales"/>
  </cacheSource>
  <cacheFields count="26">
    <cacheField name="Order No" numFmtId="0">
      <sharedItems/>
    </cacheField>
    <cacheField name="Order Date" numFmtId="14">
      <sharedItems containsSemiMixedTypes="0" containsNonDate="0" containsDate="1" containsString="0" minDate="2013-02-11T00:00:00" maxDate="2017-02-08T00:00:00" count="729">
        <d v="2013-02-11T00:00:00"/>
        <d v="2013-02-12T00:00:00"/>
        <d v="2013-02-13T00:00:00"/>
        <d v="2013-02-14T00:00:00"/>
        <d v="2013-02-17T00:00:00"/>
        <d v="2013-02-18T00:00:00"/>
        <d v="2013-02-20T00:00:00"/>
        <d v="2013-02-22T00:00:00"/>
        <d v="2013-02-23T00:00:00"/>
        <d v="2013-02-25T00:00:00"/>
        <d v="2013-02-26T00:00:00"/>
        <d v="2013-03-07T00:00:00"/>
        <d v="2013-03-11T00:00:00"/>
        <d v="2013-03-13T00:00:00"/>
        <d v="2013-03-15T00:00:00"/>
        <d v="2013-03-16T00:00:00"/>
        <d v="2013-03-23T00:00:00"/>
        <d v="2013-03-26T00:00:00"/>
        <d v="2013-03-27T00:00:00"/>
        <d v="2013-03-30T00:00:00"/>
        <d v="2013-04-19T00:00:00"/>
        <d v="2013-04-20T00:00:00"/>
        <d v="2013-04-27T00:00:00"/>
        <d v="2013-04-28T00:00:00"/>
        <d v="2013-04-30T00:00:00"/>
        <d v="2013-05-01T00:00:00"/>
        <d v="2013-05-02T00:00:00"/>
        <d v="2013-05-03T00:00:00"/>
        <d v="2013-05-04T00:00:00"/>
        <d v="2013-05-05T00:00:00"/>
        <d v="2013-05-07T00:00:00"/>
        <d v="2013-05-09T00:00:00"/>
        <d v="2013-05-13T00:00:00"/>
        <d v="2013-05-14T00:00:00"/>
        <d v="2013-05-15T00:00:00"/>
        <d v="2013-05-19T00:00:00"/>
        <d v="2013-05-20T00:00:00"/>
        <d v="2013-05-21T00:00:00"/>
        <d v="2013-05-22T00:00:00"/>
        <d v="2013-05-23T00:00:00"/>
        <d v="2013-05-26T00:00:00"/>
        <d v="2013-05-27T00:00:00"/>
        <d v="2013-05-28T00:00:00"/>
        <d v="2013-05-29T00:00:00"/>
        <d v="2013-05-31T00:00:00"/>
        <d v="2013-06-02T00:00:00"/>
        <d v="2013-06-04T00:00:00"/>
        <d v="2013-06-05T00:00:00"/>
        <d v="2013-06-06T00:00:00"/>
        <d v="2013-06-07T00:00:00"/>
        <d v="2013-06-09T00:00:00"/>
        <d v="2013-06-10T00:00:00"/>
        <d v="2013-06-11T00:00:00"/>
        <d v="2013-06-15T00:00:00"/>
        <d v="2013-06-16T00:00:00"/>
        <d v="2013-06-20T00:00:00"/>
        <d v="2013-06-21T00:00:00"/>
        <d v="2013-06-24T00:00:00"/>
        <d v="2013-06-25T00:00:00"/>
        <d v="2013-06-26T00:00:00"/>
        <d v="2013-06-29T00:00:00"/>
        <d v="2013-06-30T00:00:00"/>
        <d v="2013-07-02T00:00:00"/>
        <d v="2013-07-03T00:00:00"/>
        <d v="2013-07-04T00:00:00"/>
        <d v="2013-07-05T00:00:00"/>
        <d v="2013-07-06T00:00:00"/>
        <d v="2013-07-10T00:00:00"/>
        <d v="2013-07-15T00:00:00"/>
        <d v="2013-07-16T00:00:00"/>
        <d v="2013-07-17T00:00:00"/>
        <d v="2013-07-18T00:00:00"/>
        <d v="2013-07-20T00:00:00"/>
        <d v="2013-07-21T00:00:00"/>
        <d v="2013-07-22T00:00:00"/>
        <d v="2013-07-23T00:00:00"/>
        <d v="2013-07-24T00:00:00"/>
        <d v="2013-07-26T00:00:00"/>
        <d v="2013-07-27T00:00:00"/>
        <d v="2013-07-28T00:00:00"/>
        <d v="2013-07-29T00:00:00"/>
        <d v="2013-07-30T00:00:00"/>
        <d v="2013-07-31T00:00:00"/>
        <d v="2013-08-02T00:00:00"/>
        <d v="2013-08-06T00:00:00"/>
        <d v="2013-08-07T00:00:00"/>
        <d v="2013-08-08T00:00:00"/>
        <d v="2013-08-09T00:00:00"/>
        <d v="2013-08-10T00:00:00"/>
        <d v="2013-08-11T00:00:00"/>
        <d v="2013-08-12T00:00:00"/>
        <d v="2013-08-14T00:00:00"/>
        <d v="2013-08-15T00:00:00"/>
        <d v="2013-08-17T00:00:00"/>
        <d v="2013-08-20T00:00:00"/>
        <d v="2013-08-22T00:00:00"/>
        <d v="2013-08-24T00:00:00"/>
        <d v="2013-08-25T00:00:00"/>
        <d v="2013-08-28T00:00:00"/>
        <d v="2013-08-29T00:00:00"/>
        <d v="2013-08-30T00:00:00"/>
        <d v="2013-09-01T00:00:00"/>
        <d v="2013-09-02T00:00:00"/>
        <d v="2013-09-03T00:00:00"/>
        <d v="2013-09-04T00:00:00"/>
        <d v="2013-09-09T00:00:00"/>
        <d v="2013-09-10T00:00:00"/>
        <d v="2013-09-12T00:00:00"/>
        <d v="2013-09-14T00:00:00"/>
        <d v="2013-09-17T00:00:00"/>
        <d v="2013-09-18T00:00:00"/>
        <d v="2013-09-20T00:00:00"/>
        <d v="2013-09-22T00:00:00"/>
        <d v="2013-09-23T00:00:00"/>
        <d v="2013-09-26T00:00:00"/>
        <d v="2013-09-27T00:00:00"/>
        <d v="2013-09-30T00:00:00"/>
        <d v="2013-10-01T00:00:00"/>
        <d v="2013-10-03T00:00:00"/>
        <d v="2013-10-04T00:00:00"/>
        <d v="2013-10-05T00:00:00"/>
        <d v="2013-10-06T00:00:00"/>
        <d v="2013-10-09T00:00:00"/>
        <d v="2013-10-11T00:00:00"/>
        <d v="2013-10-13T00:00:00"/>
        <d v="2013-10-20T00:00:00"/>
        <d v="2013-10-21T00:00:00"/>
        <d v="2013-10-24T00:00:00"/>
        <d v="2013-10-25T00:00:00"/>
        <d v="2013-10-26T00:00:00"/>
        <d v="2013-10-28T00:00:00"/>
        <d v="2013-10-29T00:00:00"/>
        <d v="2013-11-01T00:00:00"/>
        <d v="2013-11-02T00:00:00"/>
        <d v="2013-11-03T00:00:00"/>
        <d v="2013-11-05T00:00:00"/>
        <d v="2013-11-07T00:00:00"/>
        <d v="2013-11-09T00:00:00"/>
        <d v="2013-11-12T00:00:00"/>
        <d v="2013-11-15T00:00:00"/>
        <d v="2013-11-16T00:00:00"/>
        <d v="2013-11-17T00:00:00"/>
        <d v="2013-11-18T00:00:00"/>
        <d v="2013-11-19T00:00:00"/>
        <d v="2013-11-20T00:00:00"/>
        <d v="2013-11-23T00:00:00"/>
        <d v="2013-11-27T00:00:00"/>
        <d v="2013-11-29T00:00:00"/>
        <d v="2013-12-05T00:00:00"/>
        <d v="2013-12-08T00:00:00"/>
        <d v="2013-12-09T00:00:00"/>
        <d v="2013-12-10T00:00:00"/>
        <d v="2013-12-11T00:00:00"/>
        <d v="2013-12-13T00:00:00"/>
        <d v="2013-12-16T00:00:00"/>
        <d v="2013-12-17T00:00:00"/>
        <d v="2013-12-19T00:00:00"/>
        <d v="2013-12-23T00:00:00"/>
        <d v="2013-12-27T00:00:00"/>
        <d v="2013-12-29T00:00:00"/>
        <d v="2013-12-30T00:00:00"/>
        <d v="2014-01-04T00:00:00"/>
        <d v="2014-01-07T00:00:00"/>
        <d v="2014-01-08T00:00:00"/>
        <d v="2014-01-10T00:00:00"/>
        <d v="2014-01-13T00:00:00"/>
        <d v="2014-01-14T00:00:00"/>
        <d v="2014-01-15T00:00:00"/>
        <d v="2014-01-17T00:00:00"/>
        <d v="2014-01-23T00:00:00"/>
        <d v="2014-01-24T00:00:00"/>
        <d v="2014-01-25T00:00:00"/>
        <d v="2014-01-26T00:00:00"/>
        <d v="2014-01-27T00:00:00"/>
        <d v="2014-01-29T00:00:00"/>
        <d v="2014-01-30T00:00:00"/>
        <d v="2014-02-02T00:00:00"/>
        <d v="2014-02-03T00:00:00"/>
        <d v="2014-02-05T00:00:00"/>
        <d v="2014-02-07T00:00:00"/>
        <d v="2014-02-09T00:00:00"/>
        <d v="2014-02-10T00:00:00"/>
        <d v="2014-02-12T00:00:00"/>
        <d v="2014-02-13T00:00:00"/>
        <d v="2014-02-15T00:00:00"/>
        <d v="2014-02-16T00:00:00"/>
        <d v="2014-02-22T00:00:00"/>
        <d v="2014-02-23T00:00:00"/>
        <d v="2014-02-24T00:00:00"/>
        <d v="2014-02-25T00:00:00"/>
        <d v="2014-02-28T00:00:00"/>
        <d v="2014-03-02T00:00:00"/>
        <d v="2014-03-06T00:00:00"/>
        <d v="2014-03-10T00:00:00"/>
        <d v="2014-03-11T00:00:00"/>
        <d v="2014-03-12T00:00:00"/>
        <d v="2014-03-13T00:00:00"/>
        <d v="2014-03-15T00:00:00"/>
        <d v="2014-03-17T00:00:00"/>
        <d v="2014-03-19T00:00:00"/>
        <d v="2014-03-21T00:00:00"/>
        <d v="2014-03-28T00:00:00"/>
        <d v="2014-03-29T00:00:00"/>
        <d v="2014-03-31T00:00:00"/>
        <d v="2014-04-01T00:00:00"/>
        <d v="2014-04-02T00:00:00"/>
        <d v="2014-04-03T00:00:00"/>
        <d v="2014-04-04T00:00:00"/>
        <d v="2014-04-06T00:00:00"/>
        <d v="2014-04-07T00:00:00"/>
        <d v="2014-04-11T00:00:00"/>
        <d v="2014-04-15T00:00:00"/>
        <d v="2014-04-17T00:00:00"/>
        <d v="2014-05-02T00:00:00"/>
        <d v="2014-05-03T00:00:00"/>
        <d v="2014-05-06T00:00:00"/>
        <d v="2014-05-08T00:00:00"/>
        <d v="2014-05-09T00:00:00"/>
        <d v="2014-05-11T00:00:00"/>
        <d v="2014-05-13T00:00:00"/>
        <d v="2014-05-15T00:00:00"/>
        <d v="2014-05-17T00:00:00"/>
        <d v="2014-05-19T00:00:00"/>
        <d v="2014-05-25T00:00:00"/>
        <d v="2014-05-29T00:00:00"/>
        <d v="2014-06-02T00:00:00"/>
        <d v="2014-06-03T00:00:00"/>
        <d v="2014-06-04T00:00:00"/>
        <d v="2014-06-05T00:00:00"/>
        <d v="2014-06-07T00:00:00"/>
        <d v="2014-06-08T00:00:00"/>
        <d v="2014-06-09T00:00:00"/>
        <d v="2014-06-13T00:00:00"/>
        <d v="2014-06-16T00:00:00"/>
        <d v="2014-06-17T00:00:00"/>
        <d v="2014-06-18T00:00:00"/>
        <d v="2014-06-19T00:00:00"/>
        <d v="2014-06-22T00:00:00"/>
        <d v="2014-06-23T00:00:00"/>
        <d v="2014-06-25T00:00:00"/>
        <d v="2014-06-27T00:00:00"/>
        <d v="2014-06-29T00:00:00"/>
        <d v="2014-06-30T00:00:00"/>
        <d v="2014-07-04T00:00:00"/>
        <d v="2014-07-05T00:00:00"/>
        <d v="2014-07-11T00:00:00"/>
        <d v="2014-07-12T00:00:00"/>
        <d v="2014-07-15T00:00:00"/>
        <d v="2014-07-17T00:00:00"/>
        <d v="2014-07-18T00:00:00"/>
        <d v="2014-07-22T00:00:00"/>
        <d v="2014-07-24T00:00:00"/>
        <d v="2014-07-25T00:00:00"/>
        <d v="2014-07-26T00:00:00"/>
        <d v="2014-07-28T00:00:00"/>
        <d v="2014-07-30T00:00:00"/>
        <d v="2014-08-03T00:00:00"/>
        <d v="2014-08-05T00:00:00"/>
        <d v="2014-08-06T00:00:00"/>
        <d v="2014-08-07T00:00:00"/>
        <d v="2014-08-11T00:00:00"/>
        <d v="2014-08-12T00:00:00"/>
        <d v="2014-08-22T00:00:00"/>
        <d v="2014-08-25T00:00:00"/>
        <d v="2014-08-26T00:00:00"/>
        <d v="2014-08-27T00:00:00"/>
        <d v="2014-08-28T00:00:00"/>
        <d v="2014-09-02T00:00:00"/>
        <d v="2014-09-03T00:00:00"/>
        <d v="2014-09-04T00:00:00"/>
        <d v="2014-09-07T00:00:00"/>
        <d v="2014-09-10T00:00:00"/>
        <d v="2014-09-11T00:00:00"/>
        <d v="2014-09-12T00:00:00"/>
        <d v="2014-09-13T00:00:00"/>
        <d v="2014-09-17T00:00:00"/>
        <d v="2014-09-21T00:00:00"/>
        <d v="2014-09-23T00:00:00"/>
        <d v="2014-09-27T00:00:00"/>
        <d v="2014-09-28T00:00:00"/>
        <d v="2014-09-29T00:00:00"/>
        <d v="2014-10-01T00:00:00"/>
        <d v="2014-10-02T00:00:00"/>
        <d v="2014-10-03T00:00:00"/>
        <d v="2014-10-04T00:00:00"/>
        <d v="2014-10-06T00:00:00"/>
        <d v="2014-10-08T00:00:00"/>
        <d v="2014-10-09T00:00:00"/>
        <d v="2014-10-10T00:00:00"/>
        <d v="2014-10-11T00:00:00"/>
        <d v="2014-10-15T00:00:00"/>
        <d v="2014-10-16T00:00:00"/>
        <d v="2014-10-17T00:00:00"/>
        <d v="2014-10-18T00:00:00"/>
        <d v="2014-10-19T00:00:00"/>
        <d v="2014-10-20T00:00:00"/>
        <d v="2014-10-21T00:00:00"/>
        <d v="2014-10-22T00:00:00"/>
        <d v="2014-10-23T00:00:00"/>
        <d v="2014-10-26T00:00:00"/>
        <d v="2014-10-27T00:00:00"/>
        <d v="2014-10-28T00:00:00"/>
        <d v="2014-10-29T00:00:00"/>
        <d v="2014-11-01T00:00:00"/>
        <d v="2014-11-02T00:00:00"/>
        <d v="2014-11-03T00:00:00"/>
        <d v="2014-11-07T00:00:00"/>
        <d v="2014-11-10T00:00:00"/>
        <d v="2014-11-11T00:00:00"/>
        <d v="2014-11-16T00:00:00"/>
        <d v="2014-11-17T00:00:00"/>
        <d v="2014-11-18T00:00:00"/>
        <d v="2014-11-19T00:00:00"/>
        <d v="2014-11-21T00:00:00"/>
        <d v="2014-11-22T00:00:00"/>
        <d v="2014-11-23T00:00:00"/>
        <d v="2014-11-26T00:00:00"/>
        <d v="2014-11-30T00:00:00"/>
        <d v="2014-12-01T00:00:00"/>
        <d v="2014-12-04T00:00:00"/>
        <d v="2014-12-05T00:00:00"/>
        <d v="2014-12-06T00:00:00"/>
        <d v="2014-12-08T00:00:00"/>
        <d v="2014-12-09T00:00:00"/>
        <d v="2014-12-10T00:00:00"/>
        <d v="2014-12-13T00:00:00"/>
        <d v="2014-12-16T00:00:00"/>
        <d v="2014-12-22T00:00:00"/>
        <d v="2014-12-25T00:00:00"/>
        <d v="2014-12-26T00:00:00"/>
        <d v="2014-12-27T00:00:00"/>
        <d v="2014-12-28T00:00:00"/>
        <d v="2014-12-30T00:00:00"/>
        <d v="2015-01-01T00:00:00"/>
        <d v="2015-01-02T00:00:00"/>
        <d v="2015-01-07T00:00:00"/>
        <d v="2015-01-09T00:00:00"/>
        <d v="2015-01-10T00:00:00"/>
        <d v="2015-01-11T00:00:00"/>
        <d v="2015-01-12T00:00:00"/>
        <d v="2015-01-13T00:00:00"/>
        <d v="2015-01-14T00:00:00"/>
        <d v="2015-01-15T00:00:00"/>
        <d v="2015-01-16T00:00:00"/>
        <d v="2015-01-17T00:00:00"/>
        <d v="2015-01-20T00:00:00"/>
        <d v="2015-01-21T00:00:00"/>
        <d v="2015-01-22T00:00:00"/>
        <d v="2015-01-23T00:00:00"/>
        <d v="2015-01-26T00:00:00"/>
        <d v="2015-01-28T00:00:00"/>
        <d v="2015-01-30T00:00:00"/>
        <d v="2015-01-31T00:00:00"/>
        <d v="2015-02-01T00:00:00"/>
        <d v="2015-02-03T00:00:00"/>
        <d v="2015-02-04T00:00:00"/>
        <d v="2015-02-07T00:00:00"/>
        <d v="2015-02-08T00:00:00"/>
        <d v="2015-02-09T00:00:00"/>
        <d v="2015-02-12T00:00:00"/>
        <d v="2015-02-14T00:00:00"/>
        <d v="2015-02-15T00:00:00"/>
        <d v="2015-02-17T00:00:00"/>
        <d v="2015-02-18T00:00:00"/>
        <d v="2015-02-23T00:00:00"/>
        <d v="2015-02-24T00:00:00"/>
        <d v="2015-02-27T00:00:00"/>
        <d v="2015-03-01T00:00:00"/>
        <d v="2015-03-02T00:00:00"/>
        <d v="2015-03-03T00:00:00"/>
        <d v="2015-03-04T00:00:00"/>
        <d v="2015-03-06T00:00:00"/>
        <d v="2015-03-11T00:00:00"/>
        <d v="2015-03-12T00:00:00"/>
        <d v="2015-03-15T00:00:00"/>
        <d v="2015-03-16T00:00:00"/>
        <d v="2015-03-17T00:00:00"/>
        <d v="2015-03-18T00:00:00"/>
        <d v="2015-03-20T00:00:00"/>
        <d v="2015-03-21T00:00:00"/>
        <d v="2015-03-22T00:00:00"/>
        <d v="2015-03-24T00:00:00"/>
        <d v="2015-03-25T00:00:00"/>
        <d v="2015-03-30T00:00:00"/>
        <d v="2015-04-04T00:00:00"/>
        <d v="2015-04-08T00:00:00"/>
        <d v="2015-04-10T00:00:00"/>
        <d v="2015-04-11T00:00:00"/>
        <d v="2015-04-13T00:00:00"/>
        <d v="2015-04-18T00:00:00"/>
        <d v="2015-04-19T00:00:00"/>
        <d v="2015-04-20T00:00:00"/>
        <d v="2015-04-23T00:00:00"/>
        <d v="2015-04-24T00:00:00"/>
        <d v="2015-04-25T00:00:00"/>
        <d v="2015-04-26T00:00:00"/>
        <d v="2015-04-28T00:00:00"/>
        <d v="2015-04-29T00:00:00"/>
        <d v="2015-04-30T00:00:00"/>
        <d v="2015-05-01T00:00:00"/>
        <d v="2015-05-02T00:00:00"/>
        <d v="2015-05-03T00:00:00"/>
        <d v="2015-05-04T00:00:00"/>
        <d v="2015-05-06T00:00:00"/>
        <d v="2015-05-10T00:00:00"/>
        <d v="2015-05-11T00:00:00"/>
        <d v="2015-05-12T00:00:00"/>
        <d v="2015-05-14T00:00:00"/>
        <d v="2015-05-15T00:00:00"/>
        <d v="2015-05-17T00:00:00"/>
        <d v="2015-05-18T00:00:00"/>
        <d v="2015-05-19T00:00:00"/>
        <d v="2015-05-20T00:00:00"/>
        <d v="2015-05-22T00:00:00"/>
        <d v="2015-05-24T00:00:00"/>
        <d v="2015-05-26T00:00:00"/>
        <d v="2015-05-27T00:00:00"/>
        <d v="2015-05-28T00:00:00"/>
        <d v="2015-05-29T00:00:00"/>
        <d v="2015-05-31T00:00:00"/>
        <d v="2015-06-01T00:00:00"/>
        <d v="2015-06-08T00:00:00"/>
        <d v="2015-06-10T00:00:00"/>
        <d v="2015-06-11T00:00:00"/>
        <d v="2015-06-13T00:00:00"/>
        <d v="2015-06-14T00:00:00"/>
        <d v="2015-06-20T00:00:00"/>
        <d v="2015-06-21T00:00:00"/>
        <d v="2015-06-25T00:00:00"/>
        <d v="2015-06-27T00:00:00"/>
        <d v="2015-06-28T00:00:00"/>
        <d v="2015-06-29T00:00:00"/>
        <d v="2015-07-02T00:00:00"/>
        <d v="2015-07-04T00:00:00"/>
        <d v="2015-07-05T00:00:00"/>
        <d v="2015-07-09T00:00:00"/>
        <d v="2015-07-11T00:00:00"/>
        <d v="2015-07-12T00:00:00"/>
        <d v="2015-07-14T00:00:00"/>
        <d v="2015-07-15T00:00:00"/>
        <d v="2015-07-16T00:00:00"/>
        <d v="2015-07-17T00:00:00"/>
        <d v="2015-07-18T00:00:00"/>
        <d v="2015-07-19T00:00:00"/>
        <d v="2015-07-20T00:00:00"/>
        <d v="2015-07-23T00:00:00"/>
        <d v="2015-07-24T00:00:00"/>
        <d v="2015-07-25T00:00:00"/>
        <d v="2015-07-26T00:00:00"/>
        <d v="2015-07-27T00:00:00"/>
        <d v="2015-07-29T00:00:00"/>
        <d v="2015-07-30T00:00:00"/>
        <d v="2015-08-01T00:00:00"/>
        <d v="2015-08-02T00:00:00"/>
        <d v="2015-08-03T00:00:00"/>
        <d v="2015-08-07T00:00:00"/>
        <d v="2015-08-08T00:00:00"/>
        <d v="2015-08-10T00:00:00"/>
        <d v="2015-08-11T00:00:00"/>
        <d v="2015-08-12T00:00:00"/>
        <d v="2015-08-14T00:00:00"/>
        <d v="2015-08-15T00:00:00"/>
        <d v="2015-08-21T00:00:00"/>
        <d v="2015-08-22T00:00:00"/>
        <d v="2015-08-23T00:00:00"/>
        <d v="2015-08-24T00:00:00"/>
        <d v="2015-08-26T00:00:00"/>
        <d v="2015-08-28T00:00:00"/>
        <d v="2015-08-30T00:00:00"/>
        <d v="2015-08-31T00:00:00"/>
        <d v="2015-09-02T00:00:00"/>
        <d v="2015-09-03T00:00:00"/>
        <d v="2015-09-04T00:00:00"/>
        <d v="2015-09-06T00:00:00"/>
        <d v="2015-09-07T00:00:00"/>
        <d v="2015-09-08T00:00:00"/>
        <d v="2015-09-10T00:00:00"/>
        <d v="2015-09-11T00:00:00"/>
        <d v="2015-09-12T00:00:00"/>
        <d v="2015-09-15T00:00:00"/>
        <d v="2015-09-16T00:00:00"/>
        <d v="2015-09-17T00:00:00"/>
        <d v="2015-09-25T00:00:00"/>
        <d v="2015-09-26T00:00:00"/>
        <d v="2015-09-27T00:00:00"/>
        <d v="2015-09-28T00:00:00"/>
        <d v="2015-09-29T00:00:00"/>
        <d v="2015-10-01T00:00:00"/>
        <d v="2015-10-09T00:00:00"/>
        <d v="2015-10-12T00:00:00"/>
        <d v="2015-10-13T00:00:00"/>
        <d v="2015-10-15T00:00:00"/>
        <d v="2015-10-20T00:00:00"/>
        <d v="2015-10-21T00:00:00"/>
        <d v="2015-10-24T00:00:00"/>
        <d v="2015-10-28T00:00:00"/>
        <d v="2015-10-31T00:00:00"/>
        <d v="2015-11-01T00:00:00"/>
        <d v="2015-11-06T00:00:00"/>
        <d v="2015-11-07T00:00:00"/>
        <d v="2015-11-10T00:00:00"/>
        <d v="2015-11-11T00:00:00"/>
        <d v="2015-11-12T00:00:00"/>
        <d v="2015-11-15T00:00:00"/>
        <d v="2015-11-16T00:00:00"/>
        <d v="2015-11-17T00:00:00"/>
        <d v="2015-11-20T00:00:00"/>
        <d v="2015-11-22T00:00:00"/>
        <d v="2015-11-24T00:00:00"/>
        <d v="2015-11-28T00:00:00"/>
        <d v="2015-11-30T00:00:00"/>
        <d v="2015-12-04T00:00:00"/>
        <d v="2015-12-06T00:00:00"/>
        <d v="2015-12-08T00:00:00"/>
        <d v="2015-12-09T00:00:00"/>
        <d v="2015-12-16T00:00:00"/>
        <d v="2015-12-19T00:00:00"/>
        <d v="2015-12-22T00:00:00"/>
        <d v="2015-12-24T00:00:00"/>
        <d v="2015-12-25T00:00:00"/>
        <d v="2015-12-28T00:00:00"/>
        <d v="2015-12-31T00:00:00"/>
        <d v="2016-01-02T00:00:00"/>
        <d v="2016-01-09T00:00:00"/>
        <d v="2016-01-12T00:00:00"/>
        <d v="2016-01-17T00:00:00"/>
        <d v="2016-01-18T00:00:00"/>
        <d v="2016-01-19T00:00:00"/>
        <d v="2016-01-24T00:00:00"/>
        <d v="2016-01-26T00:00:00"/>
        <d v="2016-01-28T00:00:00"/>
        <d v="2016-01-29T00:00:00"/>
        <d v="2016-02-01T00:00:00"/>
        <d v="2016-02-02T00:00:00"/>
        <d v="2016-02-03T00:00:00"/>
        <d v="2016-02-04T00:00:00"/>
        <d v="2016-02-08T00:00:00"/>
        <d v="2016-02-09T00:00:00"/>
        <d v="2016-02-10T00:00:00"/>
        <d v="2016-02-11T00:00:00"/>
        <d v="2016-02-12T00:00:00"/>
        <d v="2016-02-13T00:00:00"/>
        <d v="2016-02-16T00:00:00"/>
        <d v="2016-02-17T00:00:00"/>
        <d v="2016-02-20T00:00:00"/>
        <d v="2016-02-22T00:00:00"/>
        <d v="2016-02-23T00:00:00"/>
        <d v="2016-02-26T00:00:00"/>
        <d v="2016-02-29T00:00:00"/>
        <d v="2016-03-05T00:00:00"/>
        <d v="2016-03-06T00:00:00"/>
        <d v="2016-03-07T00:00:00"/>
        <d v="2016-03-09T00:00:00"/>
        <d v="2016-03-11T00:00:00"/>
        <d v="2016-03-12T00:00:00"/>
        <d v="2016-03-14T00:00:00"/>
        <d v="2016-03-17T00:00:00"/>
        <d v="2016-03-18T00:00:00"/>
        <d v="2016-03-20T00:00:00"/>
        <d v="2016-03-21T00:00:00"/>
        <d v="2016-03-25T00:00:00"/>
        <d v="2016-03-26T00:00:00"/>
        <d v="2016-03-27T00:00:00"/>
        <d v="2016-03-29T00:00:00"/>
        <d v="2016-03-30T00:00:00"/>
        <d v="2016-04-02T00:00:00"/>
        <d v="2016-04-03T00:00:00"/>
        <d v="2016-04-05T00:00:00"/>
        <d v="2016-04-06T00:00:00"/>
        <d v="2016-04-10T00:00:00"/>
        <d v="2016-04-11T00:00:00"/>
        <d v="2016-04-13T00:00:00"/>
        <d v="2016-04-17T00:00:00"/>
        <d v="2016-04-18T00:00:00"/>
        <d v="2016-04-23T00:00:00"/>
        <d v="2016-04-24T00:00:00"/>
        <d v="2016-04-25T00:00:00"/>
        <d v="2016-04-27T00:00:00"/>
        <d v="2016-05-01T00:00:00"/>
        <d v="2016-05-02T00:00:00"/>
        <d v="2016-05-05T00:00:00"/>
        <d v="2016-05-08T00:00:00"/>
        <d v="2016-05-09T00:00:00"/>
        <d v="2016-05-10T00:00:00"/>
        <d v="2016-05-12T00:00:00"/>
        <d v="2016-05-14T00:00:00"/>
        <d v="2016-05-17T00:00:00"/>
        <d v="2016-05-18T00:00:00"/>
        <d v="2016-05-19T00:00:00"/>
        <d v="2016-05-21T00:00:00"/>
        <d v="2016-05-22T00:00:00"/>
        <d v="2016-05-23T00:00:00"/>
        <d v="2016-05-26T00:00:00"/>
        <d v="2016-05-27T00:00:00"/>
        <d v="2016-05-29T00:00:00"/>
        <d v="2016-05-30T00:00:00"/>
        <d v="2016-05-31T00:00:00"/>
        <d v="2016-06-02T00:00:00"/>
        <d v="2016-06-03T00:00:00"/>
        <d v="2016-06-11T00:00:00"/>
        <d v="2016-06-13T00:00:00"/>
        <d v="2016-06-14T00:00:00"/>
        <d v="2016-06-15T00:00:00"/>
        <d v="2016-06-18T00:00:00"/>
        <d v="2016-06-19T00:00:00"/>
        <d v="2016-06-20T00:00:00"/>
        <d v="2016-06-25T00:00:00"/>
        <d v="2016-06-28T00:00:00"/>
        <d v="2016-06-29T00:00:00"/>
        <d v="2016-06-30T00:00:00"/>
        <d v="2016-07-02T00:00:00"/>
        <d v="2016-07-03T00:00:00"/>
        <d v="2016-07-05T00:00:00"/>
        <d v="2016-07-07T00:00:00"/>
        <d v="2016-07-11T00:00:00"/>
        <d v="2016-07-12T00:00:00"/>
        <d v="2016-07-16T00:00:00"/>
        <d v="2016-07-17T00:00:00"/>
        <d v="2016-07-27T00:00:00"/>
        <d v="2016-07-28T00:00:00"/>
        <d v="2016-08-02T00:00:00"/>
        <d v="2016-08-03T00:00:00"/>
        <d v="2016-08-04T00:00:00"/>
        <d v="2016-08-05T00:00:00"/>
        <d v="2016-08-07T00:00:00"/>
        <d v="2016-08-08T00:00:00"/>
        <d v="2016-08-11T00:00:00"/>
        <d v="2016-08-15T00:00:00"/>
        <d v="2016-08-17T00:00:00"/>
        <d v="2016-08-18T00:00:00"/>
        <d v="2016-08-20T00:00:00"/>
        <d v="2016-08-23T00:00:00"/>
        <d v="2016-08-24T00:00:00"/>
        <d v="2016-08-27T00:00:00"/>
        <d v="2016-08-31T00:00:00"/>
        <d v="2016-09-03T00:00:00"/>
        <d v="2016-09-04T00:00:00"/>
        <d v="2016-09-05T00:00:00"/>
        <d v="2016-09-06T00:00:00"/>
        <d v="2016-09-13T00:00:00"/>
        <d v="2016-09-14T00:00:00"/>
        <d v="2016-09-15T00:00:00"/>
        <d v="2016-09-17T00:00:00"/>
        <d v="2016-09-18T00:00:00"/>
        <d v="2016-09-20T00:00:00"/>
        <d v="2016-09-21T00:00:00"/>
        <d v="2016-09-22T00:00:00"/>
        <d v="2016-09-23T00:00:00"/>
        <d v="2016-09-25T00:00:00"/>
        <d v="2016-09-26T00:00:00"/>
        <d v="2016-09-28T00:00:00"/>
        <d v="2016-09-30T00:00:00"/>
        <d v="2016-10-01T00:00:00"/>
        <d v="2016-10-06T00:00:00"/>
        <d v="2016-10-08T00:00:00"/>
        <d v="2016-10-11T00:00:00"/>
        <d v="2016-10-12T00:00:00"/>
        <d v="2016-10-13T00:00:00"/>
        <d v="2016-10-14T00:00:00"/>
        <d v="2016-10-15T00:00:00"/>
        <d v="2016-10-16T00:00:00"/>
        <d v="2016-10-18T00:00:00"/>
        <d v="2016-10-19T00:00:00"/>
        <d v="2016-10-20T00:00:00"/>
        <d v="2016-10-22T00:00:00"/>
        <d v="2016-10-23T00:00:00"/>
        <d v="2016-10-25T00:00:00"/>
        <d v="2016-10-27T00:00:00"/>
        <d v="2016-10-28T00:00:00"/>
        <d v="2016-10-29T00:00:00"/>
        <d v="2016-10-31T00:00:00"/>
        <d v="2016-11-02T00:00:00"/>
        <d v="2016-11-03T00:00:00"/>
        <d v="2016-11-05T00:00:00"/>
        <d v="2016-11-08T00:00:00"/>
        <d v="2016-11-09T00:00:00"/>
        <d v="2016-11-10T00:00:00"/>
        <d v="2016-11-12T00:00:00"/>
        <d v="2016-11-13T00:00:00"/>
        <d v="2016-11-14T00:00:00"/>
        <d v="2016-11-16T00:00:00"/>
        <d v="2016-11-17T00:00:00"/>
        <d v="2016-11-20T00:00:00"/>
        <d v="2016-11-22T00:00:00"/>
        <d v="2016-11-23T00:00:00"/>
        <d v="2016-11-26T00:00:00"/>
        <d v="2016-11-27T00:00:00"/>
        <d v="2016-11-28T00:00:00"/>
        <d v="2016-11-29T00:00:00"/>
        <d v="2016-12-01T00:00:00"/>
        <d v="2016-12-03T00:00:00"/>
        <d v="2016-12-04T00:00:00"/>
        <d v="2016-12-05T00:00:00"/>
        <d v="2016-12-06T00:00:00"/>
        <d v="2016-12-08T00:00:00"/>
        <d v="2016-12-09T00:00:00"/>
        <d v="2016-12-10T00:00:00"/>
        <d v="2016-12-14T00:00:00"/>
        <d v="2016-12-15T00:00:00"/>
        <d v="2016-12-17T00:00:00"/>
        <d v="2016-12-18T00:00:00"/>
        <d v="2016-12-19T00:00:00"/>
        <d v="2016-12-21T00:00:00"/>
        <d v="2016-12-22T00:00:00"/>
        <d v="2016-12-24T00:00:00"/>
        <d v="2016-12-25T00:00:00"/>
        <d v="2016-12-28T00:00:00"/>
        <d v="2016-12-31T00:00:00"/>
        <d v="2017-01-03T00:00:00"/>
        <d v="2017-01-04T00:00:00"/>
        <d v="2017-01-06T00:00:00"/>
        <d v="2017-01-10T00:00:00"/>
        <d v="2017-01-11T00:00:00"/>
        <d v="2017-01-14T00:00:00"/>
        <d v="2017-01-17T00:00:00"/>
        <d v="2017-01-18T00:00:00"/>
        <d v="2017-01-19T00:00:00"/>
        <d v="2017-01-20T00:00:00"/>
        <d v="2017-01-23T00:00:00"/>
        <d v="2017-01-24T00:00:00"/>
        <d v="2017-01-26T00:00:00"/>
        <d v="2017-01-27T00:00:00"/>
        <d v="2017-01-30T00:00:00"/>
        <d v="2017-02-01T00:00:00"/>
        <d v="2017-02-02T00:00:00"/>
        <d v="2017-02-03T00:00:00"/>
        <d v="2017-02-04T00:00:00"/>
        <d v="2017-02-05T00:00:00"/>
        <d v="2017-02-07T00:00:00"/>
      </sharedItems>
      <fieldGroup par="25" base="1">
        <rangePr groupBy="quarters" startDate="2013-02-11T00:00:00" endDate="2017-02-08T00:00:00"/>
        <groupItems count="6">
          <s v="&lt;11/02/2013"/>
          <s v="Qtr1"/>
          <s v="Qtr2"/>
          <s v="Qtr3"/>
          <s v="Qtr4"/>
          <s v="&gt;8/02/2017"/>
        </groupItems>
      </fieldGroup>
    </cacheField>
    <cacheField name="Order Year" numFmtId="0">
      <sharedItems count="5">
        <s v="2013"/>
        <s v="2014"/>
        <s v="2015"/>
        <s v="2016"/>
        <s v="2017"/>
      </sharedItems>
    </cacheField>
    <cacheField name="Customer Name" numFmtId="0">
      <sharedItems/>
    </cacheField>
    <cacheField name="Address" numFmtId="0">
      <sharedItems/>
    </cacheField>
    <cacheField name="City" numFmtId="0">
      <sharedItems/>
    </cacheField>
    <cacheField name="State" numFmtId="0">
      <sharedItems count="3">
        <s v="VIC"/>
        <s v="NSW"/>
        <s v="WA"/>
      </sharedItems>
    </cacheField>
    <cacheField name="Customer Type" numFmtId="0">
      <sharedItems count="4">
        <s v="Home Office"/>
        <s v="Corporate"/>
        <s v="Consumer"/>
        <s v="Small Business"/>
      </sharedItems>
    </cacheField>
    <cacheField name="Account Manager" numFmtId="0">
      <sharedItems count="14">
        <s v="Yvette Biti"/>
        <s v="Connor Betts"/>
        <s v="Leighton Forrest"/>
        <s v="Nicholas Fernandes"/>
        <s v="Phoebe Gour"/>
        <s v="Natasha Song"/>
        <s v="Samantha Chairs"/>
        <s v="Stevie Bacata"/>
        <s v="Tina Carlton"/>
        <s v="Aanya Zhang"/>
        <s v="Charlie Bui"/>
        <s v="Mihael Khan"/>
        <s v="Preston Senome"/>
        <s v="Radhya Staples"/>
      </sharedItems>
    </cacheField>
    <cacheField name="Order Priority" numFmtId="0">
      <sharedItems containsBlank="1"/>
    </cacheField>
    <cacheField name="Product Name" numFmtId="0">
      <sharedItems/>
    </cacheField>
    <cacheField name="Product Category" numFmtId="0">
      <sharedItems/>
    </cacheField>
    <cacheField name="Product Container" numFmtId="0">
      <sharedItems/>
    </cacheField>
    <cacheField name="Ship Mode" numFmtId="0">
      <sharedItems/>
    </cacheField>
    <cacheField name="Ship Date" numFmtId="14">
      <sharedItems containsNonDate="0" containsDate="1" containsString="0" containsBlank="1" minDate="2013-02-12T00:00:00" maxDate="2017-02-08T00:00:00"/>
    </cacheField>
    <cacheField name="Cost Price" numFmtId="164">
      <sharedItems containsSemiMixedTypes="0" containsString="0" containsNumber="1" minValue="0.24" maxValue="377.99"/>
    </cacheField>
    <cacheField name="Retail Price" numFmtId="164">
      <sharedItems containsSemiMixedTypes="0" containsString="0" containsNumber="1" minValue="1.1399999999999999" maxValue="599.99"/>
    </cacheField>
    <cacheField name="Profit Margin" numFmtId="164">
      <sharedItems containsSemiMixedTypes="0" containsString="0" containsNumber="1" minValue="0.35530000000000017" maxValue="316.02999999999997"/>
    </cacheField>
    <cacheField name="Order Quantity" numFmtId="0">
      <sharedItems containsSemiMixedTypes="0" containsString="0" containsNumber="1" containsInteger="1" minValue="1" maxValue="50"/>
    </cacheField>
    <cacheField name="Sub Total" numFmtId="164">
      <sharedItems containsSemiMixedTypes="0" containsString="0" containsNumber="1" minValue="1.48" maxValue="29999.5"/>
    </cacheField>
    <cacheField name="Discount %" numFmtId="9">
      <sharedItems containsSemiMixedTypes="0" containsString="0" containsNumber="1" minValue="0" maxValue="0.1"/>
    </cacheField>
    <cacheField name="Discount $" numFmtId="164">
      <sharedItems containsSemiMixedTypes="0" containsString="0" containsNumber="1" minValue="0" maxValue="2699.9549999999999"/>
    </cacheField>
    <cacheField name="Order Total" numFmtId="164">
      <sharedItems containsSemiMixedTypes="0" containsString="0" containsNumber="1" minValue="1.4652000000000001" maxValue="27299.544999999998"/>
    </cacheField>
    <cacheField name="Shipping Cost" numFmtId="164">
      <sharedItems containsSemiMixedTypes="0" containsString="0" containsNumber="1" minValue="0.49" maxValue="69.3"/>
    </cacheField>
    <cacheField name="Total" numFmtId="164">
      <sharedItems containsSemiMixedTypes="0" containsString="0" containsNumber="1" minValue="2.1652" maxValue="27324.035"/>
    </cacheField>
    <cacheField name="Years" numFmtId="0" databaseField="0">
      <fieldGroup base="1">
        <rangePr groupBy="years" startDate="2013-02-11T00:00:00" endDate="2017-02-08T00:00:00"/>
        <groupItems count="7">
          <s v="&lt;11/02/2013"/>
          <s v="2013"/>
          <s v="2014"/>
          <s v="2015"/>
          <s v="2016"/>
          <s v="2017"/>
          <s v="&gt;8/02/2017"/>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39">
  <r>
    <s v="5014-1"/>
    <x v="0"/>
    <x v="0"/>
    <s v="Patrick Jones"/>
    <s v="221 Barkly St,St Kilda"/>
    <s v="Melbourne"/>
    <x v="0"/>
    <x v="0"/>
    <x v="0"/>
    <s v="High"/>
    <s v="Artisan Heavy-Duty EZD  Binder With Locking Rings"/>
    <s v="Office Supplies"/>
    <s v="Small Box"/>
    <s v="Regular Air"/>
    <d v="2013-02-12T00:00:00"/>
    <n v="3.52"/>
    <n v="5.58"/>
    <n v="2.06"/>
    <n v="29"/>
    <n v="161.82"/>
    <n v="0.03"/>
    <n v="4.8545999999999996"/>
    <n v="156.96539999999999"/>
    <n v="2.99"/>
    <n v="159.9554"/>
  </r>
  <r>
    <s v="5016-1"/>
    <x v="0"/>
    <x v="0"/>
    <s v="Alex Russell"/>
    <s v="101/12 Victoria Ave, Perth"/>
    <s v="Melbourne"/>
    <x v="0"/>
    <x v="0"/>
    <x v="1"/>
    <s v="High"/>
    <s v="DrawIt Pizazz Watercolor Pencils, 10-Color Set with Brush"/>
    <s v="Office Supplies"/>
    <s v="Wrap Bag"/>
    <s v="Regular Air"/>
    <d v="2013-02-12T00:00:00"/>
    <n v="2.39"/>
    <n v="4.26"/>
    <n v="1.8699999999999997"/>
    <n v="29"/>
    <n v="123.53999999999999"/>
    <n v="0.03"/>
    <n v="3.7061999999999995"/>
    <n v="119.8338"/>
    <n v="1.2"/>
    <n v="121.0338"/>
  </r>
  <r>
    <s v="5018-1"/>
    <x v="1"/>
    <x v="0"/>
    <s v="Tamara Dahlen"/>
    <s v="61 York St,Sydney"/>
    <s v="Sydney"/>
    <x v="1"/>
    <x v="1"/>
    <x v="2"/>
    <s v="Critical"/>
    <s v="Message Book, One Form per Page"/>
    <s v="Office Supplies"/>
    <s v="Wrap Bag"/>
    <s v="Express Air"/>
    <d v="2013-02-14T00:00:00"/>
    <n v="2.41"/>
    <n v="3.71"/>
    <n v="1.2999999999999998"/>
    <n v="42"/>
    <n v="155.82"/>
    <n v="7.0000000000000007E-2"/>
    <n v="10.907400000000001"/>
    <n v="144.9126"/>
    <n v="1.93"/>
    <n v="146.8426"/>
  </r>
  <r>
    <s v="5019-1"/>
    <x v="2"/>
    <x v="0"/>
    <s v="Susan Vittorini"/>
    <s v="3 Carrington Road ,Box Hill"/>
    <s v="Melbourne"/>
    <x v="0"/>
    <x v="0"/>
    <x v="0"/>
    <s v="High"/>
    <s v="Cando S750 Color Inkjet Printer"/>
    <s v="Technology"/>
    <s v="Jumbo Drum"/>
    <s v="Delivery Truck"/>
    <d v="2013-02-15T00:00:00"/>
    <n v="75"/>
    <n v="120.97"/>
    <n v="45.97"/>
    <n v="6"/>
    <n v="725.81999999999994"/>
    <n v="0.08"/>
    <n v="58.065599999999996"/>
    <n v="667.75439999999992"/>
    <n v="26.3"/>
    <n v="694.05439999999987"/>
  </r>
  <r>
    <s v="5020-1"/>
    <x v="3"/>
    <x v="0"/>
    <s v="Muhammed Yedwab"/>
    <s v="18 Whistler St,Sydney"/>
    <s v="Sydney"/>
    <x v="1"/>
    <x v="2"/>
    <x v="3"/>
    <s v="Critical"/>
    <s v="Steady EarthWrite Recycled Pencils, Medium Soft, #2"/>
    <s v="Office Supplies"/>
    <s v="Wrap Bag"/>
    <s v="Regular Air"/>
    <d v="2013-02-15T00:00:00"/>
    <n v="0.9"/>
    <n v="2.1"/>
    <n v="1.2000000000000002"/>
    <n v="17"/>
    <n v="35.700000000000003"/>
    <n v="0.03"/>
    <n v="1.071"/>
    <n v="34.629000000000005"/>
    <n v="0.7"/>
    <n v="35.329000000000008"/>
  </r>
  <r>
    <s v="5023-1"/>
    <x v="4"/>
    <x v="0"/>
    <s v="Olvera Toch"/>
    <s v="3 Carrington Road ,Box Hill"/>
    <s v="Melbourne"/>
    <x v="0"/>
    <x v="0"/>
    <x v="0"/>
    <s v="Low"/>
    <s v="12 Colored Short Pencils"/>
    <s v="Office Supplies"/>
    <s v="Wrap Bag"/>
    <s v="Regular Air"/>
    <d v="2013-02-22T00:00:00"/>
    <n v="1.0900000000000001"/>
    <n v="2.6"/>
    <n v="1.51"/>
    <n v="47"/>
    <n v="122.2"/>
    <n v="0.1"/>
    <n v="12.22"/>
    <n v="109.98"/>
    <n v="2.4"/>
    <n v="112.38000000000001"/>
  </r>
  <r>
    <s v="5024-1"/>
    <x v="5"/>
    <x v="0"/>
    <s v="Sean Wendt"/>
    <s v="145 Ramsay St,Haberfield"/>
    <s v="Sydney"/>
    <x v="1"/>
    <x v="1"/>
    <x v="4"/>
    <s v="Critical"/>
    <s v="Multimedia Mailers"/>
    <s v="Office Supplies"/>
    <s v="Small Box"/>
    <s v="Regular Air"/>
    <d v="2013-02-20T00:00:00"/>
    <n v="99.39"/>
    <n v="162.93"/>
    <n v="63.540000000000006"/>
    <n v="32"/>
    <n v="5213.76"/>
    <n v="0.09"/>
    <n v="469.23840000000001"/>
    <n v="4744.5216"/>
    <n v="19.989999999999998"/>
    <n v="4764.5115999999998"/>
  </r>
  <r>
    <s v="5025-1"/>
    <x v="6"/>
    <x v="0"/>
    <s v="Rick Reed"/>
    <s v="Sydney Fish Market, Bank Street, Sydney"/>
    <s v="Sydney"/>
    <x v="1"/>
    <x v="2"/>
    <x v="4"/>
    <s v="Critical"/>
    <s v="Pizazz Dustless Chalk Sticks"/>
    <s v="Office Supplies"/>
    <s v="Wrap Bag"/>
    <s v="Regular Air"/>
    <d v="2013-02-22T00:00:00"/>
    <n v="1.0900000000000001"/>
    <n v="1.68"/>
    <n v="0.58999999999999986"/>
    <n v="33"/>
    <n v="55.44"/>
    <n v="0.04"/>
    <n v="2.2176"/>
    <n v="53.2224"/>
    <n v="1"/>
    <n v="54.2224"/>
  </r>
  <r>
    <s v="5027-1"/>
    <x v="7"/>
    <x v="0"/>
    <s v="Toby Swindell"/>
    <s v="273 George Street,Sydney"/>
    <s v="Sydney"/>
    <x v="1"/>
    <x v="3"/>
    <x v="2"/>
    <s v="Not Specified"/>
    <s v="TypeRight Side-Opening Peel &amp; Seel Expanding Envelopes"/>
    <s v="Office Supplies"/>
    <s v="Small Box"/>
    <s v="Regular Air"/>
    <d v="2013-02-23T00:00:00"/>
    <n v="54.29"/>
    <n v="90.48"/>
    <n v="36.190000000000005"/>
    <n v="8"/>
    <n v="723.84"/>
    <n v="7.0000000000000007E-2"/>
    <n v="50.668800000000005"/>
    <n v="673.1712"/>
    <n v="19.989999999999998"/>
    <n v="693.16120000000001"/>
  </r>
  <r>
    <s v="5029-1"/>
    <x v="8"/>
    <x v="0"/>
    <s v="Giulietta Weimer"/>
    <s v="48 Albion St,Surry Hills"/>
    <s v="Sydney"/>
    <x v="1"/>
    <x v="1"/>
    <x v="5"/>
    <s v="Not Specified"/>
    <s v="Artisan Printable Repositionable Plastic Tabs"/>
    <s v="Office Supplies"/>
    <s v="Small Box"/>
    <s v="Regular Air"/>
    <d v="2013-02-23T00:00:00"/>
    <n v="5.33"/>
    <n v="8.6"/>
    <n v="3.2699999999999996"/>
    <n v="48"/>
    <n v="412.79999999999995"/>
    <n v="0"/>
    <n v="0"/>
    <n v="412.79999999999995"/>
    <n v="6.19"/>
    <n v="418.98999999999995"/>
  </r>
  <r>
    <s v="5031-1"/>
    <x v="9"/>
    <x v="0"/>
    <s v="Paul Prost"/>
    <s v="120 Hardware St,Melbourne"/>
    <s v="Melbourne"/>
    <x v="0"/>
    <x v="1"/>
    <x v="1"/>
    <s v="Medium"/>
    <s v="Security-Tint Envelopes"/>
    <s v="Office Supplies"/>
    <s v="Small Box"/>
    <s v="Regular Air"/>
    <d v="2013-02-27T00:00:00"/>
    <n v="4.8899999999999997"/>
    <n v="7.64"/>
    <n v="2.75"/>
    <n v="18"/>
    <n v="137.51999999999998"/>
    <n v="0.1"/>
    <n v="13.751999999999999"/>
    <n v="123.76799999999999"/>
    <n v="1.39"/>
    <n v="125.15799999999999"/>
  </r>
  <r>
    <s v="5033-1"/>
    <x v="9"/>
    <x v="0"/>
    <s v="Katherine Ducich"/>
    <s v="61A Bay Road,Wollstonecraft"/>
    <s v="Sydney"/>
    <x v="1"/>
    <x v="1"/>
    <x v="6"/>
    <s v="Medium"/>
    <s v="TypeRight Side-Opening Peel &amp; Seel Expanding Envelopes"/>
    <s v="Office Supplies"/>
    <s v="Small Box"/>
    <s v="Regular Air"/>
    <d v="2013-02-27T00:00:00"/>
    <n v="54.29"/>
    <n v="90.48"/>
    <n v="36.190000000000005"/>
    <n v="3"/>
    <n v="271.44"/>
    <n v="0.03"/>
    <n v="8.1432000000000002"/>
    <n v="263.29680000000002"/>
    <n v="19.989999999999998"/>
    <n v="283.28680000000003"/>
  </r>
  <r>
    <s v="5034-1"/>
    <x v="10"/>
    <x v="0"/>
    <s v="Natalie Webber"/>
    <s v="98-104 Parramatta Rd,Camperdown"/>
    <s v="Sydney"/>
    <x v="1"/>
    <x v="1"/>
    <x v="4"/>
    <s v="High"/>
    <s v="Artisan Arch Ring Binders"/>
    <s v="Office Supplies"/>
    <s v="Small Box"/>
    <s v="Regular Air"/>
    <d v="2013-02-26T00:00:00"/>
    <n v="36.020000000000003"/>
    <n v="58.1"/>
    <n v="22.08"/>
    <n v="50"/>
    <n v="2905"/>
    <n v="0.05"/>
    <n v="145.25"/>
    <n v="2759.75"/>
    <n v="1.49"/>
    <n v="2761.24"/>
  </r>
  <r>
    <s v="5036-1"/>
    <x v="11"/>
    <x v="0"/>
    <s v="Sean ODonnell"/>
    <s v="541 Church St ,Richmond"/>
    <s v="Melbourne"/>
    <x v="0"/>
    <x v="1"/>
    <x v="0"/>
    <s v="Critical"/>
    <s v="OIC Thumb-Tacks"/>
    <s v="Office Supplies"/>
    <s v="Wrap Bag"/>
    <s v="Regular Air"/>
    <d v="2013-03-10T00:00:00"/>
    <n v="0.71"/>
    <n v="1.1399999999999999"/>
    <n v="0.42999999999999994"/>
    <n v="50"/>
    <n v="56.999999999999993"/>
    <n v="0.06"/>
    <n v="3.4199999999999995"/>
    <n v="53.579999999999991"/>
    <n v="0.7"/>
    <n v="54.279999999999994"/>
  </r>
  <r>
    <s v="5037-1"/>
    <x v="12"/>
    <x v="0"/>
    <s v="Art Foster"/>
    <s v="14 Money Street, Perth"/>
    <s v="Sydney"/>
    <x v="1"/>
    <x v="0"/>
    <x v="7"/>
    <s v="Critical"/>
    <s v="Apex Elite Stainless Steel Scissors"/>
    <s v="Office Supplies"/>
    <s v="Small Pack"/>
    <s v="Regular Air"/>
    <d v="2013-03-13T00:00:00"/>
    <n v="3.42"/>
    <n v="8.34"/>
    <n v="4.92"/>
    <n v="16"/>
    <n v="133.44"/>
    <n v="0.03"/>
    <n v="4.0031999999999996"/>
    <n v="129.43680000000001"/>
    <n v="2.64"/>
    <n v="132.07679999999999"/>
  </r>
  <r>
    <s v="5038-1"/>
    <x v="13"/>
    <x v="0"/>
    <s v="Darren Powers"/>
    <s v="120 Hardware St,Melbourne"/>
    <s v="Melbourne"/>
    <x v="0"/>
    <x v="1"/>
    <x v="1"/>
    <s v="Low"/>
    <s v="OIC Thumb-Tacks"/>
    <s v="Office Supplies"/>
    <s v="Wrap Bag"/>
    <s v="Regular Air"/>
    <d v="2013-03-13T00:00:00"/>
    <n v="0.71"/>
    <n v="1.1399999999999999"/>
    <n v="0.42999999999999994"/>
    <n v="38"/>
    <n v="43.319999999999993"/>
    <n v="0.02"/>
    <n v="0.86639999999999984"/>
    <n v="42.453599999999994"/>
    <n v="0.7"/>
    <n v="43.153599999999997"/>
  </r>
  <r>
    <s v="5039-1"/>
    <x v="14"/>
    <x v="0"/>
    <s v="Michael Grace"/>
    <s v="402 Argyle St,Moss Vale"/>
    <s v="Sydney"/>
    <x v="1"/>
    <x v="1"/>
    <x v="5"/>
    <s v="Medium"/>
    <s v="Alto Parchment Paper, Assorted Colors"/>
    <s v="Office Supplies"/>
    <s v="Small Box"/>
    <s v="Regular Air"/>
    <d v="2013-03-16T00:00:00"/>
    <n v="4.59"/>
    <n v="7.28"/>
    <n v="2.6900000000000004"/>
    <n v="22"/>
    <n v="160.16"/>
    <n v="0.01"/>
    <n v="1.6015999999999999"/>
    <n v="158.55840000000001"/>
    <n v="11.15"/>
    <n v="169.70840000000001"/>
  </r>
  <r>
    <s v="5040-1"/>
    <x v="15"/>
    <x v="0"/>
    <s v="Christina Vanderzanden"/>
    <s v="188 Pitt Street,Sydney"/>
    <s v="Sydney"/>
    <x v="1"/>
    <x v="3"/>
    <x v="8"/>
    <s v="Low"/>
    <s v="Steady Colorific Colored Pencils, 12/Box"/>
    <s v="Office Supplies"/>
    <s v="Wrap Bag"/>
    <s v="Regular Air"/>
    <d v="2013-03-20T00:00:00"/>
    <n v="1.3"/>
    <n v="2.88"/>
    <n v="1.5799999999999998"/>
    <n v="48"/>
    <n v="138.24"/>
    <n v="7.0000000000000007E-2"/>
    <n v="9.6768000000000018"/>
    <n v="128.56319999999999"/>
    <n v="1.01"/>
    <n v="129.57319999999999"/>
  </r>
  <r>
    <s v="5043-1"/>
    <x v="16"/>
    <x v="0"/>
    <s v="Aaron Smayling"/>
    <s v="1737 Botany Rd,Banksmeadow"/>
    <s v="Sydney"/>
    <x v="1"/>
    <x v="3"/>
    <x v="3"/>
    <s v="High"/>
    <s v="Smiths Gold Paper Clips"/>
    <s v="Office Supplies"/>
    <s v="Wrap Bag"/>
    <s v="Regular Air"/>
    <d v="2013-03-26T00:00:00"/>
    <n v="1.82"/>
    <n v="2.98"/>
    <n v="1.1599999999999999"/>
    <n v="22"/>
    <n v="65.56"/>
    <n v="0.04"/>
    <n v="2.6224000000000003"/>
    <n v="62.937600000000003"/>
    <n v="1.58"/>
    <n v="64.517600000000002"/>
  </r>
  <r>
    <s v="5045-1"/>
    <x v="17"/>
    <x v="0"/>
    <s v="Mick Brown"/>
    <s v="523 King St,Newtown"/>
    <s v="Sydney"/>
    <x v="1"/>
    <x v="2"/>
    <x v="9"/>
    <s v="Not Specified"/>
    <s v="UGen RF Keyboard"/>
    <s v="Technology"/>
    <s v="Small Box"/>
    <s v="Regular Air"/>
    <d v="2013-03-28T00:00:00"/>
    <n v="81.59"/>
    <n v="159.99"/>
    <n v="78.400000000000006"/>
    <n v="30"/>
    <n v="4799.7000000000007"/>
    <n v="0.01"/>
    <n v="47.997000000000007"/>
    <n v="4751.7030000000004"/>
    <n v="5.5"/>
    <n v="4757.2030000000004"/>
  </r>
  <r>
    <s v="5047-1"/>
    <x v="18"/>
    <x v="0"/>
    <s v="Edward Becker"/>
    <s v="501 George St,Sydney"/>
    <s v="Sydney"/>
    <x v="1"/>
    <x v="0"/>
    <x v="6"/>
    <s v="Low"/>
    <s v="Artisan Printable Repositionable Plastic Tabs"/>
    <s v="Office Supplies"/>
    <s v="Small Box"/>
    <s v="Regular Air"/>
    <d v="2013-04-03T00:00:00"/>
    <n v="5.33"/>
    <n v="8.6"/>
    <n v="3.2699999999999996"/>
    <n v="37"/>
    <n v="318.2"/>
    <n v="0.04"/>
    <n v="12.728"/>
    <n v="305.47199999999998"/>
    <n v="6.19"/>
    <n v="311.66199999999998"/>
  </r>
  <r>
    <s v="5048-1"/>
    <x v="18"/>
    <x v="0"/>
    <s v="Erica Smith"/>
    <s v="188 Pitt Street,Sydney"/>
    <s v="Sydney"/>
    <x v="1"/>
    <x v="3"/>
    <x v="8"/>
    <s v="Medium"/>
    <s v="Smiths Standard Envelopes"/>
    <s v="Office Supplies"/>
    <s v="Small Box"/>
    <s v="Regular Air"/>
    <d v="2013-03-27T00:00:00"/>
    <n v="3.52"/>
    <n v="5.68"/>
    <n v="2.1599999999999997"/>
    <n v="24"/>
    <n v="136.32"/>
    <n v="0.06"/>
    <n v="8.1791999999999998"/>
    <n v="128.14079999999998"/>
    <n v="1.39"/>
    <n v="129.53079999999997"/>
  </r>
  <r>
    <s v="5049-1"/>
    <x v="19"/>
    <x v="0"/>
    <s v="Justin Knight"/>
    <s v="Macquarie Centre Cnr Herring Road &amp; Waterloo Road,Macquarie Park"/>
    <s v="Sydney"/>
    <x v="1"/>
    <x v="1"/>
    <x v="3"/>
    <s v="Not Specified"/>
    <s v="Office Shears by Apex"/>
    <s v="Office Supplies"/>
    <s v="Small Pack"/>
    <s v="Regular Air"/>
    <d v="2013-03-31T00:00:00"/>
    <n v="0.94"/>
    <n v="2.08"/>
    <n v="1.1400000000000001"/>
    <n v="4"/>
    <n v="8.32"/>
    <n v="0.02"/>
    <n v="0.16640000000000002"/>
    <n v="8.1536000000000008"/>
    <n v="2.56"/>
    <n v="10.713600000000001"/>
  </r>
  <r>
    <s v="5050-1"/>
    <x v="20"/>
    <x v="0"/>
    <s v="Craig Carroll"/>
    <s v="99 Lygon Street,East Brunswick"/>
    <s v="Melbourne"/>
    <x v="0"/>
    <x v="1"/>
    <x v="1"/>
    <s v="Not Specified"/>
    <s v="Artisan Printable Repositionable Plastic Tabs"/>
    <s v="Office Supplies"/>
    <s v="Small Box"/>
    <s v="Regular Air"/>
    <d v="2013-04-20T00:00:00"/>
    <n v="5.33"/>
    <n v="8.6"/>
    <n v="3.2699999999999996"/>
    <n v="36"/>
    <n v="309.59999999999997"/>
    <n v="0.06"/>
    <n v="18.575999999999997"/>
    <n v="291.02399999999994"/>
    <n v="6.19"/>
    <n v="297.21399999999994"/>
  </r>
  <r>
    <s v="5052-1"/>
    <x v="21"/>
    <x v="0"/>
    <s v="Laura Armstrong"/>
    <s v="240-242 Johnston Street,Fitzroy"/>
    <s v="Melbourne"/>
    <x v="0"/>
    <x v="3"/>
    <x v="1"/>
    <s v="Not Specified"/>
    <s v="EcoTones Memo Sheets"/>
    <s v="Office Supplies"/>
    <s v="Wrap Bag"/>
    <s v="Regular Air"/>
    <d v="2013-04-22T00:00:00"/>
    <n v="2.52"/>
    <n v="4"/>
    <n v="1.48"/>
    <n v="31"/>
    <n v="124"/>
    <n v="0.01"/>
    <n v="1.24"/>
    <n v="122.76"/>
    <n v="1.3"/>
    <n v="124.06"/>
  </r>
  <r>
    <s v="5055-1"/>
    <x v="22"/>
    <x v="0"/>
    <s v="Noah Childs"/>
    <s v="78 Stanley St,Darlinghurst"/>
    <s v="Sydney"/>
    <x v="1"/>
    <x v="0"/>
    <x v="4"/>
    <s v="High"/>
    <s v="Smiths Premium Bright 1-Part Blank Computer Paper"/>
    <s v="Office Supplies"/>
    <s v="Small Box"/>
    <s v="Express Air"/>
    <d v="2013-04-28T00:00:00"/>
    <n v="7.61"/>
    <n v="12.28"/>
    <n v="4.669999999999999"/>
    <n v="29"/>
    <n v="356.12"/>
    <n v="0"/>
    <n v="0"/>
    <n v="356.12"/>
    <n v="6.35"/>
    <n v="362.47"/>
  </r>
  <r>
    <s v="5057-1"/>
    <x v="23"/>
    <x v="0"/>
    <s v="Rob Haberlin"/>
    <s v="8 Rankins Lane ,Melbourne"/>
    <s v="Melbourne"/>
    <x v="0"/>
    <x v="1"/>
    <x v="1"/>
    <s v="Medium"/>
    <s v="Artisan 479 Labels"/>
    <s v="Office Supplies"/>
    <s v="Small Box"/>
    <s v="Regular Air"/>
    <d v="2013-04-30T00:00:00"/>
    <n v="1.59"/>
    <n v="2.61"/>
    <n v="1.0199999999999998"/>
    <n v="9"/>
    <n v="23.49"/>
    <n v="0.06"/>
    <n v="1.4093999999999998"/>
    <n v="22.080599999999997"/>
    <n v="0.5"/>
    <n v="22.580599999999997"/>
  </r>
  <r>
    <s v="5059-1"/>
    <x v="23"/>
    <x v="0"/>
    <s v="Barry Weirich"/>
    <s v="1/20 Pendal Lane, Perth"/>
    <s v="Sydney"/>
    <x v="1"/>
    <x v="1"/>
    <x v="10"/>
    <s v="Medium"/>
    <s v="Beekin 105-Key Black Keyboard"/>
    <s v="Technology"/>
    <s v="Small Box"/>
    <s v="Regular Air"/>
    <d v="2013-04-28T00:00:00"/>
    <n v="6.39"/>
    <n v="19.98"/>
    <n v="13.59"/>
    <n v="7"/>
    <n v="139.86000000000001"/>
    <n v="0.01"/>
    <n v="1.3986000000000001"/>
    <n v="138.46140000000003"/>
    <n v="4"/>
    <n v="142.46140000000003"/>
  </r>
  <r>
    <s v="5060-1"/>
    <x v="24"/>
    <x v="0"/>
    <s v="Kelly Williams"/>
    <s v="499-501 Lygon Street,Carlton North"/>
    <s v="Melbourne"/>
    <x v="0"/>
    <x v="1"/>
    <x v="0"/>
    <s v="Medium"/>
    <s v="Adesso Programmable 142-Key Keyboard"/>
    <s v="Technology"/>
    <s v="Small Box"/>
    <s v="Express Air"/>
    <d v="2013-05-01T00:00:00"/>
    <n v="32.020000000000003"/>
    <n v="152.47999999999999"/>
    <n v="120.45999999999998"/>
    <n v="16"/>
    <n v="2439.6799999999998"/>
    <n v="0.1"/>
    <n v="243.96799999999999"/>
    <n v="2195.712"/>
    <n v="4"/>
    <n v="2199.712"/>
  </r>
  <r>
    <s v="5061-1"/>
    <x v="24"/>
    <x v="0"/>
    <s v="Jack OBriant"/>
    <s v="85-113 Dunning Ave,Rosebery"/>
    <s v="Sydney"/>
    <x v="1"/>
    <x v="3"/>
    <x v="11"/>
    <s v="Not Specified"/>
    <s v="Smiths Premium Bright 1-Part Blank Computer Paper"/>
    <s v="Office Supplies"/>
    <s v="Small Box"/>
    <s v="Regular Air"/>
    <d v="2013-05-02T00:00:00"/>
    <n v="7.61"/>
    <n v="12.28"/>
    <n v="4.669999999999999"/>
    <n v="27"/>
    <n v="331.56"/>
    <n v="0.03"/>
    <n v="9.9467999999999996"/>
    <n v="321.61320000000001"/>
    <n v="6.35"/>
    <n v="327.96320000000003"/>
  </r>
  <r>
    <s v="5062-1"/>
    <x v="24"/>
    <x v="0"/>
    <s v="Pamela Stobb"/>
    <s v="273 George Street,Sydney"/>
    <s v="Sydney"/>
    <x v="1"/>
    <x v="2"/>
    <x v="2"/>
    <s v="Not Specified"/>
    <s v="TechSavi Access Keyboard"/>
    <s v="Technology"/>
    <s v="Small Box"/>
    <s v="Regular Air"/>
    <d v="2013-05-02T00:00:00"/>
    <n v="10.07"/>
    <n v="15.98"/>
    <n v="5.91"/>
    <n v="39"/>
    <n v="623.22"/>
    <n v="0.09"/>
    <n v="56.089800000000004"/>
    <n v="567.13020000000006"/>
    <n v="4"/>
    <n v="571.13020000000006"/>
  </r>
  <r>
    <s v="5063-1"/>
    <x v="25"/>
    <x v="0"/>
    <s v="William Brown"/>
    <s v="3 Carrington Road ,Box Hill"/>
    <s v="Melbourne"/>
    <x v="0"/>
    <x v="1"/>
    <x v="0"/>
    <s v="Not Specified"/>
    <s v="Smiths SlimLine Pencil Sharpener"/>
    <s v="Office Supplies"/>
    <s v="Small Pack"/>
    <s v="Regular Air"/>
    <d v="2013-05-03T00:00:00"/>
    <n v="4.79"/>
    <n v="11.97"/>
    <n v="7.1800000000000006"/>
    <n v="7"/>
    <n v="83.79"/>
    <n v="0.05"/>
    <n v="4.1895000000000007"/>
    <n v="79.600500000000011"/>
    <n v="5.81"/>
    <n v="85.410500000000013"/>
  </r>
  <r>
    <s v="5064-1"/>
    <x v="26"/>
    <x v="0"/>
    <s v="Nat Carroll"/>
    <s v="499-501 Lygon Street,Carlton North"/>
    <s v="Melbourne"/>
    <x v="0"/>
    <x v="0"/>
    <x v="0"/>
    <s v="Not Specified"/>
    <s v="Artisan Premier Heavy-Duty Binder with Round Locking Rings"/>
    <s v="Office Supplies"/>
    <s v="Small Box"/>
    <s v="Regular Air"/>
    <d v="2013-05-03T00:00:00"/>
    <n v="8.7100000000000009"/>
    <n v="14.28"/>
    <n v="5.5699999999999985"/>
    <n v="42"/>
    <n v="599.76"/>
    <n v="0.1"/>
    <n v="59.975999999999999"/>
    <n v="539.78399999999999"/>
    <n v="2.99"/>
    <n v="542.774"/>
  </r>
  <r>
    <s v="5066-1"/>
    <x v="26"/>
    <x v="0"/>
    <s v="Troy Staebel"/>
    <s v="1-2/299 Sussex St,Sydney"/>
    <s v="Sydney"/>
    <x v="1"/>
    <x v="3"/>
    <x v="9"/>
    <s v="Critical"/>
    <s v="TypeRight Side-Opening Peel &amp; Seel Expanding Envelopes"/>
    <s v="Office Supplies"/>
    <s v="Small Box"/>
    <s v="Regular Air"/>
    <d v="2013-05-03T00:00:00"/>
    <n v="54.29"/>
    <n v="90.48"/>
    <n v="36.190000000000005"/>
    <n v="15"/>
    <n v="1357.2"/>
    <n v="0.05"/>
    <n v="67.86"/>
    <n v="1289.3400000000001"/>
    <n v="19.989999999999998"/>
    <n v="1309.3300000000002"/>
  </r>
  <r>
    <s v="5068-1"/>
    <x v="27"/>
    <x v="0"/>
    <s v="Dario Medina"/>
    <s v="60 York St,Sydney"/>
    <s v="Sydney"/>
    <x v="1"/>
    <x v="3"/>
    <x v="10"/>
    <s v="Critical"/>
    <s v="Smiths Standard Envelopes"/>
    <s v="Office Supplies"/>
    <s v="Small Box"/>
    <s v="Regular Air"/>
    <d v="2013-05-05T00:00:00"/>
    <n v="3.52"/>
    <n v="5.68"/>
    <n v="2.1599999999999997"/>
    <n v="20"/>
    <n v="113.6"/>
    <n v="7.0000000000000007E-2"/>
    <n v="7.952"/>
    <n v="105.648"/>
    <n v="1.39"/>
    <n v="107.038"/>
  </r>
  <r>
    <s v="5070-1"/>
    <x v="28"/>
    <x v="0"/>
    <s v="Lynn Smith"/>
    <s v="61A Bay Road,Wollstonecraft"/>
    <s v="Sydney"/>
    <x v="1"/>
    <x v="1"/>
    <x v="6"/>
    <s v="Critical"/>
    <s v="Steady Liquid Accent Highlighters"/>
    <s v="Office Supplies"/>
    <s v="Wrap Bag"/>
    <s v="Regular Air"/>
    <d v="2013-05-06T00:00:00"/>
    <n v="3.47"/>
    <n v="6.68"/>
    <n v="3.2099999999999995"/>
    <n v="41"/>
    <n v="273.88"/>
    <n v="0.08"/>
    <n v="21.910399999999999"/>
    <n v="251.96959999999999"/>
    <n v="1.5"/>
    <n v="253.46959999999999"/>
  </r>
  <r>
    <s v="5071-1"/>
    <x v="29"/>
    <x v="0"/>
    <s v="Christopher Schild"/>
    <s v="4A Lyons St,Strathfield"/>
    <s v="Sydney"/>
    <x v="1"/>
    <x v="1"/>
    <x v="8"/>
    <s v="Medium"/>
    <s v="Laser Neon Mac Format Diskettes, 10/Pack"/>
    <s v="Technology"/>
    <s v="Small Pack"/>
    <s v="Regular Air"/>
    <d v="2013-05-06T00:00:00"/>
    <n v="1.87"/>
    <n v="2.2253000000000003"/>
    <n v="0.35530000000000017"/>
    <n v="41"/>
    <n v="91.237300000000005"/>
    <n v="0.06"/>
    <n v="5.4742379999999997"/>
    <n v="85.763062000000005"/>
    <n v="2.83"/>
    <n v="88.593062000000003"/>
  </r>
  <r>
    <s v="5071-2"/>
    <x v="29"/>
    <x v="0"/>
    <s v="Christopher Schild"/>
    <s v="4A Lyons St,Strathfield"/>
    <s v="Sydney"/>
    <x v="1"/>
    <x v="1"/>
    <x v="8"/>
    <s v="Medium"/>
    <s v="Steady Liquid Accent Highlighters"/>
    <s v="Office Supplies"/>
    <s v="Wrap Bag"/>
    <s v="Regular Air"/>
    <d v="2013-05-06T00:00:00"/>
    <n v="3.47"/>
    <n v="6.68"/>
    <n v="3.2099999999999995"/>
    <n v="2"/>
    <n v="13.36"/>
    <n v="0.01"/>
    <n v="0.1336"/>
    <n v="13.2264"/>
    <n v="1.5"/>
    <n v="14.7264"/>
  </r>
  <r>
    <s v="5075-1"/>
    <x v="29"/>
    <x v="0"/>
    <s v="Dave Kipp"/>
    <s v="221 Barkly St,St Kilda"/>
    <s v="Melbourne"/>
    <x v="0"/>
    <x v="1"/>
    <x v="0"/>
    <s v="Low"/>
    <s v="TechSavi Access Keyboard"/>
    <s v="Technology"/>
    <s v="Small Box"/>
    <s v="Regular Air"/>
    <d v="2013-05-10T00:00:00"/>
    <n v="10.07"/>
    <n v="15.98"/>
    <n v="5.91"/>
    <n v="34"/>
    <n v="543.32000000000005"/>
    <n v="0.1"/>
    <n v="54.332000000000008"/>
    <n v="488.98800000000006"/>
    <n v="4"/>
    <n v="492.98800000000006"/>
  </r>
  <r>
    <s v="5077-1"/>
    <x v="30"/>
    <x v="0"/>
    <s v="Grant Carroll"/>
    <s v="10 O'Connell St,Sydney"/>
    <s v="Sydney"/>
    <x v="1"/>
    <x v="3"/>
    <x v="9"/>
    <s v="Not Specified"/>
    <s v="Smiths SlimLine Pencil Sharpener"/>
    <s v="Office Supplies"/>
    <s v="Small Pack"/>
    <s v="Regular Air"/>
    <d v="2013-05-09T00:00:00"/>
    <n v="4.79"/>
    <n v="11.97"/>
    <n v="7.1800000000000006"/>
    <n v="18"/>
    <n v="215.46"/>
    <n v="0.08"/>
    <n v="17.236800000000002"/>
    <n v="198.22320000000002"/>
    <n v="5.81"/>
    <n v="204.03320000000002"/>
  </r>
  <r>
    <s v="5079-1"/>
    <x v="31"/>
    <x v="0"/>
    <s v="Liz Pelletier"/>
    <s v="79 Elliott St,Balmain"/>
    <s v="Sydney"/>
    <x v="1"/>
    <x v="0"/>
    <x v="9"/>
    <s v="Critical"/>
    <s v="1726 Digital Answering Machine"/>
    <s v="Technology"/>
    <s v="Medium Box"/>
    <s v="Express Air"/>
    <d v="2013-05-10T00:00:00"/>
    <n v="8.82"/>
    <n v="20.99"/>
    <n v="12.169999999999998"/>
    <n v="8"/>
    <n v="167.92"/>
    <n v="0.09"/>
    <n v="15.112799999999998"/>
    <n v="152.80719999999999"/>
    <n v="4.8099999999999996"/>
    <n v="157.6172"/>
  </r>
  <r>
    <s v="5081-1"/>
    <x v="31"/>
    <x v="0"/>
    <s v="Thea Hudgings"/>
    <s v="240-242 Johnston Street,Fitzroy"/>
    <s v="Melbourne"/>
    <x v="0"/>
    <x v="2"/>
    <x v="1"/>
    <s v="Critical"/>
    <s v="Pizazz Dustless Chalk Sticks"/>
    <s v="Office Supplies"/>
    <s v="Wrap Bag"/>
    <s v="Regular Air"/>
    <d v="2013-05-11T00:00:00"/>
    <n v="1.0900000000000001"/>
    <n v="1.68"/>
    <n v="0.58999999999999986"/>
    <n v="18"/>
    <n v="30.24"/>
    <n v="0.06"/>
    <n v="1.8143999999999998"/>
    <n v="28.425599999999999"/>
    <n v="1"/>
    <n v="29.425599999999999"/>
  </r>
  <r>
    <s v="5084-1"/>
    <x v="32"/>
    <x v="0"/>
    <s v="Alex Russell"/>
    <s v="101/12 Victoria Ave, Perth"/>
    <s v="Melbourne"/>
    <x v="0"/>
    <x v="0"/>
    <x v="1"/>
    <s v="Medium"/>
    <s v="EcoTones Memo Sheets"/>
    <s v="Office Supplies"/>
    <s v="Wrap Bag"/>
    <s v="Express Air"/>
    <d v="2013-05-15T00:00:00"/>
    <n v="2.52"/>
    <n v="4"/>
    <n v="1.48"/>
    <n v="19"/>
    <n v="76"/>
    <n v="0.09"/>
    <n v="6.84"/>
    <n v="69.16"/>
    <n v="1.3"/>
    <n v="70.459999999999994"/>
  </r>
  <r>
    <s v="5086-1"/>
    <x v="33"/>
    <x v="0"/>
    <s v="Eudokia Martin"/>
    <s v="412 Brunswick St,Fitzroy"/>
    <s v="Melbourne"/>
    <x v="0"/>
    <x v="0"/>
    <x v="1"/>
    <s v="High"/>
    <s v="Artisan Flip-Chart Easel Binder, Black"/>
    <s v="Office Supplies"/>
    <s v="Small Box"/>
    <s v="Regular Air"/>
    <d v="2013-05-15T00:00:00"/>
    <n v="13.88"/>
    <n v="22.38"/>
    <n v="8.4999999999999982"/>
    <n v="26"/>
    <n v="581.88"/>
    <n v="0.1"/>
    <n v="58.188000000000002"/>
    <n v="523.69200000000001"/>
    <n v="15.1"/>
    <n v="538.79200000000003"/>
  </r>
  <r>
    <s v="5087-1"/>
    <x v="33"/>
    <x v="0"/>
    <s v="Scot Wooten"/>
    <s v="438 Victoria Avenue,Chatswood"/>
    <s v="Sydney"/>
    <x v="1"/>
    <x v="1"/>
    <x v="5"/>
    <s v="Not Specified"/>
    <s v="DrawIt Colored Pencils, 48-Color Set"/>
    <s v="Office Supplies"/>
    <s v="Wrap Bag"/>
    <s v="Regular Air"/>
    <d v="2013-05-16T00:00:00"/>
    <n v="21.56"/>
    <n v="36.549999999999997"/>
    <n v="14.989999999999998"/>
    <n v="45"/>
    <n v="1644.7499999999998"/>
    <n v="0.1"/>
    <n v="164.47499999999999"/>
    <n v="1480.2749999999999"/>
    <n v="13.89"/>
    <n v="1494.165"/>
  </r>
  <r>
    <s v="5089-1"/>
    <x v="34"/>
    <x v="0"/>
    <s v="Jenna Caffey"/>
    <s v="470 Anzac Parade,Kingsford"/>
    <s v="Sydney"/>
    <x v="1"/>
    <x v="2"/>
    <x v="8"/>
    <s v="High"/>
    <s v="600 Series Non-Flip"/>
    <s v="Technology"/>
    <s v="Small Box"/>
    <s v="Express Air"/>
    <d v="2013-05-16T00:00:00"/>
    <n v="19.78"/>
    <n v="45.99"/>
    <n v="26.21"/>
    <n v="14"/>
    <n v="643.86"/>
    <n v="0.02"/>
    <n v="12.8772"/>
    <n v="630.9828"/>
    <n v="4.99"/>
    <n v="635.97280000000001"/>
  </r>
  <r>
    <s v="5091-1"/>
    <x v="35"/>
    <x v="0"/>
    <s v="Brad Thomas"/>
    <s v="152 Bunnerong Road,Eastgardens"/>
    <s v="Sydney"/>
    <x v="1"/>
    <x v="0"/>
    <x v="8"/>
    <s v="High"/>
    <s v="210 Trimline Phone, White"/>
    <s v="Technology"/>
    <s v="Medium Box"/>
    <s v="Regular Air"/>
    <d v="2013-05-20T00:00:00"/>
    <n v="9.91"/>
    <n v="15.99"/>
    <n v="6.08"/>
    <n v="7"/>
    <n v="111.93"/>
    <n v="0.03"/>
    <n v="3.3578999999999999"/>
    <n v="108.57210000000001"/>
    <n v="11.28"/>
    <n v="119.85210000000001"/>
  </r>
  <r>
    <s v="5093-1"/>
    <x v="35"/>
    <x v="0"/>
    <s v="Nat Carroll"/>
    <s v="499-501 Lygon Street,Carlton North"/>
    <s v="Melbourne"/>
    <x v="0"/>
    <x v="0"/>
    <x v="0"/>
    <s v="Not Specified"/>
    <s v="Steady Major Accent Highlighters"/>
    <s v="Office Supplies"/>
    <s v="Wrap Bag"/>
    <s v="Regular Air"/>
    <d v="2013-05-20T00:00:00"/>
    <n v="3.75"/>
    <n v="7.08"/>
    <n v="3.33"/>
    <n v="29"/>
    <n v="205.32"/>
    <n v="0.04"/>
    <n v="8.2127999999999997"/>
    <n v="197.10720000000001"/>
    <n v="2.35"/>
    <n v="199.4572"/>
  </r>
  <r>
    <s v="5095-1"/>
    <x v="36"/>
    <x v="0"/>
    <s v="Roy Skaria"/>
    <s v="2/797 Botany Rd,Rosebery"/>
    <s v="Sydney"/>
    <x v="1"/>
    <x v="1"/>
    <x v="6"/>
    <s v="High"/>
    <s v="Aluminum Document Frame"/>
    <s v="Furniture"/>
    <s v="Small Pack"/>
    <s v="Regular Air"/>
    <d v="2013-05-21T00:00:00"/>
    <n v="5.5"/>
    <n v="12.22"/>
    <n v="6.7200000000000006"/>
    <n v="35"/>
    <n v="427.70000000000005"/>
    <n v="0"/>
    <n v="0"/>
    <n v="427.70000000000005"/>
    <n v="2.85"/>
    <n v="430.55000000000007"/>
  </r>
  <r>
    <s v="5097-1"/>
    <x v="36"/>
    <x v="0"/>
    <s v="Brad Eason"/>
    <s v="1737 Botany Rd,Banksmeadow"/>
    <s v="Sydney"/>
    <x v="1"/>
    <x v="3"/>
    <x v="3"/>
    <s v="Not Specified"/>
    <s v="Artisan Legal 4-Ring Binder"/>
    <s v="Office Supplies"/>
    <s v="Small Box"/>
    <s v="Regular Air"/>
    <d v="2013-05-22T00:00:00"/>
    <n v="13.64"/>
    <n v="20.98"/>
    <n v="7.34"/>
    <n v="47"/>
    <n v="986.06000000000006"/>
    <n v="0.1"/>
    <n v="98.606000000000009"/>
    <n v="887.45400000000006"/>
    <n v="1.49"/>
    <n v="888.94400000000007"/>
  </r>
  <r>
    <s v="5099-1"/>
    <x v="37"/>
    <x v="0"/>
    <s v="Dave Kipp"/>
    <s v="221 Barkly St,St Kilda"/>
    <s v="Melbourne"/>
    <x v="0"/>
    <x v="2"/>
    <x v="0"/>
    <s v="High"/>
    <s v="Apex Elite Stainless Steel Scissors"/>
    <s v="Office Supplies"/>
    <s v="Small Pack"/>
    <s v="Regular Air"/>
    <d v="2013-05-21T00:00:00"/>
    <n v="3.42"/>
    <n v="8.34"/>
    <n v="4.92"/>
    <n v="24"/>
    <n v="200.16"/>
    <n v="0.1"/>
    <n v="20.016000000000002"/>
    <n v="180.14400000000001"/>
    <n v="2.64"/>
    <n v="182.78399999999999"/>
  </r>
  <r>
    <s v="5101-1"/>
    <x v="38"/>
    <x v="0"/>
    <s v="Thais Sissman"/>
    <s v="8 Orange Street"/>
    <s v="Perth"/>
    <x v="2"/>
    <x v="3"/>
    <x v="8"/>
    <s v="Critical"/>
    <s v="Alto Parchment Paper, Assorted Colors"/>
    <s v="Office Supplies"/>
    <s v="Small Box"/>
    <s v="Express Air"/>
    <d v="2013-05-23T00:00:00"/>
    <n v="4.59"/>
    <n v="7.28"/>
    <n v="2.6900000000000004"/>
    <n v="2"/>
    <n v="14.56"/>
    <n v="0.08"/>
    <n v="1.1648000000000001"/>
    <n v="13.395200000000001"/>
    <n v="11.15"/>
    <n v="24.545200000000001"/>
  </r>
  <r>
    <s v="5103-1"/>
    <x v="38"/>
    <x v="0"/>
    <s v="Andy Reiter"/>
    <s v="30 Wellington Street, Perth"/>
    <s v="Melbourne"/>
    <x v="0"/>
    <x v="1"/>
    <x v="0"/>
    <s v="Critical"/>
    <s v="Smiths General Use 3-Ring Binders"/>
    <s v="Office Supplies"/>
    <s v="Small Box"/>
    <s v="Regular Air"/>
    <d v="2013-05-24T00:00:00"/>
    <n v="1.18"/>
    <n v="1.88"/>
    <n v="0.7"/>
    <n v="1"/>
    <n v="1.88"/>
    <n v="0.05"/>
    <n v="9.4E-2"/>
    <n v="1.7859999999999998"/>
    <n v="1.49"/>
    <n v="3.2759999999999998"/>
  </r>
  <r>
    <s v="5104-1"/>
    <x v="39"/>
    <x v="0"/>
    <s v="Becky Martin"/>
    <s v="22 St Georges Terrace, Perth"/>
    <s v="Sydney"/>
    <x v="1"/>
    <x v="0"/>
    <x v="8"/>
    <s v="Medium"/>
    <s v="Alto Keyboard-In-A-Box"/>
    <s v="Technology"/>
    <s v="Small Box"/>
    <s v="Express Air"/>
    <d v="2013-05-25T00:00:00"/>
    <n v="6.4"/>
    <n v="29.1"/>
    <n v="22.700000000000003"/>
    <n v="33"/>
    <n v="960.30000000000007"/>
    <n v="0.01"/>
    <n v="9.6030000000000015"/>
    <n v="950.69700000000012"/>
    <n v="4"/>
    <n v="954.69700000000012"/>
  </r>
  <r>
    <s v="5106-1"/>
    <x v="40"/>
    <x v="0"/>
    <s v="Denny Ordway"/>
    <s v="523 King St,Newtown"/>
    <s v="Sydney"/>
    <x v="1"/>
    <x v="3"/>
    <x v="9"/>
    <s v="Critical"/>
    <s v="Artisan 48 Labels"/>
    <s v="Office Supplies"/>
    <s v="Small Box"/>
    <s v="Regular Air"/>
    <d v="2013-05-26T00:00:00"/>
    <n v="3.84"/>
    <n v="6.3"/>
    <n v="2.46"/>
    <n v="42"/>
    <n v="264.59999999999997"/>
    <n v="7.0000000000000007E-2"/>
    <n v="18.521999999999998"/>
    <n v="246.07799999999997"/>
    <n v="0.5"/>
    <n v="246.57799999999997"/>
  </r>
  <r>
    <s v="5108-1"/>
    <x v="41"/>
    <x v="0"/>
    <s v="Luke Schmidt"/>
    <s v="73 York St,Sydney"/>
    <s v="Sydney"/>
    <x v="1"/>
    <x v="0"/>
    <x v="8"/>
    <s v="Medium"/>
    <s v="UGen Ultra Professional Cordless Optical Suite"/>
    <s v="Technology"/>
    <s v="Small Box"/>
    <s v="Regular Air"/>
    <d v="2013-05-28T00:00:00"/>
    <n v="156.5"/>
    <n v="300.97000000000003"/>
    <n v="144.47000000000003"/>
    <n v="14"/>
    <n v="4213.58"/>
    <n v="0.1"/>
    <n v="421.358"/>
    <n v="3792.2219999999998"/>
    <n v="7.18"/>
    <n v="3799.4019999999996"/>
  </r>
  <r>
    <s v="5109-1"/>
    <x v="42"/>
    <x v="0"/>
    <s v="Kelly Lampkin"/>
    <s v="310 Wattle St,Ultimo"/>
    <s v="Sydney"/>
    <x v="1"/>
    <x v="1"/>
    <x v="9"/>
    <s v="Low"/>
    <s v="OIC Colored Binder Clips, Assorted Sizes"/>
    <s v="Office Supplies"/>
    <s v="Wrap Bag"/>
    <s v="Regular Air"/>
    <d v="2013-06-01T00:00:00"/>
    <n v="2.29"/>
    <n v="3.58"/>
    <n v="1.29"/>
    <n v="38"/>
    <n v="136.04"/>
    <n v="0.06"/>
    <n v="8.1623999999999999"/>
    <n v="127.87759999999999"/>
    <n v="1.63"/>
    <n v="129.5076"/>
  </r>
  <r>
    <s v="5111-1"/>
    <x v="43"/>
    <x v="0"/>
    <s v="Eugene Moren"/>
    <s v="14/76 Newcastle Street"/>
    <s v="Perth"/>
    <x v="2"/>
    <x v="0"/>
    <x v="11"/>
    <s v="High"/>
    <s v="Colored Envelopes"/>
    <s v="Office Supplies"/>
    <s v="Small Box"/>
    <s v="Express Air"/>
    <d v="2013-05-29T00:00:00"/>
    <n v="2.25"/>
    <n v="3.69"/>
    <n v="1.44"/>
    <n v="35"/>
    <n v="129.15"/>
    <n v="0.03"/>
    <n v="3.8744999999999998"/>
    <n v="125.27550000000001"/>
    <n v="2.5"/>
    <n v="127.77550000000001"/>
  </r>
  <r>
    <s v="5112-1"/>
    <x v="43"/>
    <x v="0"/>
    <s v="Anthony Rawles"/>
    <s v="14 Money Street, Perth"/>
    <s v="Perth"/>
    <x v="2"/>
    <x v="3"/>
    <x v="11"/>
    <s v="Medium"/>
    <s v="Xit Blank Computer Paper"/>
    <s v="Office Supplies"/>
    <s v="Small Box"/>
    <s v="Express Air"/>
    <d v="2013-05-29T00:00:00"/>
    <n v="12.39"/>
    <n v="19.98"/>
    <n v="7.59"/>
    <n v="13"/>
    <n v="259.74"/>
    <n v="0.1"/>
    <n v="25.974000000000004"/>
    <n v="233.76600000000002"/>
    <n v="5.77"/>
    <n v="239.53600000000003"/>
  </r>
  <r>
    <s v="5113-1"/>
    <x v="44"/>
    <x v="0"/>
    <s v="Rick Duston"/>
    <s v="260 Marrickville Rd,Marrickville"/>
    <s v="Sydney"/>
    <x v="1"/>
    <x v="1"/>
    <x v="3"/>
    <s v="Medium"/>
    <s v="Alto Perma 2700 Stacking Storage Drawers"/>
    <s v="Office Supplies"/>
    <s v="Small Box"/>
    <s v="Regular Air"/>
    <d v="2013-05-31T00:00:00"/>
    <n v="8.92"/>
    <n v="29.74"/>
    <n v="20.82"/>
    <n v="14"/>
    <n v="416.35999999999996"/>
    <n v="0.02"/>
    <n v="8.3271999999999995"/>
    <n v="408.03279999999995"/>
    <n v="6.64"/>
    <n v="414.67279999999994"/>
  </r>
  <r>
    <s v="5114-1"/>
    <x v="44"/>
    <x v="0"/>
    <s v="Raymond Fair"/>
    <s v="188 Pitt Street,Sydney"/>
    <s v="Sydney"/>
    <x v="1"/>
    <x v="3"/>
    <x v="8"/>
    <s v="Not Specified"/>
    <s v="TechSavi Cordless Elite Duo"/>
    <s v="Technology"/>
    <s v="Small Box"/>
    <s v="Regular Air"/>
    <d v="2013-06-02T00:00:00"/>
    <n v="60.59"/>
    <n v="100.98"/>
    <n v="40.39"/>
    <n v="33"/>
    <n v="3332.34"/>
    <n v="0.05"/>
    <n v="166.61700000000002"/>
    <n v="3165.723"/>
    <n v="7.18"/>
    <n v="3172.9029999999998"/>
  </r>
  <r>
    <s v="5115-1"/>
    <x v="44"/>
    <x v="0"/>
    <s v="Joy Smith"/>
    <s v="221 Barkly St,St Kilda"/>
    <s v="Melbourne"/>
    <x v="0"/>
    <x v="2"/>
    <x v="0"/>
    <s v="Low"/>
    <s v="Wirebound Message Book, 4 per Page"/>
    <s v="Office Supplies"/>
    <s v="Wrap Bag"/>
    <s v="Regular Air"/>
    <d v="2013-06-04T00:00:00"/>
    <n v="3.48"/>
    <n v="5.43"/>
    <n v="1.9499999999999997"/>
    <n v="29"/>
    <n v="157.47"/>
    <n v="7.0000000000000007E-2"/>
    <n v="11.022900000000002"/>
    <n v="146.44710000000001"/>
    <n v="0.95"/>
    <n v="147.39709999999999"/>
  </r>
  <r>
    <s v="5117-1"/>
    <x v="45"/>
    <x v="0"/>
    <s v="Jim Epp"/>
    <s v="Macquarie Centre Cnr Herring Road &amp; Waterloo Road,Macquarie Park"/>
    <s v="Sydney"/>
    <x v="1"/>
    <x v="3"/>
    <x v="3"/>
    <s v="Low"/>
    <s v="Laser DVD-RAM discs"/>
    <s v="Technology"/>
    <s v="Small Pack"/>
    <s v="Regular Air"/>
    <d v="2013-06-04T00:00:00"/>
    <n v="20.18"/>
    <n v="35.409999999999997"/>
    <n v="15.229999999999997"/>
    <n v="38"/>
    <n v="1345.58"/>
    <n v="0.03"/>
    <n v="40.367399999999996"/>
    <n v="1305.2125999999998"/>
    <n v="1.99"/>
    <n v="1307.2025999999998"/>
  </r>
  <r>
    <s v="5119-1"/>
    <x v="46"/>
    <x v="0"/>
    <s v="Mike Vittorini"/>
    <s v="211/25-29 Dixon St,Haymarket"/>
    <s v="Sydney"/>
    <x v="1"/>
    <x v="3"/>
    <x v="12"/>
    <s v="Not Specified"/>
    <s v="Artisan Hi-Liter Fluorescent Desk Style Markers"/>
    <s v="Office Supplies"/>
    <s v="Wrap Bag"/>
    <s v="Regular Air"/>
    <d v="2013-06-06T00:00:00"/>
    <n v="1.76"/>
    <n v="3.38"/>
    <n v="1.6199999999999999"/>
    <n v="34"/>
    <n v="114.92"/>
    <n v="7.0000000000000007E-2"/>
    <n v="8.0444000000000013"/>
    <n v="106.87560000000001"/>
    <n v="0.85"/>
    <n v="107.7256"/>
  </r>
  <r>
    <s v="5120-1"/>
    <x v="47"/>
    <x v="0"/>
    <s v="Neil Knudson"/>
    <s v="4A Lyons St,Strathfield"/>
    <s v="Sydney"/>
    <x v="1"/>
    <x v="0"/>
    <x v="8"/>
    <s v="Critical"/>
    <s v="Artisan Arch Ring Binders"/>
    <s v="Office Supplies"/>
    <s v="Small Box"/>
    <s v="Express Air"/>
    <d v="2013-06-07T00:00:00"/>
    <n v="36.020000000000003"/>
    <n v="58.1"/>
    <n v="22.08"/>
    <n v="10"/>
    <n v="581"/>
    <n v="0.09"/>
    <n v="52.29"/>
    <n v="528.71"/>
    <n v="1.49"/>
    <n v="530.20000000000005"/>
  </r>
  <r>
    <s v="5122-1"/>
    <x v="47"/>
    <x v="0"/>
    <s v="Deborah Brumfield"/>
    <s v="501 George St,Sydney"/>
    <s v="Sydney"/>
    <x v="1"/>
    <x v="1"/>
    <x v="6"/>
    <s v="Low"/>
    <s v="UGen Ultra Professional Cordless Optical Suite"/>
    <s v="Technology"/>
    <s v="Small Box"/>
    <s v="Regular Air"/>
    <d v="2013-06-05T00:00:00"/>
    <n v="156.5"/>
    <n v="300.97000000000003"/>
    <n v="144.47000000000003"/>
    <n v="38"/>
    <n v="11436.86"/>
    <n v="0.09"/>
    <n v="1029.3173999999999"/>
    <n v="10407.542600000001"/>
    <n v="7.18"/>
    <n v="10414.722600000001"/>
  </r>
  <r>
    <s v="5124-1"/>
    <x v="48"/>
    <x v="0"/>
    <s v="Erica Hernandez"/>
    <s v="12 Princess Hwy,Sylvania"/>
    <s v="Sydney"/>
    <x v="1"/>
    <x v="3"/>
    <x v="3"/>
    <s v="Medium"/>
    <s v="Apex Elite Stainless Steel Scissors"/>
    <s v="Office Supplies"/>
    <s v="Small Pack"/>
    <s v="Regular Air"/>
    <d v="2013-06-08T00:00:00"/>
    <n v="3.42"/>
    <n v="8.34"/>
    <n v="4.92"/>
    <n v="30"/>
    <n v="250.2"/>
    <n v="0.02"/>
    <n v="5.0039999999999996"/>
    <n v="245.196"/>
    <n v="2.64"/>
    <n v="247.83599999999998"/>
  </r>
  <r>
    <s v="5125-1"/>
    <x v="49"/>
    <x v="0"/>
    <s v="Janet Martin"/>
    <s v="24 Addison Rd,Marrickville"/>
    <s v="Sydney"/>
    <x v="1"/>
    <x v="1"/>
    <x v="13"/>
    <s v="Not Specified"/>
    <s v="TechSavi Cordless Elite Duo"/>
    <s v="Technology"/>
    <s v="Small Box"/>
    <s v="Regular Air"/>
    <d v="2013-06-08T00:00:00"/>
    <n v="60.59"/>
    <n v="100.98"/>
    <n v="40.39"/>
    <n v="29"/>
    <n v="2928.42"/>
    <n v="0.03"/>
    <n v="87.852599999999995"/>
    <n v="2840.5673999999999"/>
    <n v="7.18"/>
    <n v="2847.7473999999997"/>
  </r>
  <r>
    <s v="5127-1"/>
    <x v="50"/>
    <x v="0"/>
    <s v="Beth Thompson"/>
    <s v="101 Murray Street, Perth"/>
    <s v="Sydney"/>
    <x v="1"/>
    <x v="1"/>
    <x v="11"/>
    <s v="Not Specified"/>
    <s v="Deluxe Rollaway Locking File with Drawer"/>
    <s v="Office Supplies"/>
    <s v="Small Box"/>
    <s v="Regular Air"/>
    <d v="2013-06-09T00:00:00"/>
    <n v="178.83"/>
    <n v="415.88"/>
    <n v="237.04999999999998"/>
    <n v="2"/>
    <n v="831.76"/>
    <n v="7.0000000000000007E-2"/>
    <n v="58.223200000000006"/>
    <n v="773.53679999999997"/>
    <n v="11.37"/>
    <n v="784.90679999999998"/>
  </r>
  <r>
    <s v="5128-1"/>
    <x v="51"/>
    <x v="0"/>
    <s v="Nora Paige"/>
    <s v="85-113 Dunning Ave,Roseberry"/>
    <s v="Sydney"/>
    <x v="1"/>
    <x v="3"/>
    <x v="11"/>
    <s v="Medium"/>
    <s v="EcoTones Memo Sheets"/>
    <s v="Office Supplies"/>
    <s v="Wrap Bag"/>
    <s v="Regular Air"/>
    <d v="2013-06-12T00:00:00"/>
    <n v="2.52"/>
    <n v="4"/>
    <n v="1.48"/>
    <n v="39"/>
    <n v="156"/>
    <n v="0.08"/>
    <n v="12.48"/>
    <n v="143.52000000000001"/>
    <n v="1.3"/>
    <n v="144.82000000000002"/>
  </r>
  <r>
    <s v="5129-1"/>
    <x v="52"/>
    <x v="0"/>
    <s v="Jim Kriz"/>
    <s v="85-113 Dunning Ave,Roseberry"/>
    <s v="Sydney"/>
    <x v="1"/>
    <x v="2"/>
    <x v="11"/>
    <s v="Low"/>
    <s v="Smiths Colored Interoffice Envelopes"/>
    <s v="Office Supplies"/>
    <s v="Small Box"/>
    <s v="Regular Air"/>
    <d v="2013-06-13T00:00:00"/>
    <n v="19.829999999999998"/>
    <n v="30.98"/>
    <n v="11.150000000000002"/>
    <n v="49"/>
    <n v="1518.02"/>
    <n v="0.09"/>
    <n v="136.62180000000001"/>
    <n v="1381.3982000000001"/>
    <n v="19.510000000000002"/>
    <n v="1400.9082000000001"/>
  </r>
  <r>
    <s v="5131-1"/>
    <x v="53"/>
    <x v="0"/>
    <s v="Steve Nguyen"/>
    <s v="61 York St,Sydney"/>
    <s v="Sydney"/>
    <x v="1"/>
    <x v="3"/>
    <x v="2"/>
    <s v="Medium"/>
    <s v="UGen Ultra Professional Cordless Optical Suite"/>
    <s v="Technology"/>
    <s v="Small Box"/>
    <s v="Regular Air"/>
    <d v="2013-06-17T00:00:00"/>
    <n v="156.5"/>
    <n v="300.97000000000003"/>
    <n v="144.47000000000003"/>
    <n v="5"/>
    <n v="1504.8500000000001"/>
    <n v="7.0000000000000007E-2"/>
    <n v="105.33950000000002"/>
    <n v="1399.5105000000001"/>
    <n v="7.18"/>
    <n v="1406.6905000000002"/>
  </r>
  <r>
    <s v="5133-1"/>
    <x v="53"/>
    <x v="0"/>
    <s v="Scott Cohen"/>
    <s v="240-242 Johnston Street,Fitzroy"/>
    <s v="Melbourne"/>
    <x v="0"/>
    <x v="2"/>
    <x v="1"/>
    <s v="High"/>
    <s v="Wirebound Voice Message Log Book"/>
    <s v="Office Supplies"/>
    <s v="Wrap Bag"/>
    <s v="Express Air"/>
    <d v="2013-06-17T00:00:00"/>
    <n v="2.9"/>
    <n v="4.76"/>
    <n v="1.8599999999999999"/>
    <n v="27"/>
    <n v="128.51999999999998"/>
    <n v="7.0000000000000007E-2"/>
    <n v="8.9963999999999995"/>
    <n v="119.52359999999999"/>
    <n v="0.88"/>
    <n v="120.40359999999998"/>
  </r>
  <r>
    <s v="5134-1"/>
    <x v="54"/>
    <x v="0"/>
    <s v="Liz MacKendrick"/>
    <s v="224A Gertrude St,Fitzroy"/>
    <s v="Melbourne"/>
    <x v="0"/>
    <x v="1"/>
    <x v="1"/>
    <s v="Low"/>
    <s v="UGen Ultra Professional Cordless Optical Suite"/>
    <s v="Technology"/>
    <s v="Small Box"/>
    <s v="Regular Air"/>
    <d v="2013-06-16T00:00:00"/>
    <n v="156.5"/>
    <n v="300.97000000000003"/>
    <n v="144.47000000000003"/>
    <n v="1"/>
    <n v="300.97000000000003"/>
    <n v="0.06"/>
    <n v="18.058199999999999"/>
    <n v="282.91180000000003"/>
    <n v="7.18"/>
    <n v="290.09180000000003"/>
  </r>
  <r>
    <s v="5135-1"/>
    <x v="55"/>
    <x v="0"/>
    <s v="Aaron Smayling"/>
    <s v="1737 Botany Rd,Banksmeadow"/>
    <s v="Sydney"/>
    <x v="1"/>
    <x v="3"/>
    <x v="3"/>
    <s v="Medium"/>
    <s v="OIC Colored Binder Clips, Assorted Sizes"/>
    <s v="Office Supplies"/>
    <s v="Wrap Bag"/>
    <s v="Regular Air"/>
    <d v="2013-06-21T00:00:00"/>
    <n v="2.29"/>
    <n v="3.58"/>
    <n v="1.29"/>
    <n v="10"/>
    <n v="35.799999999999997"/>
    <n v="0.05"/>
    <n v="1.79"/>
    <n v="34.01"/>
    <n v="1.63"/>
    <n v="35.64"/>
  </r>
  <r>
    <s v="5137-1"/>
    <x v="56"/>
    <x v="0"/>
    <s v="Carlos Meador"/>
    <s v="152 Bunnerong Road,Eastgardens"/>
    <s v="Sydney"/>
    <x v="1"/>
    <x v="1"/>
    <x v="8"/>
    <s v="Medium"/>
    <s v="Multimedia Mailers"/>
    <s v="Office Supplies"/>
    <s v="Small Box"/>
    <s v="Regular Air"/>
    <d v="2013-06-22T00:00:00"/>
    <n v="99.39"/>
    <n v="162.93"/>
    <n v="63.540000000000006"/>
    <n v="7"/>
    <n v="1140.51"/>
    <n v="0.03"/>
    <n v="34.215299999999999"/>
    <n v="1106.2946999999999"/>
    <n v="19.989999999999998"/>
    <n v="1126.2846999999999"/>
  </r>
  <r>
    <s v="5138-1"/>
    <x v="56"/>
    <x v="0"/>
    <s v="Giulietta Dortch"/>
    <s v="180 High Street,Windsor"/>
    <s v="Melbourne"/>
    <x v="0"/>
    <x v="3"/>
    <x v="1"/>
    <s v="High"/>
    <s v="Smiths Metal Binder Clips"/>
    <s v="Office Supplies"/>
    <s v="Wrap Bag"/>
    <s v="Express Air"/>
    <d v="2013-06-23T00:00:00"/>
    <n v="1.6"/>
    <n v="2.62"/>
    <n v="1.02"/>
    <n v="34"/>
    <n v="89.08"/>
    <n v="0.08"/>
    <n v="7.1264000000000003"/>
    <n v="81.953599999999994"/>
    <n v="0.8"/>
    <n v="82.753599999999992"/>
  </r>
  <r>
    <s v="5140-1"/>
    <x v="57"/>
    <x v="0"/>
    <s v="Paul Lucas"/>
    <s v="8 Quay Street,Haymarket"/>
    <s v="Sydney"/>
    <x v="1"/>
    <x v="1"/>
    <x v="2"/>
    <s v="High"/>
    <s v="3Max Organizer Strips"/>
    <s v="Office Supplies"/>
    <s v="Small Box"/>
    <s v="Regular Air"/>
    <d v="2013-06-25T00:00:00"/>
    <n v="3.4"/>
    <n v="5.4"/>
    <n v="2.0000000000000004"/>
    <n v="25"/>
    <n v="135"/>
    <n v="0.09"/>
    <n v="12.15"/>
    <n v="122.85"/>
    <n v="7.78"/>
    <n v="130.63"/>
  </r>
  <r>
    <s v="5142-1"/>
    <x v="58"/>
    <x v="0"/>
    <s v="Aleksandra Gannaway"/>
    <s v="508/130 Mounts Bay Road, Perth"/>
    <s v="Perth"/>
    <x v="2"/>
    <x v="0"/>
    <x v="8"/>
    <s v="High"/>
    <s v="PastelOcean Color Pencil Set"/>
    <s v="Office Supplies"/>
    <s v="Wrap Bag"/>
    <s v="Regular Air"/>
    <d v="2013-06-26T00:00:00"/>
    <n v="11.11"/>
    <n v="19.84"/>
    <n v="8.73"/>
    <n v="26"/>
    <n v="515.84"/>
    <n v="7.0000000000000007E-2"/>
    <n v="36.108800000000002"/>
    <n v="479.73120000000006"/>
    <n v="4.0999999999999996"/>
    <n v="483.83120000000008"/>
  </r>
  <r>
    <s v="5144-1"/>
    <x v="59"/>
    <x v="0"/>
    <s v="Roy Collins"/>
    <s v="6 Brookman Street"/>
    <s v="Perth"/>
    <x v="2"/>
    <x v="1"/>
    <x v="5"/>
    <s v="Critical"/>
    <s v="Smiths Gold Paper Clips"/>
    <s v="Office Supplies"/>
    <s v="Wrap Bag"/>
    <s v="Regular Air"/>
    <d v="2013-06-27T00:00:00"/>
    <n v="1.82"/>
    <n v="2.98"/>
    <n v="1.1599999999999999"/>
    <n v="3"/>
    <n v="8.94"/>
    <n v="0.09"/>
    <n v="0.80459999999999987"/>
    <n v="8.1353999999999989"/>
    <n v="1.58"/>
    <n v="9.7153999999999989"/>
  </r>
  <r>
    <s v="5148-1"/>
    <x v="60"/>
    <x v="0"/>
    <s v="Eugene Hildebrand"/>
    <s v="120 Hardware St,Melbourne"/>
    <s v="Melbourne"/>
    <x v="0"/>
    <x v="0"/>
    <x v="0"/>
    <s v="Medium"/>
    <s v="Economy Binders"/>
    <s v="Office Supplies"/>
    <s v="Small Box"/>
    <s v="Regular Air"/>
    <d v="2013-07-01T00:00:00"/>
    <n v="1.33"/>
    <n v="2.08"/>
    <n v="0.75"/>
    <n v="44"/>
    <n v="91.52000000000001"/>
    <n v="0.04"/>
    <n v="3.6608000000000005"/>
    <n v="87.859200000000016"/>
    <n v="1.49"/>
    <n v="89.34920000000001"/>
  </r>
  <r>
    <s v="5150-1"/>
    <x v="60"/>
    <x v="0"/>
    <s v="Adam Bellavance"/>
    <s v="106 Ebley Street,Bondi Junction"/>
    <s v="Sydney"/>
    <x v="1"/>
    <x v="3"/>
    <x v="2"/>
    <s v="Not Specified"/>
    <s v="HFX 6S Scientific Calculator"/>
    <s v="Technology"/>
    <s v="Medium Box"/>
    <s v="Regular Air"/>
    <d v="2013-07-01T00:00:00"/>
    <n v="7.92"/>
    <n v="12.99"/>
    <n v="5.07"/>
    <n v="49"/>
    <n v="636.51"/>
    <n v="7.0000000000000007E-2"/>
    <n v="44.555700000000002"/>
    <n v="591.95429999999999"/>
    <n v="9.44"/>
    <n v="601.39430000000004"/>
  </r>
  <r>
    <s v="5152-1"/>
    <x v="61"/>
    <x v="0"/>
    <s v="Mitch Gastineau"/>
    <s v="85-113 Dunning Ave,Rosebery"/>
    <s v="Sydney"/>
    <x v="1"/>
    <x v="3"/>
    <x v="11"/>
    <s v="Low"/>
    <s v="Beekin 105-Key Black Keyboard"/>
    <s v="Technology"/>
    <s v="Small Box"/>
    <s v="Regular Air"/>
    <d v="2013-07-04T00:00:00"/>
    <n v="6.39"/>
    <n v="19.98"/>
    <n v="13.59"/>
    <n v="19"/>
    <n v="379.62"/>
    <n v="0.08"/>
    <n v="30.369600000000002"/>
    <n v="349.25040000000001"/>
    <n v="4"/>
    <n v="353.25040000000001"/>
  </r>
  <r>
    <s v="5154-1"/>
    <x v="62"/>
    <x v="0"/>
    <s v="Stuart Calhoun"/>
    <s v="359 Crown Street,Surry Hills"/>
    <s v="Sydney"/>
    <x v="1"/>
    <x v="2"/>
    <x v="4"/>
    <s v="High"/>
    <s v="Laser Neon Mac Format Diskettes, 10/Pack"/>
    <s v="Technology"/>
    <s v="Small Pack"/>
    <s v="Express Air"/>
    <d v="2013-07-03T00:00:00"/>
    <n v="1.87"/>
    <n v="8.1199999999999992"/>
    <n v="6.2499999999999991"/>
    <n v="32"/>
    <n v="259.83999999999997"/>
    <n v="0.08"/>
    <n v="20.787199999999999"/>
    <n v="239.05279999999999"/>
    <n v="2.83"/>
    <n v="241.8828"/>
  </r>
  <r>
    <s v="5156-1"/>
    <x v="63"/>
    <x v="0"/>
    <s v="Denise Leinenbach"/>
    <s v="8 Rankins Lane ,Melbourne"/>
    <s v="Melbourne"/>
    <x v="0"/>
    <x v="0"/>
    <x v="1"/>
    <s v="High"/>
    <s v="Self-Adhesive Removable Labels"/>
    <s v="Office Supplies"/>
    <s v="Small Box"/>
    <s v="Regular Air"/>
    <d v="2013-07-05T00:00:00"/>
    <n v="1.98"/>
    <n v="3.15"/>
    <n v="1.17"/>
    <n v="23"/>
    <n v="72.45"/>
    <n v="0.01"/>
    <n v="0.72450000000000003"/>
    <n v="71.725499999999997"/>
    <n v="0.49"/>
    <n v="72.215499999999992"/>
  </r>
  <r>
    <s v="5158-1"/>
    <x v="63"/>
    <x v="0"/>
    <s v="Mitch Webber"/>
    <s v="Hoyts Entertainment Quarter 122 Lang Road,Moore Park"/>
    <s v="Sydney"/>
    <x v="1"/>
    <x v="1"/>
    <x v="8"/>
    <s v="Not Specified"/>
    <s v="TypeRight  Top-Opening Peel &amp; Seel Envelopes, Plain White"/>
    <s v="Office Supplies"/>
    <s v="Small Box"/>
    <s v="Regular Air"/>
    <d v="2013-07-05T00:00:00"/>
    <n v="16.850000000000001"/>
    <n v="27.18"/>
    <n v="10.329999999999998"/>
    <n v="34"/>
    <n v="924.12"/>
    <n v="0.1"/>
    <n v="92.412000000000006"/>
    <n v="831.70799999999997"/>
    <n v="8.23"/>
    <n v="839.93799999999999"/>
  </r>
  <r>
    <s v="5159-1"/>
    <x v="64"/>
    <x v="0"/>
    <s v="Sara Luxemburg"/>
    <s v="180 High Street,Windsor"/>
    <s v="Melbourne"/>
    <x v="0"/>
    <x v="3"/>
    <x v="1"/>
    <s v="Critical"/>
    <s v="Smiths Metal Binder Clips"/>
    <s v="Office Supplies"/>
    <s v="Wrap Bag"/>
    <s v="Regular Air"/>
    <d v="2013-07-05T00:00:00"/>
    <n v="1.6"/>
    <n v="2.62"/>
    <n v="1.02"/>
    <n v="21"/>
    <n v="55.02"/>
    <n v="0.05"/>
    <n v="2.7510000000000003"/>
    <n v="52.269000000000005"/>
    <n v="0.8"/>
    <n v="53.069000000000003"/>
  </r>
  <r>
    <s v="5160-1"/>
    <x v="65"/>
    <x v="0"/>
    <s v="Berenike Kampe"/>
    <s v="32/82 King Street, Perth"/>
    <s v="Melbourne"/>
    <x v="0"/>
    <x v="1"/>
    <x v="1"/>
    <s v="Not Specified"/>
    <s v="1726 Digital Answering Machine"/>
    <s v="Technology"/>
    <s v="Medium Box"/>
    <s v="Regular Air"/>
    <d v="2013-07-07T00:00:00"/>
    <n v="8.82"/>
    <n v="20.99"/>
    <n v="12.169999999999998"/>
    <n v="41"/>
    <n v="860.58999999999992"/>
    <n v="0.02"/>
    <n v="17.2118"/>
    <n v="843.37819999999988"/>
    <n v="4.8099999999999996"/>
    <n v="848.18819999999982"/>
  </r>
  <r>
    <s v="5160-2"/>
    <x v="65"/>
    <x v="0"/>
    <s v="Berenike Kampe"/>
    <s v="32/82 King Street, Perth"/>
    <s v="Melbourne"/>
    <x v="0"/>
    <x v="1"/>
    <x v="1"/>
    <s v="Not Specified"/>
    <s v="3Max Organizer Strips"/>
    <s v="Office Supplies"/>
    <s v="Small Box"/>
    <s v="Express Air"/>
    <d v="2013-07-07T00:00:00"/>
    <n v="3.4"/>
    <n v="5.4"/>
    <n v="2.0000000000000004"/>
    <n v="26"/>
    <n v="140.4"/>
    <n v="0.05"/>
    <n v="7.0200000000000005"/>
    <n v="133.38"/>
    <n v="7.78"/>
    <n v="141.16"/>
  </r>
  <r>
    <s v="5163-1"/>
    <x v="66"/>
    <x v="0"/>
    <s v="Aaron Smayling"/>
    <s v="1737 Botany Rd,Banksmeadow"/>
    <s v="Sydney"/>
    <x v="1"/>
    <x v="3"/>
    <x v="3"/>
    <s v="Medium"/>
    <s v="TypeRight  Top-Opening Peel &amp; Seel  Envelopes, Gray"/>
    <s v="Office Supplies"/>
    <s v="Small Box"/>
    <s v="Regular Air"/>
    <d v="2013-07-06T00:00:00"/>
    <n v="21.56"/>
    <n v="35.94"/>
    <n v="14.379999999999999"/>
    <n v="28"/>
    <n v="1006.3199999999999"/>
    <n v="0.01"/>
    <n v="10.0632"/>
    <n v="996.25679999999988"/>
    <n v="6.66"/>
    <n v="1002.9167999999999"/>
  </r>
  <r>
    <s v="5165-1"/>
    <x v="67"/>
    <x v="0"/>
    <s v="Julie Kriz"/>
    <s v="Macquarie Centre Cnr Herring Road &amp; Waterloo Road,Macquarie Park"/>
    <s v="Sydney"/>
    <x v="1"/>
    <x v="1"/>
    <x v="3"/>
    <s v="Critical"/>
    <s v="Artisan Non-Stick Binders"/>
    <s v="Office Supplies"/>
    <s v="Small Box"/>
    <s v="Regular Air"/>
    <d v="2013-07-10T00:00:00"/>
    <n v="2.74"/>
    <n v="4.49"/>
    <n v="1.75"/>
    <n v="11"/>
    <n v="49.39"/>
    <n v="0.08"/>
    <n v="3.9512"/>
    <n v="45.438800000000001"/>
    <n v="1.49"/>
    <n v="46.928800000000003"/>
  </r>
  <r>
    <s v="5166-1"/>
    <x v="67"/>
    <x v="0"/>
    <s v="Craig Carroll"/>
    <s v="99 Lygon Street,East Brunswick"/>
    <s v="Melbourne"/>
    <x v="0"/>
    <x v="1"/>
    <x v="1"/>
    <s v="Not Specified"/>
    <s v="DrawIt Colored Pencils"/>
    <s v="Office Supplies"/>
    <s v="Wrap Bag"/>
    <s v="Regular Air"/>
    <d v="2013-07-13T00:00:00"/>
    <n v="4.37"/>
    <n v="9.11"/>
    <n v="4.7399999999999993"/>
    <n v="6"/>
    <n v="54.66"/>
    <n v="0.04"/>
    <n v="2.1863999999999999"/>
    <n v="52.473599999999998"/>
    <n v="2.25"/>
    <n v="54.723599999999998"/>
  </r>
  <r>
    <s v="5168-1"/>
    <x v="68"/>
    <x v="0"/>
    <s v="Christy Brittain"/>
    <s v="Shop 1, 186-190 Church Street,Parramatta;46a Macleay Street,Potts Point"/>
    <s v="Sydney"/>
    <x v="1"/>
    <x v="2"/>
    <x v="11"/>
    <s v="Critical"/>
    <s v="Smiths Pen Style Liquid Stix; Assorted (yellow, pink, green, blue, orange), 5/Pack"/>
    <s v="Office Supplies"/>
    <s v="Wrap Bag"/>
    <s v="Regular Air"/>
    <d v="2013-07-16T00:00:00"/>
    <n v="3.88"/>
    <n v="6.47"/>
    <n v="2.59"/>
    <n v="20"/>
    <n v="129.4"/>
    <n v="0.02"/>
    <n v="2.5880000000000001"/>
    <n v="126.81200000000001"/>
    <n v="1.22"/>
    <n v="128.03200000000001"/>
  </r>
  <r>
    <s v="5168-2"/>
    <x v="68"/>
    <x v="0"/>
    <s v="Christy Brittain"/>
    <s v="Shop 1, 186-190 Church Street,Parramatta;46a Macleay Street,Potts Point"/>
    <s v="Sydney"/>
    <x v="1"/>
    <x v="2"/>
    <x v="11"/>
    <s v="Critical"/>
    <s v="Steady Liquid Accent Tank-Style Highlighters"/>
    <s v="Office Supplies"/>
    <s v="Wrap Bag"/>
    <s v="Regular Air"/>
    <d v="2013-07-17T00:00:00"/>
    <n v="1.31"/>
    <n v="2.84"/>
    <n v="1.5299999999999998"/>
    <n v="39"/>
    <n v="110.75999999999999"/>
    <n v="7.0000000000000007E-2"/>
    <n v="7.7532000000000005"/>
    <n v="103.00679999999998"/>
    <n v="0.93"/>
    <n v="103.93679999999999"/>
  </r>
  <r>
    <s v="5171-1"/>
    <x v="69"/>
    <x v="0"/>
    <s v="George Zrebassa"/>
    <s v="81 MacLeay St,Potts Point"/>
    <s v="Sydney"/>
    <x v="1"/>
    <x v="0"/>
    <x v="6"/>
    <s v="Critical"/>
    <s v="Bagged Rubber Bands"/>
    <s v="Office Supplies"/>
    <s v="Wrap Bag"/>
    <s v="Regular Air"/>
    <d v="2013-07-17T00:00:00"/>
    <n v="0.24"/>
    <n v="1.26"/>
    <n v="1.02"/>
    <n v="10"/>
    <n v="12.6"/>
    <n v="0.1"/>
    <n v="1.26"/>
    <n v="11.34"/>
    <n v="0.7"/>
    <n v="12.04"/>
  </r>
  <r>
    <s v="5173-1"/>
    <x v="69"/>
    <x v="0"/>
    <s v="Rob Haberlin"/>
    <s v="8 Rankins Lane ,Melbourne"/>
    <s v="Melbourne"/>
    <x v="0"/>
    <x v="1"/>
    <x v="1"/>
    <s v="High"/>
    <s v="Wirebound Voice Message Log Book"/>
    <s v="Office Supplies"/>
    <s v="Wrap Bag"/>
    <s v="Regular Air"/>
    <d v="2013-07-16T00:00:00"/>
    <n v="2.9"/>
    <n v="4.76"/>
    <n v="1.8599999999999999"/>
    <n v="13"/>
    <n v="61.879999999999995"/>
    <n v="7.0000000000000007E-2"/>
    <n v="4.3315999999999999"/>
    <n v="57.548399999999994"/>
    <n v="0.88"/>
    <n v="58.428399999999996"/>
  </r>
  <r>
    <s v="5174-1"/>
    <x v="70"/>
    <x v="0"/>
    <s v="Pauline Webber"/>
    <s v="499-501 Lygon Street,Carlton North"/>
    <s v="Melbourne"/>
    <x v="0"/>
    <x v="2"/>
    <x v="0"/>
    <s v="Low"/>
    <s v="UGen Ultra Cordless Optical Suite"/>
    <s v="Technology"/>
    <s v="Small Box"/>
    <s v="Express Air"/>
    <d v="2013-07-17T00:00:00"/>
    <n v="54.52"/>
    <n v="100.97"/>
    <n v="46.449999999999996"/>
    <n v="35"/>
    <n v="3533.95"/>
    <n v="0.05"/>
    <n v="176.69749999999999"/>
    <n v="3357.2524999999996"/>
    <n v="7.18"/>
    <n v="3364.4324999999994"/>
  </r>
  <r>
    <s v="5175-1"/>
    <x v="71"/>
    <x v="0"/>
    <s v="Ben Wallace"/>
    <s v="6 Brookman Street, Perth"/>
    <s v="Melbourne"/>
    <x v="0"/>
    <x v="0"/>
    <x v="0"/>
    <s v="Critical"/>
    <s v="Apex Elite Stainless Steel Scissors"/>
    <s v="Office Supplies"/>
    <s v="Small Pack"/>
    <s v="Express Air"/>
    <d v="2013-07-20T00:00:00"/>
    <n v="3.42"/>
    <n v="8.34"/>
    <n v="4.92"/>
    <n v="15"/>
    <n v="125.1"/>
    <n v="0"/>
    <n v="0"/>
    <n v="125.1"/>
    <n v="2.64"/>
    <n v="127.74"/>
  </r>
  <r>
    <s v="5177-1"/>
    <x v="72"/>
    <x v="0"/>
    <s v="Giulietta Dortch"/>
    <s v="180 High Street,Windsor"/>
    <s v="Melbourne"/>
    <x v="0"/>
    <x v="3"/>
    <x v="1"/>
    <s v="Critical"/>
    <s v="Artisan Printable Repositionable Plastic Tabs"/>
    <s v="Office Supplies"/>
    <s v="Small Box"/>
    <s v="Express Air"/>
    <d v="2013-07-22T00:00:00"/>
    <n v="5.33"/>
    <n v="8.6"/>
    <n v="3.2699999999999996"/>
    <n v="23"/>
    <n v="197.79999999999998"/>
    <n v="0.02"/>
    <n v="3.956"/>
    <n v="193.84399999999999"/>
    <n v="6.19"/>
    <n v="200.03399999999999"/>
  </r>
  <r>
    <s v="5178-1"/>
    <x v="73"/>
    <x v="0"/>
    <s v="Adam Shillingsburg"/>
    <s v="Westfield Parramatta,Parramatta"/>
    <s v="Sydney"/>
    <x v="1"/>
    <x v="1"/>
    <x v="7"/>
    <s v="High"/>
    <s v="Cando PC940 Copier"/>
    <s v="Technology"/>
    <s v="Jumbo Drum"/>
    <s v="Delivery Truck"/>
    <d v="2013-07-23T00:00:00"/>
    <n v="278.99"/>
    <n v="449.99"/>
    <n v="171"/>
    <n v="12"/>
    <n v="5399.88"/>
    <n v="0.06"/>
    <n v="323.99279999999999"/>
    <n v="5075.8872000000001"/>
    <n v="49"/>
    <n v="5124.8872000000001"/>
  </r>
  <r>
    <s v="5180-1"/>
    <x v="74"/>
    <x v="0"/>
    <s v="Rick Hansen"/>
    <s v="Macquarie Centre Cnr Herring Road &amp; Waterloo Road,Macquarie Park"/>
    <s v="Sydney"/>
    <x v="1"/>
    <x v="1"/>
    <x v="3"/>
    <s v="High"/>
    <s v="Economy Binders"/>
    <s v="Office Supplies"/>
    <s v="Small Box"/>
    <s v="Express Air"/>
    <d v="2013-07-23T00:00:00"/>
    <n v="1.33"/>
    <n v="2.08"/>
    <n v="0.75"/>
    <n v="11"/>
    <n v="22.880000000000003"/>
    <n v="0.01"/>
    <n v="0.22880000000000003"/>
    <n v="22.651200000000003"/>
    <n v="1.49"/>
    <n v="24.141200000000001"/>
  </r>
  <r>
    <s v="5181-1"/>
    <x v="74"/>
    <x v="0"/>
    <s v="Edward Becker"/>
    <s v="501 George St,Sydney"/>
    <s v="Sydney"/>
    <x v="1"/>
    <x v="1"/>
    <x v="6"/>
    <s v="Low"/>
    <s v="TechSavi Internet Navigator Keyboard"/>
    <s v="Technology"/>
    <s v="Small Box"/>
    <s v="Regular Air"/>
    <d v="2013-07-26T00:00:00"/>
    <n v="6.51"/>
    <n v="30.98"/>
    <n v="24.47"/>
    <n v="29"/>
    <n v="898.42"/>
    <n v="0.03"/>
    <n v="26.952599999999997"/>
    <n v="871.4674"/>
    <n v="6.5"/>
    <n v="877.9674"/>
  </r>
  <r>
    <s v="5183-1"/>
    <x v="75"/>
    <x v="0"/>
    <s v="Sean ODonnell"/>
    <s v="541 Church St ,Richmond"/>
    <s v="Melbourne"/>
    <x v="0"/>
    <x v="1"/>
    <x v="0"/>
    <s v="Not Specified"/>
    <s v="Artisan Hi-Liter Smear-Safe Highlighters"/>
    <s v="Office Supplies"/>
    <s v="Wrap Bag"/>
    <s v="Regular Air"/>
    <d v="2013-07-25T00:00:00"/>
    <n v="2.98"/>
    <n v="5.84"/>
    <n v="2.86"/>
    <n v="11"/>
    <n v="64.239999999999995"/>
    <n v="0.01"/>
    <n v="0.64239999999999997"/>
    <n v="63.597599999999993"/>
    <n v="0.83"/>
    <n v="64.427599999999998"/>
  </r>
  <r>
    <s v="5185-1"/>
    <x v="76"/>
    <x v="0"/>
    <s v="Karl Brown"/>
    <s v="470 Anzac Parade,Kingsford"/>
    <s v="Sydney"/>
    <x v="1"/>
    <x v="0"/>
    <x v="8"/>
    <s v="Critical"/>
    <s v="Artisan Hanging File Binders"/>
    <s v="Office Supplies"/>
    <s v="Small Box"/>
    <s v="Regular Air"/>
    <d v="2013-07-26T00:00:00"/>
    <n v="3.65"/>
    <n v="5.98"/>
    <n v="2.3300000000000005"/>
    <n v="14"/>
    <n v="83.72"/>
    <n v="0.09"/>
    <n v="7.5347999999999997"/>
    <n v="76.185199999999995"/>
    <n v="1.49"/>
    <n v="77.67519999999999"/>
  </r>
  <r>
    <s v="5186-1"/>
    <x v="77"/>
    <x v="0"/>
    <s v="Eric Barreto"/>
    <s v="14 Money Street"/>
    <s v="Perth"/>
    <x v="2"/>
    <x v="2"/>
    <x v="4"/>
    <s v="Low"/>
    <s v="Beekin 6 Outlet Metallic Surge Strip"/>
    <s v="Office Supplies"/>
    <s v="Small Box"/>
    <s v="Regular Air"/>
    <d v="2013-07-31T00:00:00"/>
    <n v="4.46"/>
    <n v="10.89"/>
    <n v="6.4300000000000006"/>
    <n v="37"/>
    <n v="402.93"/>
    <n v="0.06"/>
    <n v="24.175799999999999"/>
    <n v="378.75420000000003"/>
    <n v="4.5"/>
    <n v="383.25420000000003"/>
  </r>
  <r>
    <s v="5188-1"/>
    <x v="77"/>
    <x v="0"/>
    <s v="Charles Sheldon"/>
    <s v="180 High Street,Windsor"/>
    <s v="Melbourne"/>
    <x v="0"/>
    <x v="1"/>
    <x v="1"/>
    <s v="Low"/>
    <s v="TechSavi Internet Navigator Keyboard"/>
    <s v="Technology"/>
    <s v="Small Box"/>
    <s v="Regular Air"/>
    <d v="2013-07-28T00:00:00"/>
    <n v="6.51"/>
    <n v="30.98"/>
    <n v="24.47"/>
    <n v="8"/>
    <n v="247.84"/>
    <n v="0.01"/>
    <n v="2.4784000000000002"/>
    <n v="245.36160000000001"/>
    <n v="6.5"/>
    <n v="251.86160000000001"/>
  </r>
  <r>
    <s v="5189-1"/>
    <x v="78"/>
    <x v="0"/>
    <s v="Jesus Ocampo"/>
    <s v="60 Commercial Rd,Prahran"/>
    <s v="Melbourne"/>
    <x v="0"/>
    <x v="3"/>
    <x v="0"/>
    <s v="Low"/>
    <s v="Adesso Programmable 142-Key Keyboard"/>
    <s v="Technology"/>
    <s v="Small Box"/>
    <s v="Regular Air"/>
    <d v="2013-07-29T00:00:00"/>
    <n v="39.64"/>
    <n v="152.47999999999999"/>
    <n v="112.83999999999999"/>
    <n v="31"/>
    <n v="4726.88"/>
    <n v="7.0000000000000007E-2"/>
    <n v="330.88160000000005"/>
    <n v="4395.9984000000004"/>
    <n v="6.5"/>
    <n v="4402.4984000000004"/>
  </r>
  <r>
    <s v="5191-1"/>
    <x v="79"/>
    <x v="0"/>
    <s v="Thais Sissman"/>
    <s v="8 Orange Street"/>
    <s v="Perth"/>
    <x v="2"/>
    <x v="1"/>
    <x v="8"/>
    <s v="Not Specified"/>
    <s v="Fluorescent Highlighters by DrawIt"/>
    <s v="Office Supplies"/>
    <s v="Wrap Bag"/>
    <s v="Regular Air"/>
    <d v="2013-07-30T00:00:00"/>
    <n v="1.95"/>
    <n v="3.98"/>
    <n v="2.0300000000000002"/>
    <n v="30"/>
    <n v="119.4"/>
    <n v="0.1"/>
    <n v="11.940000000000001"/>
    <n v="107.46000000000001"/>
    <n v="0.83"/>
    <n v="108.29"/>
  </r>
  <r>
    <s v="5193-1"/>
    <x v="80"/>
    <x v="0"/>
    <s v="Nick Zandusky"/>
    <s v="224A Gertrude St,Fitzroy"/>
    <s v="Melbourne"/>
    <x v="0"/>
    <x v="3"/>
    <x v="1"/>
    <s v="Not Specified"/>
    <s v="Artisan 481 Labels"/>
    <s v="Office Supplies"/>
    <s v="Small Box"/>
    <s v="Regular Air"/>
    <d v="2013-07-30T00:00:00"/>
    <n v="1.94"/>
    <n v="3.08"/>
    <n v="1.1400000000000001"/>
    <n v="38"/>
    <n v="117.04"/>
    <n v="0.04"/>
    <n v="4.6816000000000004"/>
    <n v="112.3584"/>
    <n v="0.99"/>
    <n v="113.3484"/>
  </r>
  <r>
    <s v="5194-1"/>
    <x v="81"/>
    <x v="0"/>
    <s v="Corinna Mitchell"/>
    <s v="27 Greenfield Parade,Bankstown"/>
    <s v="Sydney"/>
    <x v="1"/>
    <x v="1"/>
    <x v="3"/>
    <s v="Not Specified"/>
    <s v="Emerson C82 Color Inkjet Printer"/>
    <s v="Technology"/>
    <s v="Jumbo Drum"/>
    <s v="Delivery Truck"/>
    <d v="2013-07-31T00:00:00"/>
    <n v="76.790000000000006"/>
    <n v="119.99"/>
    <n v="43.199999999999989"/>
    <n v="24"/>
    <n v="2879.7599999999998"/>
    <n v="0.02"/>
    <n v="57.595199999999998"/>
    <n v="2822.1647999999996"/>
    <n v="14"/>
    <n v="2836.1647999999996"/>
  </r>
  <r>
    <s v="5195-1"/>
    <x v="82"/>
    <x v="0"/>
    <s v="Alex Grayson"/>
    <s v="74 Lindsay Street, Perth"/>
    <s v="Sydney"/>
    <x v="1"/>
    <x v="2"/>
    <x v="13"/>
    <s v="Medium"/>
    <s v="Artisan Durable Binders"/>
    <s v="Office Supplies"/>
    <s v="Small Box"/>
    <s v="Regular Air"/>
    <d v="2013-08-01T00:00:00"/>
    <n v="1.84"/>
    <n v="2.88"/>
    <n v="1.0399999999999998"/>
    <n v="11"/>
    <n v="31.68"/>
    <n v="0.09"/>
    <n v="2.8512"/>
    <n v="28.828800000000001"/>
    <n v="1.49"/>
    <n v="30.3188"/>
  </r>
  <r>
    <s v="5195-2"/>
    <x v="82"/>
    <x v="0"/>
    <s v="Alex Grayson"/>
    <s v="75 Lindsay Street, Perth"/>
    <s v="Sydney"/>
    <x v="1"/>
    <x v="2"/>
    <x v="13"/>
    <s v="Medium"/>
    <s v="Beekin 105-Key Black Keyboard"/>
    <s v="Technology"/>
    <s v="Small Box"/>
    <s v="Regular Air"/>
    <d v="2013-08-02T00:00:00"/>
    <n v="6.39"/>
    <n v="19.98"/>
    <n v="13.59"/>
    <n v="43"/>
    <n v="859.14"/>
    <n v="0.1"/>
    <n v="85.914000000000001"/>
    <n v="773.226"/>
    <n v="4"/>
    <n v="777.226"/>
  </r>
  <r>
    <s v="5198-1"/>
    <x v="83"/>
    <x v="0"/>
    <s v="Chuck Magee"/>
    <s v="1-2/299 Sussex St,Sydney"/>
    <s v="Sydney"/>
    <x v="1"/>
    <x v="1"/>
    <x v="9"/>
    <s v="Not Specified"/>
    <s v="Pizazz Drawing Pencil Set"/>
    <s v="Office Supplies"/>
    <s v="Wrap Bag"/>
    <s v="Express Air"/>
    <d v="2013-08-04T00:00:00"/>
    <n v="1.53"/>
    <n v="2.78"/>
    <n v="1.2499999999999998"/>
    <n v="40"/>
    <n v="111.19999999999999"/>
    <n v="0.03"/>
    <n v="3.3359999999999994"/>
    <n v="107.86399999999999"/>
    <n v="1.34"/>
    <n v="109.20399999999999"/>
  </r>
  <r>
    <s v="5200-1"/>
    <x v="84"/>
    <x v="0"/>
    <s v="Seth Vernon"/>
    <s v="541 Church St,Richmond"/>
    <s v="Melbourne"/>
    <x v="0"/>
    <x v="0"/>
    <x v="0"/>
    <s v="Critical"/>
    <s v="Artisan Poly Binder Pockets"/>
    <s v="Office Supplies"/>
    <s v="Small Box"/>
    <s v="Regular Air"/>
    <d v="2013-08-08T00:00:00"/>
    <n v="2.2599999999999998"/>
    <n v="3.58"/>
    <n v="1.3200000000000003"/>
    <n v="46"/>
    <n v="164.68"/>
    <n v="0.06"/>
    <n v="9.8808000000000007"/>
    <n v="154.79920000000001"/>
    <n v="5.47"/>
    <n v="160.26920000000001"/>
  </r>
  <r>
    <s v="5201-1"/>
    <x v="85"/>
    <x v="0"/>
    <s v="Vivian Mathis"/>
    <s v="Crown Complex,Southbank"/>
    <s v="Melbourne"/>
    <x v="0"/>
    <x v="0"/>
    <x v="0"/>
    <s v="High"/>
    <s v="Barrel Sharpener"/>
    <s v="Office Supplies"/>
    <s v="Small Pack"/>
    <s v="Regular Air"/>
    <d v="2013-08-09T00:00:00"/>
    <n v="1.46"/>
    <n v="3.57"/>
    <n v="2.11"/>
    <n v="23"/>
    <n v="82.11"/>
    <n v="0.09"/>
    <n v="7.3898999999999999"/>
    <n v="74.720100000000002"/>
    <n v="4.17"/>
    <n v="78.890100000000004"/>
  </r>
  <r>
    <s v="5202-1"/>
    <x v="86"/>
    <x v="0"/>
    <s v="Harold Ryan"/>
    <s v="4A Lyons St,Strathfield"/>
    <s v="Sydney"/>
    <x v="1"/>
    <x v="0"/>
    <x v="8"/>
    <s v="Not Specified"/>
    <s v="TechSavi Internet Navigator Keyboard"/>
    <s v="Technology"/>
    <s v="Small Box"/>
    <s v="Express Air"/>
    <d v="2013-08-09T00:00:00"/>
    <n v="6.51"/>
    <n v="30.98"/>
    <n v="24.47"/>
    <n v="44"/>
    <n v="1363.1200000000001"/>
    <n v="0.02"/>
    <n v="27.262400000000003"/>
    <n v="1335.8576"/>
    <n v="6.5"/>
    <n v="1342.3576"/>
  </r>
  <r>
    <s v="5204-1"/>
    <x v="87"/>
    <x v="0"/>
    <s v="Kean Takahito"/>
    <s v="21 Wentworth St,Parramatta"/>
    <s v="Sydney"/>
    <x v="1"/>
    <x v="0"/>
    <x v="9"/>
    <s v="Not Specified"/>
    <s v="Binding Machine Supplies"/>
    <s v="Office Supplies"/>
    <s v="Small Box"/>
    <s v="Regular Air"/>
    <d v="2013-08-10T00:00:00"/>
    <n v="18.38"/>
    <n v="29.17"/>
    <n v="10.790000000000003"/>
    <n v="8"/>
    <n v="233.36"/>
    <n v="0.02"/>
    <n v="4.6672000000000002"/>
    <n v="228.69280000000001"/>
    <n v="6.27"/>
    <n v="234.96280000000002"/>
  </r>
  <r>
    <s v="5206-1"/>
    <x v="87"/>
    <x v="0"/>
    <s v="Tony Sayre"/>
    <s v="499-501 Lygon Street,Carlton North"/>
    <s v="Melbourne"/>
    <x v="0"/>
    <x v="3"/>
    <x v="0"/>
    <s v="Low"/>
    <s v="Cando PC940 Copier"/>
    <s v="Technology"/>
    <s v="Large Box"/>
    <s v="Regular Air"/>
    <d v="2013-08-13T00:00:00"/>
    <n v="216"/>
    <n v="449.99"/>
    <n v="233.99"/>
    <n v="40"/>
    <n v="17999.599999999999"/>
    <n v="0.04"/>
    <n v="719.98399999999992"/>
    <n v="17279.615999999998"/>
    <n v="24.49"/>
    <n v="17304.106"/>
  </r>
  <r>
    <s v="5207-1"/>
    <x v="87"/>
    <x v="0"/>
    <s v="Aaron Bergman"/>
    <s v="Westfield Sydney,Sydney"/>
    <s v="Sydney"/>
    <x v="1"/>
    <x v="1"/>
    <x v="5"/>
    <s v="Low"/>
    <s v="Cando S750 Color Inkjet Printer"/>
    <s v="Technology"/>
    <s v="Jumbo Drum"/>
    <s v="Delivery Truck"/>
    <d v="2013-08-16T00:00:00"/>
    <n v="75"/>
    <n v="120.97"/>
    <n v="45.97"/>
    <n v="35"/>
    <n v="4233.95"/>
    <n v="0.08"/>
    <n v="338.71600000000001"/>
    <n v="3895.2339999999999"/>
    <n v="26.3"/>
    <n v="3921.5340000000001"/>
  </r>
  <r>
    <s v="5208-1"/>
    <x v="88"/>
    <x v="0"/>
    <s v="Edward Hooks"/>
    <s v="224A Gertrude St,Fitzroy"/>
    <s v="Melbourne"/>
    <x v="0"/>
    <x v="2"/>
    <x v="1"/>
    <s v="High"/>
    <s v="Binder Posts"/>
    <s v="Office Supplies"/>
    <s v="Small Box"/>
    <s v="Regular Air"/>
    <d v="2013-08-12T00:00:00"/>
    <n v="3.5"/>
    <n v="5.74"/>
    <n v="2.2400000000000002"/>
    <n v="50"/>
    <n v="287"/>
    <n v="0.1"/>
    <n v="28.700000000000003"/>
    <n v="258.3"/>
    <n v="5.01"/>
    <n v="263.31"/>
  </r>
  <r>
    <s v="5209-1"/>
    <x v="89"/>
    <x v="0"/>
    <s v="Liz Willingham"/>
    <s v="60 Commercial Rd,Prahran"/>
    <s v="Melbourne"/>
    <x v="0"/>
    <x v="1"/>
    <x v="0"/>
    <s v="Low"/>
    <s v="Binder Clips by OIC"/>
    <s v="Office Supplies"/>
    <s v="Wrap Bag"/>
    <s v="Regular Air"/>
    <d v="2013-08-13T00:00:00"/>
    <n v="0.93"/>
    <n v="1.48"/>
    <n v="0.54999999999999993"/>
    <n v="19"/>
    <n v="28.12"/>
    <n v="0.09"/>
    <n v="2.5308000000000002"/>
    <n v="25.589200000000002"/>
    <n v="0.7"/>
    <n v="26.289200000000001"/>
  </r>
  <r>
    <s v="5211-1"/>
    <x v="90"/>
    <x v="0"/>
    <s v="Dave Poirier"/>
    <s v="402 Argyle St,Moss Vale"/>
    <s v="Sydney"/>
    <x v="1"/>
    <x v="3"/>
    <x v="5"/>
    <s v="High"/>
    <s v="Economy Rollaway Files"/>
    <s v="Office Supplies"/>
    <s v="Small Box"/>
    <s v="Express Air"/>
    <d v="2013-08-14T00:00:00"/>
    <n v="67.73"/>
    <n v="165.2"/>
    <n v="97.469999999999985"/>
    <n v="37"/>
    <n v="6112.4"/>
    <n v="0.04"/>
    <n v="244.49599999999998"/>
    <n v="5867.9039999999995"/>
    <n v="19.989999999999998"/>
    <n v="5887.8939999999993"/>
  </r>
  <r>
    <s v="5212-1"/>
    <x v="91"/>
    <x v="0"/>
    <s v="Justin Knight"/>
    <s v="Macquarie Centre Cnr Herring Road &amp; Waterloo Road,Macquarie Park"/>
    <s v="Sydney"/>
    <x v="1"/>
    <x v="1"/>
    <x v="3"/>
    <s v="Low"/>
    <s v="Self-Adhesive Ring Binder Labels"/>
    <s v="Office Supplies"/>
    <s v="Small Box"/>
    <s v="Regular Air"/>
    <d v="2013-08-23T00:00:00"/>
    <n v="2.1800000000000002"/>
    <n v="3.52"/>
    <n v="1.3399999999999999"/>
    <n v="12"/>
    <n v="42.24"/>
    <n v="0.04"/>
    <n v="1.6896000000000002"/>
    <n v="40.550400000000003"/>
    <n v="6.83"/>
    <n v="47.380400000000002"/>
  </r>
  <r>
    <s v="5213-1"/>
    <x v="92"/>
    <x v="0"/>
    <s v="Aaron Bergman"/>
    <s v="Westfield Sydney,Sydney"/>
    <s v="Sydney"/>
    <x v="1"/>
    <x v="1"/>
    <x v="5"/>
    <s v="High"/>
    <s v="Steady Liquid Accent Tank-Style Highlighters"/>
    <s v="Office Supplies"/>
    <s v="Wrap Bag"/>
    <s v="Express Air"/>
    <d v="2013-08-16T00:00:00"/>
    <n v="1.31"/>
    <n v="2.84"/>
    <n v="1.5299999999999998"/>
    <n v="13"/>
    <n v="36.92"/>
    <n v="0.01"/>
    <n v="0.36920000000000003"/>
    <n v="36.550800000000002"/>
    <n v="0.93"/>
    <n v="37.480800000000002"/>
  </r>
  <r>
    <s v="5214-1"/>
    <x v="93"/>
    <x v="0"/>
    <s v="Valerie Dominguez"/>
    <s v="37/59 Brewer Street"/>
    <s v="Perth"/>
    <x v="2"/>
    <x v="1"/>
    <x v="8"/>
    <s v="Not Specified"/>
    <s v="EcoTones Memo Sheets"/>
    <s v="Office Supplies"/>
    <s v="Wrap Bag"/>
    <s v="Regular Air"/>
    <d v="2013-08-17T00:00:00"/>
    <n v="2.52"/>
    <n v="4"/>
    <n v="1.48"/>
    <n v="41"/>
    <n v="164"/>
    <n v="0.02"/>
    <n v="3.2800000000000002"/>
    <n v="160.72"/>
    <n v="1.3"/>
    <n v="162.02000000000001"/>
  </r>
  <r>
    <s v="5215-1"/>
    <x v="94"/>
    <x v="0"/>
    <s v="Jennifer Patt"/>
    <s v="523 King St,Newtown"/>
    <s v="Sydney"/>
    <x v="1"/>
    <x v="0"/>
    <x v="9"/>
    <s v="High"/>
    <s v="3Max Polarizing Task Lamp with Clamp Arm, Light Gray"/>
    <s v="Furniture"/>
    <s v="Large Box"/>
    <s v="Express Air"/>
    <d v="2013-08-22T00:00:00"/>
    <n v="56.16"/>
    <n v="136.97999999999999"/>
    <n v="80.819999999999993"/>
    <n v="41"/>
    <n v="5616.1799999999994"/>
    <n v="0.04"/>
    <n v="224.64719999999997"/>
    <n v="5391.532799999999"/>
    <n v="24.49"/>
    <n v="5416.0227999999988"/>
  </r>
  <r>
    <s v="5216-1"/>
    <x v="94"/>
    <x v="0"/>
    <s v="Cynthia Arntzen"/>
    <s v="Hoyts Entertainment Quarter 122 Lang Road,Moore Park"/>
    <s v="Sydney"/>
    <x v="1"/>
    <x v="3"/>
    <x v="8"/>
    <s v="Low"/>
    <s v="Steady Liquid Accent Highlighters"/>
    <s v="Office Supplies"/>
    <s v="Wrap Bag"/>
    <s v="Regular Air"/>
    <d v="2013-08-22T00:00:00"/>
    <n v="3.47"/>
    <n v="6.68"/>
    <n v="3.2099999999999995"/>
    <n v="5"/>
    <n v="33.4"/>
    <n v="0.09"/>
    <n v="3.0059999999999998"/>
    <n v="30.393999999999998"/>
    <n v="1.5"/>
    <n v="31.893999999999998"/>
  </r>
  <r>
    <s v="5218-1"/>
    <x v="95"/>
    <x v="0"/>
    <s v="Bradley Drucker"/>
    <s v="1 John St,Waterloo"/>
    <s v="Sydney"/>
    <x v="1"/>
    <x v="3"/>
    <x v="10"/>
    <s v="Low"/>
    <s v="Economy Rollaway Files"/>
    <s v="Office Supplies"/>
    <s v="Small Box"/>
    <s v="Regular Air"/>
    <d v="2013-08-24T00:00:00"/>
    <n v="67.73"/>
    <n v="165.2"/>
    <n v="97.469999999999985"/>
    <n v="23"/>
    <n v="3799.6"/>
    <n v="7.0000000000000007E-2"/>
    <n v="265.97200000000004"/>
    <n v="3533.6279999999997"/>
    <n v="19.989999999999998"/>
    <n v="3553.6179999999995"/>
  </r>
  <r>
    <s v="5220-1"/>
    <x v="96"/>
    <x v="0"/>
    <s v="Skye Norling"/>
    <s v="48 Albion St,Surry Hills"/>
    <s v="Sydney"/>
    <x v="1"/>
    <x v="0"/>
    <x v="5"/>
    <s v="Not Specified"/>
    <s v="Apex Straight Scissors"/>
    <s v="Office Supplies"/>
    <s v="Small Pack"/>
    <s v="Regular Air"/>
    <d v="2013-08-27T00:00:00"/>
    <n v="5.19"/>
    <n v="12.98"/>
    <n v="7.79"/>
    <n v="45"/>
    <n v="584.1"/>
    <n v="0.02"/>
    <n v="11.682"/>
    <n v="572.41800000000001"/>
    <n v="3.14"/>
    <n v="575.55799999999999"/>
  </r>
  <r>
    <s v="5221-1"/>
    <x v="97"/>
    <x v="0"/>
    <s v="Bruce Degenhardt"/>
    <s v="501 George St,Sydney"/>
    <s v="Sydney"/>
    <x v="1"/>
    <x v="0"/>
    <x v="6"/>
    <s v="Not Specified"/>
    <s v="Smiths General Use 3-Ring Binders"/>
    <s v="Office Supplies"/>
    <s v="Small Box"/>
    <s v="Regular Air"/>
    <d v="2013-08-26T00:00:00"/>
    <n v="1.18"/>
    <n v="1.88"/>
    <n v="0.7"/>
    <n v="42"/>
    <n v="78.959999999999994"/>
    <n v="0"/>
    <n v="0"/>
    <n v="78.959999999999994"/>
    <n v="1.49"/>
    <n v="80.449999999999989"/>
  </r>
  <r>
    <s v="5222-1"/>
    <x v="97"/>
    <x v="0"/>
    <s v="John Castell"/>
    <s v="38/133-145 Castlereagh St,Sydney"/>
    <s v="Sydney"/>
    <x v="1"/>
    <x v="3"/>
    <x v="5"/>
    <s v="Medium"/>
    <s v="Smiths Standard Envelopes"/>
    <s v="Office Supplies"/>
    <s v="Small Box"/>
    <s v="Regular Air"/>
    <d v="2013-08-26T00:00:00"/>
    <n v="3.52"/>
    <n v="5.68"/>
    <n v="2.1599999999999997"/>
    <n v="32"/>
    <n v="181.76"/>
    <n v="0.05"/>
    <n v="9.0879999999999992"/>
    <n v="172.672"/>
    <n v="1.39"/>
    <n v="174.06199999999998"/>
  </r>
  <r>
    <s v="5224-1"/>
    <x v="98"/>
    <x v="0"/>
    <s v="Neil French"/>
    <s v="523 King St,Newtown"/>
    <s v="Sydney"/>
    <x v="1"/>
    <x v="2"/>
    <x v="9"/>
    <s v="Not Specified"/>
    <s v="Artisan 481 Labels"/>
    <s v="Office Supplies"/>
    <s v="Small Box"/>
    <s v="Regular Air"/>
    <d v="2013-08-29T00:00:00"/>
    <n v="1.94"/>
    <n v="3.08"/>
    <n v="1.1400000000000001"/>
    <n v="45"/>
    <n v="138.6"/>
    <n v="0.04"/>
    <n v="5.5439999999999996"/>
    <n v="133.05599999999998"/>
    <n v="0.99"/>
    <n v="134.04599999999999"/>
  </r>
  <r>
    <s v="5225-1"/>
    <x v="99"/>
    <x v="0"/>
    <s v="John Castell"/>
    <s v="38/133-145 Castlereagh St,Sydney"/>
    <s v="Sydney"/>
    <x v="1"/>
    <x v="2"/>
    <x v="5"/>
    <s v="Not Specified"/>
    <s v="Artisan Premier Heavy-Duty Binder with Round Locking Rings"/>
    <s v="Office Supplies"/>
    <s v="Small Box"/>
    <s v="Regular Air"/>
    <d v="2013-08-30T00:00:00"/>
    <n v="8.7100000000000009"/>
    <n v="14.28"/>
    <n v="5.5699999999999985"/>
    <n v="8"/>
    <n v="114.24"/>
    <n v="0.01"/>
    <n v="1.1424000000000001"/>
    <n v="113.0976"/>
    <n v="2.99"/>
    <n v="116.08759999999999"/>
  </r>
  <r>
    <s v="5226-1"/>
    <x v="99"/>
    <x v="0"/>
    <s v="Nancy Lomonaco"/>
    <s v="523 King St,Newtown"/>
    <s v="Sydney"/>
    <x v="1"/>
    <x v="0"/>
    <x v="9"/>
    <s v="Low"/>
    <s v="TechSavi Cordless Elite Duo"/>
    <s v="Technology"/>
    <s v="Small Box"/>
    <s v="Regular Air"/>
    <d v="2013-09-03T00:00:00"/>
    <n v="60.59"/>
    <n v="100.98"/>
    <n v="40.39"/>
    <n v="12"/>
    <n v="1211.76"/>
    <n v="0.04"/>
    <n v="48.470399999999998"/>
    <n v="1163.2896000000001"/>
    <n v="7.18"/>
    <n v="1170.4696000000001"/>
  </r>
  <r>
    <s v="5227-1"/>
    <x v="100"/>
    <x v="0"/>
    <s v="Nancy Lomonaco"/>
    <s v="523 King St,Newtown"/>
    <s v="Sydney"/>
    <x v="1"/>
    <x v="0"/>
    <x v="9"/>
    <s v="Medium"/>
    <s v="Artisan Binder Labels"/>
    <s v="Office Supplies"/>
    <s v="Small Box"/>
    <s v="Express Air"/>
    <d v="2013-09-01T00:00:00"/>
    <n v="2.4500000000000002"/>
    <n v="3.89"/>
    <n v="1.44"/>
    <n v="32"/>
    <n v="124.48"/>
    <n v="0.09"/>
    <n v="11.203200000000001"/>
    <n v="113.27680000000001"/>
    <n v="7.01"/>
    <n v="120.28680000000001"/>
  </r>
  <r>
    <s v="5229-1"/>
    <x v="101"/>
    <x v="0"/>
    <s v="Carol Triggs"/>
    <s v="15 Aberdeen Street"/>
    <s v="Perth"/>
    <x v="2"/>
    <x v="0"/>
    <x v="13"/>
    <s v="Critical"/>
    <s v="Smiths General Use 3-Ring Binders"/>
    <s v="Office Supplies"/>
    <s v="Small Box"/>
    <s v="Regular Air"/>
    <d v="2013-09-02T00:00:00"/>
    <n v="1.18"/>
    <n v="1.88"/>
    <n v="0.7"/>
    <n v="43"/>
    <n v="80.839999999999989"/>
    <n v="0.03"/>
    <n v="2.4251999999999998"/>
    <n v="78.414799999999985"/>
    <n v="1.49"/>
    <n v="79.90479999999998"/>
  </r>
  <r>
    <s v="5231-1"/>
    <x v="102"/>
    <x v="0"/>
    <s v="Andrew Allen"/>
    <s v="15 Aberdeen Street, Perth"/>
    <s v="Sydney"/>
    <x v="1"/>
    <x v="1"/>
    <x v="4"/>
    <s v="High"/>
    <s v="Beekin 6 Outlet Metallic Surge Strip"/>
    <s v="Office Supplies"/>
    <s v="Small Box"/>
    <s v="Regular Air"/>
    <d v="2013-09-03T00:00:00"/>
    <n v="4.46"/>
    <n v="10.89"/>
    <n v="6.4300000000000006"/>
    <n v="9"/>
    <n v="98.01"/>
    <n v="0.03"/>
    <n v="2.9403000000000001"/>
    <n v="95.069700000000012"/>
    <n v="4.5"/>
    <n v="99.569700000000012"/>
  </r>
  <r>
    <s v="5232-1"/>
    <x v="103"/>
    <x v="0"/>
    <s v="Rob Haberlin"/>
    <s v="8 Rankins Lane ,Melbourne"/>
    <s v="Melbourne"/>
    <x v="0"/>
    <x v="1"/>
    <x v="1"/>
    <s v="Low"/>
    <s v="Barrel Sharpener"/>
    <s v="Office Supplies"/>
    <s v="Small Pack"/>
    <s v="Regular Air"/>
    <d v="2013-09-05T00:00:00"/>
    <n v="1.46"/>
    <n v="3.57"/>
    <n v="2.11"/>
    <n v="26"/>
    <n v="92.82"/>
    <n v="0.04"/>
    <n v="3.7127999999999997"/>
    <n v="89.107199999999992"/>
    <n v="4.17"/>
    <n v="93.277199999999993"/>
  </r>
  <r>
    <s v="5234-1"/>
    <x v="104"/>
    <x v="0"/>
    <s v="Darrin Martin"/>
    <s v="221 Barkly St,St Kilda"/>
    <s v="Melbourne"/>
    <x v="0"/>
    <x v="3"/>
    <x v="0"/>
    <s v="Not Specified"/>
    <s v="Alto Memo Cubes"/>
    <s v="Office Supplies"/>
    <s v="Wrap Bag"/>
    <s v="Express Air"/>
    <d v="2013-09-06T00:00:00"/>
    <n v="3.32"/>
    <n v="5.18"/>
    <n v="1.8599999999999999"/>
    <n v="37"/>
    <n v="191.66"/>
    <n v="7.0000000000000007E-2"/>
    <n v="13.416200000000002"/>
    <n v="178.24379999999999"/>
    <n v="2.04"/>
    <n v="180.28379999999999"/>
  </r>
  <r>
    <s v="5235-1"/>
    <x v="104"/>
    <x v="0"/>
    <s v="Max Ludwig"/>
    <s v="6-8 O'Connell Street,Newtown"/>
    <s v="Sydney"/>
    <x v="1"/>
    <x v="1"/>
    <x v="3"/>
    <s v="Low"/>
    <s v="Artisan 48 Labels"/>
    <s v="Office Supplies"/>
    <s v="Small Box"/>
    <s v="Regular Air"/>
    <d v="2013-09-09T00:00:00"/>
    <n v="3.84"/>
    <n v="6.3"/>
    <n v="2.46"/>
    <n v="39"/>
    <n v="245.7"/>
    <n v="0.1"/>
    <n v="24.57"/>
    <n v="221.13"/>
    <n v="0.5"/>
    <n v="221.63"/>
  </r>
  <r>
    <s v="5236-1"/>
    <x v="105"/>
    <x v="0"/>
    <s v="Liz Price"/>
    <s v="Sydney Fish Market, Bank Street, Sydney"/>
    <s v="Sydney"/>
    <x v="1"/>
    <x v="1"/>
    <x v="4"/>
    <s v="Not Specified"/>
    <s v="Artisan 481 Labels"/>
    <s v="Office Supplies"/>
    <s v="Small Box"/>
    <s v="Regular Air"/>
    <d v="2013-09-10T00:00:00"/>
    <n v="1.94"/>
    <n v="3.08"/>
    <n v="1.1400000000000001"/>
    <n v="24"/>
    <n v="73.92"/>
    <n v="0.04"/>
    <n v="2.9568000000000003"/>
    <n v="70.963200000000001"/>
    <n v="0.99"/>
    <n v="71.953199999999995"/>
  </r>
  <r>
    <s v="5238-1"/>
    <x v="106"/>
    <x v="0"/>
    <s v="Grant Thornton"/>
    <s v="98 Holdsworth Street,Woollahra"/>
    <s v="Sydney"/>
    <x v="1"/>
    <x v="1"/>
    <x v="5"/>
    <s v="Not Specified"/>
    <s v="Artisan Hi-Liter Fluorescent Desk Style Markers"/>
    <s v="Office Supplies"/>
    <s v="Wrap Bag"/>
    <s v="Regular Air"/>
    <d v="2013-09-12T00:00:00"/>
    <n v="1.76"/>
    <n v="3.38"/>
    <n v="1.6199999999999999"/>
    <n v="27"/>
    <n v="91.259999999999991"/>
    <n v="0.08"/>
    <n v="7.3007999999999997"/>
    <n v="83.959199999999996"/>
    <n v="0.85"/>
    <n v="84.80919999999999"/>
  </r>
  <r>
    <s v="5239-1"/>
    <x v="107"/>
    <x v="0"/>
    <s v="Victoria Brennan"/>
    <s v="Westfield 1 Anderson St,Chatswood"/>
    <s v="Sydney"/>
    <x v="1"/>
    <x v="3"/>
    <x v="3"/>
    <s v="Critical"/>
    <s v="Beekin 6 Outlet Metallic Surge Strip"/>
    <s v="Office Supplies"/>
    <s v="Small Box"/>
    <s v="Regular Air"/>
    <d v="2013-09-14T00:00:00"/>
    <n v="4.46"/>
    <n v="10.89"/>
    <n v="6.4300000000000006"/>
    <n v="37"/>
    <n v="402.93"/>
    <n v="0.1"/>
    <n v="40.293000000000006"/>
    <n v="362.637"/>
    <n v="4.5"/>
    <n v="367.137"/>
  </r>
  <r>
    <s v="5240-1"/>
    <x v="107"/>
    <x v="0"/>
    <s v="Sarah Brown"/>
    <s v="10 O'Connell St,Sydney"/>
    <s v="Sydney"/>
    <x v="1"/>
    <x v="2"/>
    <x v="9"/>
    <s v="Not Specified"/>
    <s v="Security-Tint Envelopes"/>
    <s v="Office Supplies"/>
    <s v="Small Box"/>
    <s v="Regular Air"/>
    <d v="2013-09-15T00:00:00"/>
    <n v="4.8899999999999997"/>
    <n v="7.64"/>
    <n v="2.75"/>
    <n v="44"/>
    <n v="336.15999999999997"/>
    <n v="0.01"/>
    <n v="3.3615999999999997"/>
    <n v="332.79839999999996"/>
    <n v="1.39"/>
    <n v="334.18839999999994"/>
  </r>
  <r>
    <s v="5241-1"/>
    <x v="107"/>
    <x v="0"/>
    <s v="Michael Granlund"/>
    <s v="359 Crown Street,Surry Hills"/>
    <s v="Sydney"/>
    <x v="1"/>
    <x v="1"/>
    <x v="4"/>
    <s v="Medium"/>
    <s v="TechSavi Cordless Navigator Duo"/>
    <s v="Technology"/>
    <s v="Small Box"/>
    <s v="Regular Air"/>
    <d v="2013-09-14T00:00:00"/>
    <n v="42.11"/>
    <n v="80.98"/>
    <n v="38.870000000000005"/>
    <n v="34"/>
    <n v="2753.32"/>
    <n v="7.0000000000000007E-2"/>
    <n v="192.73240000000004"/>
    <n v="2560.5876000000003"/>
    <n v="7.18"/>
    <n v="2567.7676000000001"/>
  </r>
  <r>
    <s v="5242-1"/>
    <x v="108"/>
    <x v="0"/>
    <s v="Jasper Cacioppo"/>
    <s v="14 Knebworth Avenue"/>
    <s v="Perth"/>
    <x v="2"/>
    <x v="0"/>
    <x v="13"/>
    <s v="Low"/>
    <s v="Apex Preferred Stainless Steel Scissors"/>
    <s v="Office Supplies"/>
    <s v="Small Pack"/>
    <s v="Express Air"/>
    <d v="2013-09-18T00:00:00"/>
    <n v="2.5"/>
    <n v="5.68"/>
    <n v="3.1799999999999997"/>
    <n v="46"/>
    <n v="261.27999999999997"/>
    <n v="0.1"/>
    <n v="26.128"/>
    <n v="235.15199999999999"/>
    <n v="3.6"/>
    <n v="238.75199999999998"/>
  </r>
  <r>
    <s v="5244-1"/>
    <x v="109"/>
    <x v="0"/>
    <s v="Marina Lichtenstein"/>
    <s v="188 Pitt Street,Sydney"/>
    <s v="Sydney"/>
    <x v="1"/>
    <x v="1"/>
    <x v="8"/>
    <s v="High"/>
    <s v="Binder Posts"/>
    <s v="Office Supplies"/>
    <s v="Small Box"/>
    <s v="Regular Air"/>
    <d v="2013-09-19T00:00:00"/>
    <n v="3.5"/>
    <n v="5.74"/>
    <n v="2.2400000000000002"/>
    <n v="3"/>
    <n v="17.22"/>
    <n v="0.08"/>
    <n v="1.3775999999999999"/>
    <n v="15.8424"/>
    <n v="5.01"/>
    <n v="20.852399999999999"/>
  </r>
  <r>
    <s v="5246-1"/>
    <x v="110"/>
    <x v="0"/>
    <s v="Fred Wasserman"/>
    <s v="61 York St,Sydney"/>
    <s v="Sydney"/>
    <x v="1"/>
    <x v="0"/>
    <x v="2"/>
    <s v="Low"/>
    <s v="Artisan Flip-Chart Easel Binder, Black"/>
    <s v="Office Supplies"/>
    <s v="Small Box"/>
    <s v="Express Air"/>
    <d v="2013-09-25T00:00:00"/>
    <n v="13.88"/>
    <n v="22.38"/>
    <n v="8.4999999999999982"/>
    <n v="16"/>
    <n v="358.08"/>
    <n v="0"/>
    <n v="0"/>
    <n v="358.08"/>
    <n v="15.1"/>
    <n v="373.18"/>
  </r>
  <r>
    <s v="5247-1"/>
    <x v="111"/>
    <x v="0"/>
    <s v="Ann Chong"/>
    <s v="101 Murray Street, Perth"/>
    <s v="Sydney"/>
    <x v="1"/>
    <x v="1"/>
    <x v="12"/>
    <s v="High"/>
    <s v="Artisan Arch Ring Binders"/>
    <s v="Office Supplies"/>
    <s v="Small Box"/>
    <s v="Regular Air"/>
    <d v="2013-09-21T00:00:00"/>
    <n v="36.020000000000003"/>
    <n v="58.1"/>
    <n v="22.08"/>
    <n v="7"/>
    <n v="406.7"/>
    <n v="0.1"/>
    <n v="40.67"/>
    <n v="366.03"/>
    <n v="1.49"/>
    <n v="367.52"/>
  </r>
  <r>
    <s v="5248-1"/>
    <x v="112"/>
    <x v="0"/>
    <s v="Mick Crebagga"/>
    <s v="53-55 Liverpool St,Sydney"/>
    <s v="Sydney"/>
    <x v="1"/>
    <x v="0"/>
    <x v="8"/>
    <s v="Critical"/>
    <s v="Office Shears by Apex"/>
    <s v="Office Supplies"/>
    <s v="Small Pack"/>
    <s v="Regular Air"/>
    <d v="2013-09-24T00:00:00"/>
    <n v="0.94"/>
    <n v="2.08"/>
    <n v="1.1400000000000001"/>
    <n v="43"/>
    <n v="89.44"/>
    <n v="0.05"/>
    <n v="4.4720000000000004"/>
    <n v="84.968000000000004"/>
    <n v="2.56"/>
    <n v="87.528000000000006"/>
  </r>
  <r>
    <s v="5250-1"/>
    <x v="113"/>
    <x v="0"/>
    <s v="Chloris Kastensmidt"/>
    <s v="7/370-374 Victoria Ave,Chatswood"/>
    <s v="Sydney"/>
    <x v="1"/>
    <x v="2"/>
    <x v="7"/>
    <s v="Low"/>
    <s v="210 Trimline Phone, White"/>
    <s v="Technology"/>
    <s v="Medium Box"/>
    <s v="Regular Air"/>
    <d v="2013-09-30T00:00:00"/>
    <n v="9.91"/>
    <n v="15.99"/>
    <n v="6.08"/>
    <n v="27"/>
    <n v="431.73"/>
    <n v="0.01"/>
    <n v="4.3173000000000004"/>
    <n v="427.41270000000003"/>
    <n v="11.28"/>
    <n v="438.6927"/>
  </r>
  <r>
    <s v="5251-1"/>
    <x v="114"/>
    <x v="0"/>
    <s v="Aleksandra Gannaway"/>
    <s v="508/130 Mounts Bay Road, Perth"/>
    <s v="Perth"/>
    <x v="2"/>
    <x v="0"/>
    <x v="8"/>
    <s v="Medium"/>
    <s v="Alto Memo Cubes"/>
    <s v="Office Supplies"/>
    <s v="Wrap Bag"/>
    <s v="Regular Air"/>
    <d v="2013-09-28T00:00:00"/>
    <n v="3.32"/>
    <n v="5.18"/>
    <n v="1.8599999999999999"/>
    <n v="23"/>
    <n v="119.13999999999999"/>
    <n v="0.05"/>
    <n v="5.9569999999999999"/>
    <n v="113.18299999999999"/>
    <n v="2.04"/>
    <n v="115.223"/>
  </r>
  <r>
    <s v="5253-1"/>
    <x v="114"/>
    <x v="0"/>
    <s v="Maribeth Dona"/>
    <s v="8 Rankins Lane ,Melbourne"/>
    <s v="Melbourne"/>
    <x v="0"/>
    <x v="0"/>
    <x v="1"/>
    <s v="High"/>
    <s v="Multi-Use Personal File Cart and Caster Set, Three Stacking Bins"/>
    <s v="Office Supplies"/>
    <s v="Small Box"/>
    <s v="Regular Air"/>
    <d v="2013-09-28T00:00:00"/>
    <n v="14.95"/>
    <n v="34.76"/>
    <n v="19.809999999999999"/>
    <n v="15"/>
    <n v="521.4"/>
    <n v="0.09"/>
    <n v="46.925999999999995"/>
    <n v="474.47399999999999"/>
    <n v="8.2200000000000006"/>
    <n v="482.69400000000002"/>
  </r>
  <r>
    <s v="5254-1"/>
    <x v="115"/>
    <x v="0"/>
    <s v="Michael Grace"/>
    <s v="402 Argyle St,Moss Vale"/>
    <s v="Sydney"/>
    <x v="1"/>
    <x v="1"/>
    <x v="5"/>
    <s v="Low"/>
    <s v="Desktop 3-Pocket Hot File"/>
    <s v="Office Supplies"/>
    <s v="Small Box"/>
    <s v="Regular Air"/>
    <d v="2013-10-02T00:00:00"/>
    <n v="22.18"/>
    <n v="54.1"/>
    <n v="31.92"/>
    <n v="19"/>
    <n v="1027.9000000000001"/>
    <n v="0.1"/>
    <n v="102.79000000000002"/>
    <n v="925.11000000000013"/>
    <n v="19.989999999999998"/>
    <n v="945.10000000000014"/>
  </r>
  <r>
    <s v="5256-1"/>
    <x v="116"/>
    <x v="0"/>
    <s v="Cynthia Delaney"/>
    <s v="1/160 Anzac Parade,Kensington"/>
    <s v="Sydney"/>
    <x v="1"/>
    <x v="1"/>
    <x v="5"/>
    <s v="Not Specified"/>
    <s v="Alto Memo Cubes"/>
    <s v="Office Supplies"/>
    <s v="Wrap Bag"/>
    <s v="Regular Air"/>
    <d v="2013-10-02T00:00:00"/>
    <n v="3.32"/>
    <n v="5.18"/>
    <n v="1.8599999999999999"/>
    <n v="10"/>
    <n v="51.8"/>
    <n v="0.01"/>
    <n v="0.51800000000000002"/>
    <n v="51.281999999999996"/>
    <n v="2.04"/>
    <n v="53.321999999999996"/>
  </r>
  <r>
    <s v="5257-1"/>
    <x v="117"/>
    <x v="0"/>
    <s v="John Dryer"/>
    <s v="8 Rankins Lane ,Melbourne"/>
    <s v="Melbourne"/>
    <x v="0"/>
    <x v="1"/>
    <x v="1"/>
    <s v="Medium"/>
    <s v="Laser DVD-RAM discs"/>
    <s v="Technology"/>
    <s v="Small Pack"/>
    <s v="Express Air"/>
    <d v="2013-10-02T00:00:00"/>
    <n v="20.18"/>
    <n v="35.409999999999997"/>
    <n v="15.229999999999997"/>
    <n v="16"/>
    <n v="566.55999999999995"/>
    <n v="0"/>
    <n v="0"/>
    <n v="566.55999999999995"/>
    <n v="1.99"/>
    <n v="568.54999999999995"/>
  </r>
  <r>
    <s v="5259-1"/>
    <x v="118"/>
    <x v="0"/>
    <s v="Eric Barreto"/>
    <s v="14 Money Street"/>
    <s v="Perth"/>
    <x v="2"/>
    <x v="2"/>
    <x v="4"/>
    <s v="High"/>
    <s v="DrawIt Colored Pencils, 48-Color Set"/>
    <s v="Office Supplies"/>
    <s v="Wrap Bag"/>
    <s v="Express Air"/>
    <d v="2013-10-04T00:00:00"/>
    <n v="21.56"/>
    <n v="36.549999999999997"/>
    <n v="14.989999999999998"/>
    <n v="46"/>
    <n v="1681.3"/>
    <n v="0.05"/>
    <n v="84.064999999999998"/>
    <n v="1597.2349999999999"/>
    <n v="13.89"/>
    <n v="1611.125"/>
  </r>
  <r>
    <s v="5260-1"/>
    <x v="119"/>
    <x v="0"/>
    <s v="Carlos Daly"/>
    <s v="5/63-71 Enmore Rd,Newtown"/>
    <s v="Sydney"/>
    <x v="1"/>
    <x v="1"/>
    <x v="10"/>
    <s v="High"/>
    <s v="Deluxe Rollaway Locking File with Drawer"/>
    <s v="Office Supplies"/>
    <s v="Small Box"/>
    <s v="Regular Air"/>
    <d v="2013-10-05T00:00:00"/>
    <n v="178.83"/>
    <n v="415.88"/>
    <n v="237.04999999999998"/>
    <n v="2"/>
    <n v="831.76"/>
    <n v="0.08"/>
    <n v="66.540800000000004"/>
    <n v="765.2192"/>
    <n v="11.37"/>
    <n v="776.58920000000001"/>
  </r>
  <r>
    <s v="5261-1"/>
    <x v="120"/>
    <x v="0"/>
    <s v="Joni Wasserman"/>
    <s v="Westfield Sydney,Sydney"/>
    <s v="Sydney"/>
    <x v="1"/>
    <x v="2"/>
    <x v="5"/>
    <s v="Low"/>
    <s v="600 Series Flip"/>
    <s v="Technology"/>
    <s v="Small Box"/>
    <s v="Regular Air"/>
    <d v="2013-10-12T00:00:00"/>
    <n v="41.28"/>
    <n v="95.99"/>
    <n v="54.709999999999994"/>
    <n v="17"/>
    <n v="1631.83"/>
    <n v="0.09"/>
    <n v="146.8647"/>
    <n v="1484.9652999999998"/>
    <n v="8.99"/>
    <n v="1493.9552999999999"/>
  </r>
  <r>
    <s v="5263-1"/>
    <x v="120"/>
    <x v="0"/>
    <s v="Neil Knudson"/>
    <s v="4A Lyons St,Strathfield"/>
    <s v="Sydney"/>
    <x v="1"/>
    <x v="1"/>
    <x v="8"/>
    <s v="Medium"/>
    <s v="Economy Binders"/>
    <s v="Office Supplies"/>
    <s v="Small Box"/>
    <s v="Regular Air"/>
    <d v="2013-10-07T00:00:00"/>
    <n v="1.33"/>
    <n v="2.08"/>
    <n v="0.75"/>
    <n v="16"/>
    <n v="33.28"/>
    <n v="0.04"/>
    <n v="1.3312000000000002"/>
    <n v="31.948800000000002"/>
    <n v="1.49"/>
    <n v="33.438800000000001"/>
  </r>
  <r>
    <s v="5265-1"/>
    <x v="121"/>
    <x v="0"/>
    <s v="Roy Skaria"/>
    <s v="2/797 Botany Rd,Rosebery"/>
    <s v="Sydney"/>
    <x v="1"/>
    <x v="1"/>
    <x v="6"/>
    <s v="Medium"/>
    <s v="1726 Digital Answering Machine"/>
    <s v="Technology"/>
    <s v="Medium Box"/>
    <s v="Regular Air"/>
    <d v="2013-10-07T00:00:00"/>
    <n v="8.82"/>
    <n v="20.99"/>
    <n v="12.169999999999998"/>
    <n v="25"/>
    <n v="524.75"/>
    <n v="0.05"/>
    <n v="26.237500000000001"/>
    <n v="498.51249999999999"/>
    <n v="4.8099999999999996"/>
    <n v="503.32249999999999"/>
  </r>
  <r>
    <s v="5267-1"/>
    <x v="122"/>
    <x v="0"/>
    <s v="Frank Merwin"/>
    <s v="24 Addison Rd,Marrickville"/>
    <s v="Sydney"/>
    <x v="1"/>
    <x v="1"/>
    <x v="13"/>
    <s v="Medium"/>
    <s v="Pizazz Drawing Pencil Set"/>
    <s v="Office Supplies"/>
    <s v="Wrap Bag"/>
    <s v="Regular Air"/>
    <d v="2013-10-11T00:00:00"/>
    <n v="1.53"/>
    <n v="2.78"/>
    <n v="1.2499999999999998"/>
    <n v="6"/>
    <n v="16.68"/>
    <n v="0.01"/>
    <n v="0.1668"/>
    <n v="16.513200000000001"/>
    <n v="1.34"/>
    <n v="17.853200000000001"/>
  </r>
  <r>
    <s v="5268-1"/>
    <x v="123"/>
    <x v="0"/>
    <s v="Stephanie Ulpright"/>
    <s v="541 Church St ,Richmond"/>
    <s v="Melbourne"/>
    <x v="0"/>
    <x v="2"/>
    <x v="0"/>
    <s v="Not Specified"/>
    <s v="Artisan Binder Labels"/>
    <s v="Office Supplies"/>
    <s v="Small Box"/>
    <s v="Regular Air"/>
    <d v="2013-10-13T00:00:00"/>
    <n v="2.4500000000000002"/>
    <n v="3.89"/>
    <n v="1.44"/>
    <n v="2"/>
    <n v="7.78"/>
    <n v="7.0000000000000007E-2"/>
    <n v="0.54460000000000008"/>
    <n v="7.2354000000000003"/>
    <n v="7.01"/>
    <n v="14.2454"/>
  </r>
  <r>
    <s v="5268-2"/>
    <x v="123"/>
    <x v="0"/>
    <s v="Stephanie Ulpright"/>
    <s v="541 Church St ,Richmond"/>
    <s v="Melbourne"/>
    <x v="0"/>
    <x v="2"/>
    <x v="0"/>
    <s v="Not Specified"/>
    <s v="Economy Rollaway Files"/>
    <s v="Office Supplies"/>
    <s v="Small Box"/>
    <s v="Regular Air"/>
    <d v="2013-10-12T00:00:00"/>
    <n v="67.73"/>
    <n v="165.2"/>
    <n v="97.469999999999985"/>
    <n v="6"/>
    <n v="991.19999999999993"/>
    <n v="0.09"/>
    <n v="89.207999999999984"/>
    <n v="901.99199999999996"/>
    <n v="19.989999999999998"/>
    <n v="921.98199999999997"/>
  </r>
  <r>
    <s v="5272-1"/>
    <x v="123"/>
    <x v="0"/>
    <s v="Amy Cox"/>
    <s v="15 Aberdeen Street, Perth"/>
    <s v="Sydney"/>
    <x v="1"/>
    <x v="3"/>
    <x v="9"/>
    <s v="Critical"/>
    <s v="Pizazz Dustless Chalk Sticks"/>
    <s v="Office Supplies"/>
    <s v="Wrap Bag"/>
    <s v="Regular Air"/>
    <d v="2013-10-12T00:00:00"/>
    <n v="1.0900000000000001"/>
    <n v="1.68"/>
    <n v="0.58999999999999986"/>
    <n v="38"/>
    <n v="63.839999999999996"/>
    <n v="7.0000000000000007E-2"/>
    <n v="4.4687999999999999"/>
    <n v="59.371199999999995"/>
    <n v="1"/>
    <n v="60.371199999999995"/>
  </r>
  <r>
    <s v="5274-1"/>
    <x v="124"/>
    <x v="0"/>
    <s v="Sylvia Foulston"/>
    <s v="101 Murray Street"/>
    <s v="Perth"/>
    <x v="2"/>
    <x v="1"/>
    <x v="8"/>
    <s v="Critical"/>
    <s v="300 Series Non-Flip"/>
    <s v="Technology"/>
    <s v="Small Box"/>
    <s v="Regular Air"/>
    <d v="2013-10-14T00:00:00"/>
    <n v="62.4"/>
    <n v="155.99"/>
    <n v="93.59"/>
    <n v="48"/>
    <n v="7487.52"/>
    <n v="0.04"/>
    <n v="299.50080000000003"/>
    <n v="7188.0192000000006"/>
    <n v="8.08"/>
    <n v="7196.0992000000006"/>
  </r>
  <r>
    <s v="5274-2"/>
    <x v="124"/>
    <x v="0"/>
    <s v="Sylvia Foulston"/>
    <s v="101 Murray Street"/>
    <s v="Perth"/>
    <x v="2"/>
    <x v="1"/>
    <x v="8"/>
    <s v="Critical"/>
    <s v="3Max Organizer Strips"/>
    <s v="Office Supplies"/>
    <s v="Small Box"/>
    <s v="Regular Air"/>
    <d v="2013-10-13T00:00:00"/>
    <n v="3.4"/>
    <n v="5.4"/>
    <n v="2.0000000000000004"/>
    <n v="8"/>
    <n v="43.2"/>
    <n v="0.08"/>
    <n v="3.4560000000000004"/>
    <n v="39.744"/>
    <n v="7.78"/>
    <n v="47.524000000000001"/>
  </r>
  <r>
    <s v="5277-1"/>
    <x v="125"/>
    <x v="0"/>
    <s v="Paul MacIntyre"/>
    <s v="60 Commercial Rd,Prahran"/>
    <s v="Melbourne"/>
    <x v="0"/>
    <x v="1"/>
    <x v="0"/>
    <s v="Critical"/>
    <s v="12 Colored Short Pencils"/>
    <s v="Office Supplies"/>
    <s v="Wrap Bag"/>
    <s v="Regular Air"/>
    <d v="2013-10-22T00:00:00"/>
    <n v="1.0900000000000001"/>
    <n v="2.6"/>
    <n v="1.51"/>
    <n v="36"/>
    <n v="93.600000000000009"/>
    <n v="0"/>
    <n v="0"/>
    <n v="93.600000000000009"/>
    <n v="2.4"/>
    <n v="96.000000000000014"/>
  </r>
  <r>
    <s v="5278-1"/>
    <x v="125"/>
    <x v="0"/>
    <s v="Cindy Stewart"/>
    <s v="1/173-179 Bronte Rd,Waverley"/>
    <s v="Sydney"/>
    <x v="1"/>
    <x v="1"/>
    <x v="2"/>
    <s v="Critical"/>
    <s v="Artisan 479 Labels"/>
    <s v="Office Supplies"/>
    <s v="Small Box"/>
    <s v="Express Air"/>
    <d v="2013-10-20T00:00:00"/>
    <n v="1.59"/>
    <n v="2.61"/>
    <n v="1.0199999999999998"/>
    <n v="1"/>
    <n v="2.61"/>
    <n v="0.06"/>
    <n v="0.15659999999999999"/>
    <n v="2.4533999999999998"/>
    <n v="0.5"/>
    <n v="2.9533999999999998"/>
  </r>
  <r>
    <s v="5279-1"/>
    <x v="125"/>
    <x v="0"/>
    <s v="Tamara Willingham"/>
    <s v="Sydney Fish Market, Bank Street, Sydney"/>
    <s v="Sydney"/>
    <x v="1"/>
    <x v="1"/>
    <x v="4"/>
    <s v="Medium"/>
    <s v="Artisan Hanging File Binders"/>
    <s v="Office Supplies"/>
    <s v="Small Box"/>
    <s v="Regular Air"/>
    <d v="2013-10-21T00:00:00"/>
    <n v="3.65"/>
    <n v="5.98"/>
    <n v="2.3300000000000005"/>
    <n v="21"/>
    <n v="125.58000000000001"/>
    <n v="0.02"/>
    <n v="2.5116000000000005"/>
    <n v="123.06840000000001"/>
    <n v="1.49"/>
    <n v="124.55840000000001"/>
  </r>
  <r>
    <s v="5280-1"/>
    <x v="126"/>
    <x v="0"/>
    <s v="Darrin Sayre"/>
    <s v="Sydney Fish Market, Bank Street, Sydney"/>
    <s v="Sydney"/>
    <x v="1"/>
    <x v="2"/>
    <x v="4"/>
    <s v="Not Specified"/>
    <s v="Artisan Hanging File Binders"/>
    <s v="Office Supplies"/>
    <s v="Small Box"/>
    <s v="Regular Air"/>
    <d v="2013-10-23T00:00:00"/>
    <n v="3.65"/>
    <n v="5.98"/>
    <n v="2.3300000000000005"/>
    <n v="40"/>
    <n v="239.20000000000002"/>
    <n v="0"/>
    <n v="0"/>
    <n v="239.20000000000002"/>
    <n v="1.49"/>
    <n v="240.69000000000003"/>
  </r>
  <r>
    <s v="5282-1"/>
    <x v="126"/>
    <x v="0"/>
    <s v="Amy Cox"/>
    <s v="101/12 Victoria Ave, Perth"/>
    <s v="Sydney"/>
    <x v="1"/>
    <x v="3"/>
    <x v="9"/>
    <s v="Not Specified"/>
    <s v="Smiths General Use 3-Ring Binders"/>
    <s v="Office Supplies"/>
    <s v="Small Box"/>
    <s v="Regular Air"/>
    <d v="2013-10-23T00:00:00"/>
    <n v="1.18"/>
    <n v="1.88"/>
    <n v="0.7"/>
    <n v="33"/>
    <n v="62.04"/>
    <n v="7.0000000000000007E-2"/>
    <n v="4.3428000000000004"/>
    <n v="57.697199999999995"/>
    <n v="1.49"/>
    <n v="59.187199999999997"/>
  </r>
  <r>
    <s v="5284-1"/>
    <x v="127"/>
    <x v="0"/>
    <s v="Ed Jacobs"/>
    <s v="22 Civic Rd,Auburn"/>
    <s v="Sydney"/>
    <x v="1"/>
    <x v="3"/>
    <x v="11"/>
    <s v="High"/>
    <s v="Angle-D Binders with Locking Rings, Label Holders"/>
    <s v="Office Supplies"/>
    <s v="Small Box"/>
    <s v="Regular Air"/>
    <d v="2013-10-27T00:00:00"/>
    <n v="4.53"/>
    <n v="7.3"/>
    <n v="2.7699999999999996"/>
    <n v="31"/>
    <n v="226.29999999999998"/>
    <n v="0.03"/>
    <n v="6.7889999999999988"/>
    <n v="219.511"/>
    <n v="7.72"/>
    <n v="227.23099999999999"/>
  </r>
  <r>
    <s v="5286-1"/>
    <x v="128"/>
    <x v="0"/>
    <s v="Dan Campbell"/>
    <s v="1/173-179 Bronte Rd,Waverley"/>
    <s v="Sydney"/>
    <x v="1"/>
    <x v="3"/>
    <x v="2"/>
    <s v="High"/>
    <s v="Brown Kraft Recycled Envelopes"/>
    <s v="Office Supplies"/>
    <s v="Small Box"/>
    <s v="Regular Air"/>
    <d v="2013-10-27T00:00:00"/>
    <n v="11.04"/>
    <n v="16.98"/>
    <n v="5.9400000000000013"/>
    <n v="27"/>
    <n v="458.46000000000004"/>
    <n v="0.1"/>
    <n v="45.846000000000004"/>
    <n v="412.61400000000003"/>
    <n v="12.39"/>
    <n v="425.00400000000002"/>
  </r>
  <r>
    <s v="5288-1"/>
    <x v="129"/>
    <x v="0"/>
    <s v="Shahid Shariari"/>
    <s v="3/219 Canley Vale Road,Canley Heights"/>
    <s v="Sydney"/>
    <x v="1"/>
    <x v="2"/>
    <x v="11"/>
    <s v="Not Specified"/>
    <s v="3Max Organizer Strips"/>
    <s v="Office Supplies"/>
    <s v="Small Box"/>
    <s v="Regular Air"/>
    <d v="2013-10-28T00:00:00"/>
    <n v="3.4"/>
    <n v="5.4"/>
    <n v="2.0000000000000004"/>
    <n v="47"/>
    <n v="253.8"/>
    <n v="0.03"/>
    <n v="7.6139999999999999"/>
    <n v="246.18600000000001"/>
    <n v="7.78"/>
    <n v="253.96600000000001"/>
  </r>
  <r>
    <s v="5290-1"/>
    <x v="130"/>
    <x v="0"/>
    <s v="Toby Knight"/>
    <s v="Crown Complex,Southbank"/>
    <s v="Melbourne"/>
    <x v="0"/>
    <x v="1"/>
    <x v="1"/>
    <s v="High"/>
    <s v="Laser Neon Mac Format Diskettes, 10/Pack"/>
    <s v="Technology"/>
    <s v="Small Pack"/>
    <s v="Regular Air"/>
    <d v="2013-10-29T00:00:00"/>
    <n v="1.87"/>
    <n v="8.1199999999999992"/>
    <n v="6.2499999999999991"/>
    <n v="37"/>
    <n v="300.44"/>
    <n v="0"/>
    <n v="0"/>
    <n v="300.44"/>
    <n v="2.83"/>
    <n v="303.27"/>
  </r>
  <r>
    <s v="5291-1"/>
    <x v="130"/>
    <x v="0"/>
    <s v="Paul Prost"/>
    <s v="120 Hardware St,Melbourne"/>
    <s v="Melbourne"/>
    <x v="0"/>
    <x v="1"/>
    <x v="1"/>
    <s v="High"/>
    <s v="Steady 52201 APSCO Electric Pencil Sharpener"/>
    <s v="Office Supplies"/>
    <s v="Small Pack"/>
    <s v="Express Air"/>
    <d v="2013-10-29T00:00:00"/>
    <n v="16.8"/>
    <n v="40.97"/>
    <n v="24.169999999999998"/>
    <n v="11"/>
    <n v="450.66999999999996"/>
    <n v="0.03"/>
    <n v="13.520099999999998"/>
    <n v="437.14989999999995"/>
    <n v="8.99"/>
    <n v="446.13989999999995"/>
  </r>
  <r>
    <s v="5292-1"/>
    <x v="131"/>
    <x v="0"/>
    <s v="Sung Chung"/>
    <s v="127 Liverpool St,Sydney"/>
    <s v="Sydney"/>
    <x v="1"/>
    <x v="0"/>
    <x v="6"/>
    <s v="Critical"/>
    <s v="Artisan 481 Labels"/>
    <s v="Office Supplies"/>
    <s v="Small Box"/>
    <s v="Regular Air"/>
    <d v="2013-10-30T00:00:00"/>
    <n v="1.94"/>
    <n v="3.08"/>
    <n v="1.1400000000000001"/>
    <n v="41"/>
    <n v="126.28"/>
    <n v="0.04"/>
    <n v="5.0512000000000006"/>
    <n v="121.22880000000001"/>
    <n v="0.99"/>
    <n v="122.2188"/>
  </r>
  <r>
    <s v="5294-1"/>
    <x v="132"/>
    <x v="0"/>
    <s v="Kristina Nunn"/>
    <s v="22 Civic Rd,Auburn"/>
    <s v="Sydney"/>
    <x v="1"/>
    <x v="2"/>
    <x v="11"/>
    <s v="Critical"/>
    <s v="Laser Neon Mac Format Diskettes, 10/Pack"/>
    <s v="Technology"/>
    <s v="Small Pack"/>
    <s v="Regular Air"/>
    <d v="2013-11-02T00:00:00"/>
    <n v="1.87"/>
    <n v="8.1199999999999992"/>
    <n v="6.2499999999999991"/>
    <n v="16"/>
    <n v="129.91999999999999"/>
    <n v="0.03"/>
    <n v="3.8975999999999993"/>
    <n v="126.02239999999999"/>
    <n v="2.83"/>
    <n v="128.85239999999999"/>
  </r>
  <r>
    <s v="5296-1"/>
    <x v="133"/>
    <x v="0"/>
    <s v="Eugene Hildebrand"/>
    <s v="120 Hardware St,Melbourne"/>
    <s v="Melbourne"/>
    <x v="0"/>
    <x v="0"/>
    <x v="0"/>
    <s v="Medium"/>
    <s v="Angle-D Binders with Locking Rings, Label Holders"/>
    <s v="Office Supplies"/>
    <s v="Small Box"/>
    <s v="Regular Air"/>
    <d v="2013-11-03T00:00:00"/>
    <n v="4.53"/>
    <n v="7.3"/>
    <n v="2.7699999999999996"/>
    <n v="45"/>
    <n v="328.5"/>
    <n v="0.04"/>
    <n v="13.14"/>
    <n v="315.36"/>
    <n v="7.72"/>
    <n v="323.08000000000004"/>
  </r>
  <r>
    <s v="5298-1"/>
    <x v="134"/>
    <x v="0"/>
    <s v="Jeremy Lonsdale"/>
    <s v="163 Concord Road,North Strathfield"/>
    <s v="Sydney"/>
    <x v="1"/>
    <x v="1"/>
    <x v="10"/>
    <s v="Critical"/>
    <s v="Apex Straight Scissors"/>
    <s v="Office Supplies"/>
    <s v="Small Pack"/>
    <s v="Regular Air"/>
    <d v="2013-11-03T00:00:00"/>
    <n v="5.19"/>
    <n v="12.98"/>
    <n v="7.79"/>
    <n v="40"/>
    <n v="519.20000000000005"/>
    <n v="0.05"/>
    <n v="25.960000000000004"/>
    <n v="493.24000000000007"/>
    <n v="3.14"/>
    <n v="496.38000000000005"/>
  </r>
  <r>
    <s v="5299-1"/>
    <x v="135"/>
    <x v="0"/>
    <s v="Victoria Pisteka"/>
    <s v="8/2 Edward Street"/>
    <s v="Perth"/>
    <x v="2"/>
    <x v="1"/>
    <x v="5"/>
    <s v="Not Specified"/>
    <s v="Artisan 487 Labels"/>
    <s v="Office Supplies"/>
    <s v="Small Box"/>
    <s v="Regular Air"/>
    <d v="2013-11-07T00:00:00"/>
    <n v="2.29"/>
    <n v="3.69"/>
    <n v="1.4"/>
    <n v="42"/>
    <n v="154.97999999999999"/>
    <n v="0.04"/>
    <n v="6.1991999999999994"/>
    <n v="148.7808"/>
    <n v="0.5"/>
    <n v="149.2808"/>
  </r>
  <r>
    <s v="5300-1"/>
    <x v="135"/>
    <x v="0"/>
    <s v="Liz Carlisle"/>
    <s v="797 Botany Rd,Rosebery"/>
    <s v="Sydney"/>
    <x v="1"/>
    <x v="1"/>
    <x v="4"/>
    <s v="Critical"/>
    <s v="Lumi Crayons"/>
    <s v="Office Supplies"/>
    <s v="Wrap Bag"/>
    <s v="Regular Air"/>
    <d v="2013-11-06T00:00:00"/>
    <n v="5.22"/>
    <n v="9.85"/>
    <n v="4.63"/>
    <n v="27"/>
    <n v="265.95"/>
    <n v="0.1"/>
    <n v="26.594999999999999"/>
    <n v="239.35499999999999"/>
    <n v="4.82"/>
    <n v="244.17499999999998"/>
  </r>
  <r>
    <s v="5302-1"/>
    <x v="136"/>
    <x v="0"/>
    <s v="Dennis Kane"/>
    <s v="33/4 Barangaroo Avenue,Sydney"/>
    <s v="Sydney"/>
    <x v="1"/>
    <x v="3"/>
    <x v="5"/>
    <s v="Medium"/>
    <s v="Steady Major Accent Highlighters"/>
    <s v="Office Supplies"/>
    <s v="Wrap Bag"/>
    <s v="Express Air"/>
    <d v="2013-11-08T00:00:00"/>
    <n v="3.75"/>
    <n v="7.08"/>
    <n v="3.33"/>
    <n v="29"/>
    <n v="205.32"/>
    <n v="7.0000000000000007E-2"/>
    <n v="14.372400000000001"/>
    <n v="190.94759999999999"/>
    <n v="2.35"/>
    <n v="193.29759999999999"/>
  </r>
  <r>
    <s v="5303-1"/>
    <x v="137"/>
    <x v="0"/>
    <s v="Tom Prescott"/>
    <s v="8 Rankins Lane ,Melbourne"/>
    <s v="Melbourne"/>
    <x v="0"/>
    <x v="3"/>
    <x v="1"/>
    <s v="Low"/>
    <s v="Alto Memo Cubes"/>
    <s v="Office Supplies"/>
    <s v="Wrap Bag"/>
    <s v="Regular Air"/>
    <d v="2013-11-09T00:00:00"/>
    <n v="3.32"/>
    <n v="5.18"/>
    <n v="1.8599999999999999"/>
    <n v="8"/>
    <n v="41.44"/>
    <n v="0.06"/>
    <n v="2.4863999999999997"/>
    <n v="38.953599999999994"/>
    <n v="2.04"/>
    <n v="40.993599999999994"/>
  </r>
  <r>
    <s v="5304-1"/>
    <x v="138"/>
    <x v="0"/>
    <s v="Jas OCarroll"/>
    <s v="3 Carrington Road ,Box Hill"/>
    <s v="Melbourne"/>
    <x v="0"/>
    <x v="1"/>
    <x v="0"/>
    <s v="Medium"/>
    <s v="Artisan Durable Poly Binders"/>
    <s v="Office Supplies"/>
    <s v="Small Box"/>
    <s v="Regular Air"/>
    <d v="2013-11-14T00:00:00"/>
    <n v="3.37"/>
    <n v="5.53"/>
    <n v="2.16"/>
    <n v="17"/>
    <n v="94.01"/>
    <n v="0.02"/>
    <n v="1.8802000000000001"/>
    <n v="92.129800000000003"/>
    <n v="6.98"/>
    <n v="99.109800000000007"/>
  </r>
  <r>
    <s v="5305-1"/>
    <x v="139"/>
    <x v="0"/>
    <s v="Liz Price"/>
    <s v="Sydney Fish Market, Bank Street, Sydney"/>
    <s v="Sydney"/>
    <x v="1"/>
    <x v="2"/>
    <x v="4"/>
    <s v="Not Specified"/>
    <s v="Xit Blank Computer Paper"/>
    <s v="Office Supplies"/>
    <s v="Small Box"/>
    <s v="Regular Air"/>
    <d v="2013-11-17T00:00:00"/>
    <n v="12.39"/>
    <n v="19.98"/>
    <n v="7.59"/>
    <n v="47"/>
    <n v="939.06000000000006"/>
    <n v="0.04"/>
    <n v="37.562400000000004"/>
    <n v="901.49760000000003"/>
    <n v="5.77"/>
    <n v="907.26760000000002"/>
  </r>
  <r>
    <s v="5307-1"/>
    <x v="140"/>
    <x v="0"/>
    <s v="Pamela Stobb"/>
    <s v="273 George Street,Sydney"/>
    <s v="Sydney"/>
    <x v="1"/>
    <x v="2"/>
    <x v="2"/>
    <s v="Not Specified"/>
    <s v="Aluminum Document Frame"/>
    <s v="Furniture"/>
    <s v="Small Pack"/>
    <s v="Regular Air"/>
    <d v="2013-11-16T00:00:00"/>
    <n v="5.5"/>
    <n v="12.22"/>
    <n v="6.7200000000000006"/>
    <n v="27"/>
    <n v="329.94"/>
    <n v="7.0000000000000007E-2"/>
    <n v="23.095800000000001"/>
    <n v="306.8442"/>
    <n v="2.85"/>
    <n v="309.69420000000002"/>
  </r>
  <r>
    <s v="5309-1"/>
    <x v="140"/>
    <x v="0"/>
    <s v="Peter Fuller"/>
    <s v="Westfield Miranda, 600 Kingsway,Miranda"/>
    <s v="Sydney"/>
    <x v="1"/>
    <x v="1"/>
    <x v="12"/>
    <s v="Critical"/>
    <s v="Pizazz Colored Pencils"/>
    <s v="Office Supplies"/>
    <s v="Wrap Bag"/>
    <s v="Regular Air"/>
    <d v="2013-11-17T00:00:00"/>
    <n v="1.76"/>
    <n v="2.94"/>
    <n v="1.18"/>
    <n v="23"/>
    <n v="67.62"/>
    <n v="7.0000000000000007E-2"/>
    <n v="4.7334000000000005"/>
    <n v="62.886600000000001"/>
    <n v="0.81"/>
    <n v="63.696600000000004"/>
  </r>
  <r>
    <s v="5310-1"/>
    <x v="141"/>
    <x v="0"/>
    <s v="Erin Ashbrook"/>
    <s v="61 York St,Sydney"/>
    <s v="Sydney"/>
    <x v="1"/>
    <x v="2"/>
    <x v="2"/>
    <s v="Critical"/>
    <s v="Adesso Programmable 142-Key Keyboard"/>
    <s v="Technology"/>
    <s v="Small Box"/>
    <s v="Express Air"/>
    <d v="2013-11-19T00:00:00"/>
    <n v="39.64"/>
    <n v="152.47999999999999"/>
    <n v="112.83999999999999"/>
    <n v="2"/>
    <n v="304.95999999999998"/>
    <n v="0.02"/>
    <n v="6.0991999999999997"/>
    <n v="298.86079999999998"/>
    <n v="6.5"/>
    <n v="305.36079999999998"/>
  </r>
  <r>
    <s v="5311-1"/>
    <x v="141"/>
    <x v="0"/>
    <s v="Allen Armold"/>
    <s v="101/12 Victoria Ave, Perth"/>
    <s v="Melbourne"/>
    <x v="0"/>
    <x v="0"/>
    <x v="1"/>
    <s v="Critical"/>
    <s v="Apex Office Executive Series Stainless Steel Trimmers"/>
    <s v="Office Supplies"/>
    <s v="Small Pack"/>
    <s v="Regular Air"/>
    <d v="2013-11-18T00:00:00"/>
    <n v="3.51"/>
    <n v="8.57"/>
    <n v="5.0600000000000005"/>
    <n v="24"/>
    <n v="205.68"/>
    <n v="0.06"/>
    <n v="12.3408"/>
    <n v="193.33920000000001"/>
    <n v="6.14"/>
    <n v="199.47919999999999"/>
  </r>
  <r>
    <s v="5312-1"/>
    <x v="141"/>
    <x v="0"/>
    <s v="Eugene Barchas"/>
    <s v="Crown Complex,Southbank"/>
    <s v="Melbourne"/>
    <x v="0"/>
    <x v="1"/>
    <x v="1"/>
    <s v="High"/>
    <s v="Artisan Binder Labels"/>
    <s v="Office Supplies"/>
    <s v="Small Box"/>
    <s v="Regular Air"/>
    <d v="2013-11-17T00:00:00"/>
    <n v="2.4500000000000002"/>
    <n v="3.89"/>
    <n v="1.44"/>
    <n v="47"/>
    <n v="182.83"/>
    <n v="0"/>
    <n v="0"/>
    <n v="182.83"/>
    <n v="7.01"/>
    <n v="189.84"/>
  </r>
  <r>
    <s v="5313-1"/>
    <x v="142"/>
    <x v="0"/>
    <s v="Phillip Flathmann"/>
    <s v="Macquarie Centre Cnr Herring Road &amp; Waterloo Road,Macquarie Park"/>
    <s v="Sydney"/>
    <x v="1"/>
    <x v="3"/>
    <x v="3"/>
    <s v="Low"/>
    <s v="Smiths Metal Binder Clips"/>
    <s v="Office Supplies"/>
    <s v="Wrap Bag"/>
    <s v="Regular Air"/>
    <d v="2013-11-20T00:00:00"/>
    <n v="1.6"/>
    <n v="2.62"/>
    <n v="1.02"/>
    <n v="26"/>
    <n v="68.12"/>
    <n v="0.09"/>
    <n v="6.1307999999999998"/>
    <n v="61.989200000000004"/>
    <n v="0.8"/>
    <n v="62.789200000000001"/>
  </r>
  <r>
    <s v="5314-1"/>
    <x v="142"/>
    <x v="0"/>
    <s v="Thomas Boland"/>
    <s v="18 Robinson Avenue"/>
    <s v="Perth"/>
    <x v="2"/>
    <x v="1"/>
    <x v="11"/>
    <s v="High"/>
    <s v="TypeRight  Top-Opening Peel &amp; Seel  Envelopes, Gray"/>
    <s v="Office Supplies"/>
    <s v="Small Box"/>
    <s v="Regular Air"/>
    <d v="2013-11-20T00:00:00"/>
    <n v="21.56"/>
    <n v="35.94"/>
    <n v="14.379999999999999"/>
    <n v="19"/>
    <n v="682.8599999999999"/>
    <n v="0.09"/>
    <n v="61.457399999999986"/>
    <n v="621.40259999999989"/>
    <n v="6.66"/>
    <n v="628.06259999999986"/>
  </r>
  <r>
    <s v="5315-1"/>
    <x v="143"/>
    <x v="0"/>
    <s v="Chuck Magee"/>
    <s v="1-2/299 Sussex St,Sydney"/>
    <s v="Sydney"/>
    <x v="1"/>
    <x v="1"/>
    <x v="9"/>
    <s v="Medium"/>
    <s v="Alto Parchment Paper, Assorted Colors"/>
    <s v="Office Supplies"/>
    <s v="Small Box"/>
    <s v="Regular Air"/>
    <d v="2013-11-21T00:00:00"/>
    <n v="4.59"/>
    <n v="7.28"/>
    <n v="2.6900000000000004"/>
    <n v="3"/>
    <n v="21.84"/>
    <n v="0.01"/>
    <n v="0.21840000000000001"/>
    <n v="21.621600000000001"/>
    <n v="11.15"/>
    <n v="32.771599999999999"/>
  </r>
  <r>
    <s v="5316-1"/>
    <x v="144"/>
    <x v="0"/>
    <s v="Cindy Stewart"/>
    <s v="1/173-179 Bronte Rd,Waverley"/>
    <s v="Sydney"/>
    <x v="1"/>
    <x v="2"/>
    <x v="2"/>
    <s v="Low"/>
    <s v="Emerson C82 Color Inkjet Printer"/>
    <s v="Technology"/>
    <s v="Jumbo Drum"/>
    <s v="Delivery Truck"/>
    <d v="2013-11-27T00:00:00"/>
    <n v="76.790000000000006"/>
    <n v="119.99"/>
    <n v="43.199999999999989"/>
    <n v="4"/>
    <n v="479.96"/>
    <n v="0.06"/>
    <n v="28.797599999999999"/>
    <n v="451.16239999999999"/>
    <n v="14"/>
    <n v="465.16239999999999"/>
  </r>
  <r>
    <s v="5318-1"/>
    <x v="144"/>
    <x v="0"/>
    <s v="Toby Knight"/>
    <s v="Crown Complex,Southbank"/>
    <s v="Melbourne"/>
    <x v="0"/>
    <x v="1"/>
    <x v="1"/>
    <s v="Not Specified"/>
    <s v="Steady Liquid Accent Highlighters"/>
    <s v="Office Supplies"/>
    <s v="Wrap Bag"/>
    <s v="Regular Air"/>
    <d v="2013-11-21T00:00:00"/>
    <n v="3.47"/>
    <n v="6.68"/>
    <n v="3.2099999999999995"/>
    <n v="15"/>
    <n v="100.19999999999999"/>
    <n v="0.03"/>
    <n v="3.0059999999999993"/>
    <n v="97.193999999999988"/>
    <n v="1.5"/>
    <n v="98.693999999999988"/>
  </r>
  <r>
    <s v="5319-1"/>
    <x v="145"/>
    <x v="0"/>
    <s v="Justin Hirsh"/>
    <s v="Qantas Domestic Terminal,Mascot"/>
    <s v="Sydney"/>
    <x v="1"/>
    <x v="2"/>
    <x v="4"/>
    <s v="Not Specified"/>
    <s v="3Max Polarizing Light Filter Sleeves"/>
    <s v="Furniture"/>
    <s v="Small Pack"/>
    <s v="Regular Air"/>
    <d v="2013-11-24T00:00:00"/>
    <n v="11.38"/>
    <n v="18.649999999999999"/>
    <n v="7.2699999999999978"/>
    <n v="19"/>
    <n v="354.34999999999997"/>
    <n v="7.0000000000000007E-2"/>
    <n v="24.804500000000001"/>
    <n v="329.54549999999995"/>
    <n v="3.77"/>
    <n v="333.31549999999993"/>
  </r>
  <r>
    <s v="5321-1"/>
    <x v="145"/>
    <x v="0"/>
    <s v="Sarah Foster"/>
    <s v="Sydney Fish Market, Bank Street, Sydney"/>
    <s v="Sydney"/>
    <x v="1"/>
    <x v="1"/>
    <x v="4"/>
    <s v="Medium"/>
    <s v="Binder Posts"/>
    <s v="Office Supplies"/>
    <s v="Small Box"/>
    <s v="Express Air"/>
    <d v="2013-11-25T00:00:00"/>
    <n v="3.5"/>
    <n v="5.74"/>
    <n v="2.2400000000000002"/>
    <n v="27"/>
    <n v="154.98000000000002"/>
    <n v="0.08"/>
    <n v="12.398400000000002"/>
    <n v="142.58160000000001"/>
    <n v="5.01"/>
    <n v="147.5916"/>
  </r>
  <r>
    <s v="5323-1"/>
    <x v="146"/>
    <x v="0"/>
    <s v="Tanja Norvell"/>
    <s v="541 Church St,Richmond"/>
    <s v="Melbourne"/>
    <x v="0"/>
    <x v="2"/>
    <x v="0"/>
    <s v="Critical"/>
    <s v="UGen RF Keyboard"/>
    <s v="Technology"/>
    <s v="Small Box"/>
    <s v="Regular Air"/>
    <d v="2013-11-29T00:00:00"/>
    <n v="81.59"/>
    <n v="159.99"/>
    <n v="78.400000000000006"/>
    <n v="50"/>
    <n v="7999.5"/>
    <n v="0.05"/>
    <n v="399.97500000000002"/>
    <n v="7599.5249999999996"/>
    <n v="5.5"/>
    <n v="7605.0249999999996"/>
  </r>
  <r>
    <s v="5324-1"/>
    <x v="147"/>
    <x v="0"/>
    <s v="Maya Herman"/>
    <s v="273 George Street,Sydney"/>
    <s v="Sydney"/>
    <x v="1"/>
    <x v="1"/>
    <x v="2"/>
    <s v="High"/>
    <s v="Emerson C82 Color Inkjet Printer"/>
    <s v="Technology"/>
    <s v="Jumbo Drum"/>
    <s v="Delivery Truck"/>
    <d v="2013-12-01T00:00:00"/>
    <n v="76.790000000000006"/>
    <n v="119.99"/>
    <n v="43.199999999999989"/>
    <n v="8"/>
    <n v="959.92"/>
    <n v="0.09"/>
    <n v="86.392799999999994"/>
    <n v="873.52719999999999"/>
    <n v="14"/>
    <n v="887.52719999999999"/>
  </r>
  <r>
    <s v="5326-1"/>
    <x v="148"/>
    <x v="0"/>
    <s v="Trudy Brown"/>
    <s v="180 High Street,Windsor"/>
    <s v="Melbourne"/>
    <x v="0"/>
    <x v="3"/>
    <x v="1"/>
    <s v="Not Specified"/>
    <s v="Steady 52201 APSCO Electric Pencil Sharpener"/>
    <s v="Office Supplies"/>
    <s v="Small Pack"/>
    <s v="Express Air"/>
    <d v="2013-12-07T00:00:00"/>
    <n v="16.8"/>
    <n v="40.97"/>
    <n v="24.169999999999998"/>
    <n v="49"/>
    <n v="2007.53"/>
    <n v="0.09"/>
    <n v="180.67769999999999"/>
    <n v="1826.8523"/>
    <n v="8.99"/>
    <n v="1835.8423"/>
  </r>
  <r>
    <s v="5328-1"/>
    <x v="149"/>
    <x v="0"/>
    <s v="Gary Hwang"/>
    <s v="60 York St,Sydney"/>
    <s v="Sydney"/>
    <x v="1"/>
    <x v="0"/>
    <x v="10"/>
    <s v="Low"/>
    <s v="Smiths Metal Binder Clips"/>
    <s v="Office Supplies"/>
    <s v="Wrap Bag"/>
    <s v="Regular Air"/>
    <d v="2013-12-15T00:00:00"/>
    <n v="1.6"/>
    <n v="2.62"/>
    <n v="1.02"/>
    <n v="47"/>
    <n v="123.14"/>
    <n v="0.1"/>
    <n v="12.314"/>
    <n v="110.82599999999999"/>
    <n v="0.8"/>
    <n v="111.62599999999999"/>
  </r>
  <r>
    <s v="5330-1"/>
    <x v="149"/>
    <x v="0"/>
    <s v="Larry Tron"/>
    <s v="4A Lyons St,Strathfield"/>
    <s v="Sydney"/>
    <x v="1"/>
    <x v="0"/>
    <x v="8"/>
    <s v="Medium"/>
    <s v="Steady Pocket Accent Highlighters"/>
    <s v="Office Supplies"/>
    <s v="Wrap Bag"/>
    <s v="Regular Air"/>
    <d v="2013-12-08T00:00:00"/>
    <n v="0.93"/>
    <n v="1.6"/>
    <n v="0.67"/>
    <n v="25"/>
    <n v="40"/>
    <n v="0.1"/>
    <n v="4"/>
    <n v="36"/>
    <n v="1.29"/>
    <n v="37.29"/>
  </r>
  <r>
    <s v="5332-1"/>
    <x v="150"/>
    <x v="0"/>
    <s v="Dan Campbell"/>
    <s v="1/173-179 Bronte Rd,Waverley"/>
    <s v="Sydney"/>
    <x v="1"/>
    <x v="1"/>
    <x v="2"/>
    <s v="Critical"/>
    <s v="Bagged Rubber Bands"/>
    <s v="Office Supplies"/>
    <s v="Wrap Bag"/>
    <s v="Regular Air"/>
    <d v="2013-12-09T00:00:00"/>
    <n v="0.24"/>
    <n v="1.26"/>
    <n v="1.02"/>
    <n v="9"/>
    <n v="11.34"/>
    <n v="0.06"/>
    <n v="0.6804"/>
    <n v="10.659599999999999"/>
    <n v="0.7"/>
    <n v="11.359599999999999"/>
  </r>
  <r>
    <s v="5334-1"/>
    <x v="151"/>
    <x v="0"/>
    <s v="Eric Barreto"/>
    <s v="14 Money Street"/>
    <s v="Perth"/>
    <x v="2"/>
    <x v="3"/>
    <x v="4"/>
    <s v="Not Specified"/>
    <s v="Artisan Hanging File Binders"/>
    <s v="Office Supplies"/>
    <s v="Small Box"/>
    <s v="Regular Air"/>
    <d v="2013-12-12T00:00:00"/>
    <n v="3.65"/>
    <n v="5.98"/>
    <n v="2.3300000000000005"/>
    <n v="25"/>
    <n v="149.5"/>
    <n v="0.03"/>
    <n v="4.4849999999999994"/>
    <n v="145.01499999999999"/>
    <n v="1.49"/>
    <n v="146.505"/>
  </r>
  <r>
    <s v="5335-1"/>
    <x v="152"/>
    <x v="0"/>
    <s v="Patrick Jones"/>
    <s v="221 Barkly St,St Kilda"/>
    <s v="Melbourne"/>
    <x v="0"/>
    <x v="0"/>
    <x v="0"/>
    <s v="Low"/>
    <s v="Artisan Printable Repositionable Plastic Tabs"/>
    <s v="Office Supplies"/>
    <s v="Small Box"/>
    <s v="Regular Air"/>
    <d v="2013-12-13T00:00:00"/>
    <n v="5.33"/>
    <n v="8.6"/>
    <n v="3.2699999999999996"/>
    <n v="6"/>
    <n v="51.599999999999994"/>
    <n v="0.04"/>
    <n v="2.0639999999999996"/>
    <n v="49.535999999999994"/>
    <n v="6.19"/>
    <n v="55.725999999999992"/>
  </r>
  <r>
    <s v="5335-2"/>
    <x v="152"/>
    <x v="0"/>
    <s v="Patrick Jones"/>
    <s v="221 Barkly St,St Kilda"/>
    <s v="Melbourne"/>
    <x v="0"/>
    <x v="0"/>
    <x v="0"/>
    <s v="Low"/>
    <s v="OIC Colored Binder Clips, Assorted Sizes"/>
    <s v="Office Supplies"/>
    <s v="Wrap Bag"/>
    <s v="Regular Air"/>
    <d v="2013-12-15T00:00:00"/>
    <n v="2.29"/>
    <n v="3.58"/>
    <n v="1.29"/>
    <n v="30"/>
    <n v="107.4"/>
    <n v="0.01"/>
    <n v="1.0740000000000001"/>
    <n v="106.32600000000001"/>
    <n v="1.63"/>
    <n v="107.956"/>
  </r>
  <r>
    <s v="5336-1"/>
    <x v="152"/>
    <x v="0"/>
    <s v="Bill Stewart"/>
    <s v="37/59 Brewer Street, Perth"/>
    <s v="Sydney"/>
    <x v="1"/>
    <x v="1"/>
    <x v="8"/>
    <s v="Low"/>
    <s v="Binding Machine Supplies"/>
    <s v="Office Supplies"/>
    <s v="Small Box"/>
    <s v="Regular Air"/>
    <d v="2013-12-15T00:00:00"/>
    <n v="18.38"/>
    <n v="29.17"/>
    <n v="10.790000000000003"/>
    <n v="16"/>
    <n v="466.72"/>
    <n v="7.0000000000000007E-2"/>
    <n v="32.670400000000008"/>
    <n v="434.0496"/>
    <n v="6.27"/>
    <n v="440.31959999999998"/>
  </r>
  <r>
    <s v="5340-1"/>
    <x v="153"/>
    <x v="0"/>
    <s v="Joseph Airdo"/>
    <s v="Westfield Sydney,Sydney"/>
    <s v="Sydney"/>
    <x v="1"/>
    <x v="2"/>
    <x v="5"/>
    <s v="Not Specified"/>
    <s v="Artisan Binding System Hidden Tab Executive Style Index Sets"/>
    <s v="Office Supplies"/>
    <s v="Small Box"/>
    <s v="Regular Air"/>
    <d v="2013-12-14T00:00:00"/>
    <n v="3.75"/>
    <n v="5.77"/>
    <n v="2.0199999999999996"/>
    <n v="9"/>
    <n v="51.929999999999993"/>
    <n v="0"/>
    <n v="0"/>
    <n v="51.929999999999993"/>
    <n v="4.97"/>
    <n v="56.899999999999991"/>
  </r>
  <r>
    <s v="5342-1"/>
    <x v="153"/>
    <x v="0"/>
    <s v="Ben Peterman"/>
    <s v="22 St Georges Terrace, Perth"/>
    <s v="Sydney"/>
    <x v="1"/>
    <x v="1"/>
    <x v="2"/>
    <s v="Critical"/>
    <s v="Artisan Hi-Liter GlideStik Fluorescent Highlighter, Yellow Ink"/>
    <s v="Office Supplies"/>
    <s v="Wrap Bag"/>
    <s v="Regular Air"/>
    <d v="2013-12-15T00:00:00"/>
    <n v="1.92"/>
    <n v="3.26"/>
    <n v="1.3399999999999999"/>
    <n v="6"/>
    <n v="19.559999999999999"/>
    <n v="0.01"/>
    <n v="0.1956"/>
    <n v="19.3644"/>
    <n v="1.86"/>
    <n v="21.224399999999999"/>
  </r>
  <r>
    <s v="5343-1"/>
    <x v="154"/>
    <x v="0"/>
    <s v="Henry Goldwyn"/>
    <s v="541 Church St,Richmond"/>
    <s v="Melbourne"/>
    <x v="0"/>
    <x v="3"/>
    <x v="0"/>
    <s v="Critical"/>
    <s v="Artisan 487 Labels"/>
    <s v="Office Supplies"/>
    <s v="Small Box"/>
    <s v="Regular Air"/>
    <d v="2013-12-19T00:00:00"/>
    <n v="2.29"/>
    <n v="3.69"/>
    <n v="1.4"/>
    <n v="45"/>
    <n v="166.05"/>
    <n v="0.08"/>
    <n v="13.284000000000001"/>
    <n v="152.76600000000002"/>
    <n v="0.5"/>
    <n v="153.26600000000002"/>
  </r>
  <r>
    <s v="5345-1"/>
    <x v="155"/>
    <x v="0"/>
    <s v="Tony Molinari"/>
    <s v="85-113 Dunning Ave,Rosebery"/>
    <s v="Sydney"/>
    <x v="1"/>
    <x v="1"/>
    <x v="11"/>
    <s v="Critical"/>
    <s v="Artisan Printable Repositionable Plastic Tabs"/>
    <s v="Office Supplies"/>
    <s v="Small Box"/>
    <s v="Regular Air"/>
    <d v="2013-12-19T00:00:00"/>
    <n v="5.33"/>
    <n v="8.6"/>
    <n v="3.2699999999999996"/>
    <n v="23"/>
    <n v="197.79999999999998"/>
    <n v="0.02"/>
    <n v="3.956"/>
    <n v="193.84399999999999"/>
    <n v="6.19"/>
    <n v="200.03399999999999"/>
  </r>
  <r>
    <s v="5346-1"/>
    <x v="156"/>
    <x v="0"/>
    <s v="Joy Smith"/>
    <s v="221 Barkly St,St Kilda"/>
    <s v="Melbourne"/>
    <x v="0"/>
    <x v="2"/>
    <x v="0"/>
    <s v="High"/>
    <s v="TechSavi Cordless Navigator Duo"/>
    <s v="Technology"/>
    <s v="Small Box"/>
    <s v="Regular Air"/>
    <d v="2013-12-21T00:00:00"/>
    <n v="42.11"/>
    <n v="80.98"/>
    <n v="38.870000000000005"/>
    <n v="13"/>
    <n v="1052.74"/>
    <n v="0.03"/>
    <n v="31.5822"/>
    <n v="1021.1578"/>
    <n v="7.18"/>
    <n v="1028.3378"/>
  </r>
  <r>
    <s v="5347-1"/>
    <x v="157"/>
    <x v="0"/>
    <s v="Brian Dahlen"/>
    <s v="1-2/299 Sussex St,Sydney"/>
    <s v="Sydney"/>
    <x v="1"/>
    <x v="3"/>
    <x v="9"/>
    <s v="Critical"/>
    <s v="Adesso Programmable 142-Key Keyboard"/>
    <s v="Technology"/>
    <s v="Small Box"/>
    <s v="Regular Air"/>
    <d v="2013-12-25T00:00:00"/>
    <n v="39.64"/>
    <n v="152.47999999999999"/>
    <n v="112.83999999999999"/>
    <n v="41"/>
    <n v="6251.6799999999994"/>
    <n v="7.0000000000000007E-2"/>
    <n v="437.61759999999998"/>
    <n v="5814.0623999999998"/>
    <n v="6.5"/>
    <n v="5820.5623999999998"/>
  </r>
  <r>
    <s v="5349-1"/>
    <x v="157"/>
    <x v="0"/>
    <s v="Don Miller"/>
    <s v="120 Hardware St,Melbourne"/>
    <s v="Melbourne"/>
    <x v="0"/>
    <x v="0"/>
    <x v="1"/>
    <s v="Medium"/>
    <s v="Artisan 478 Labels"/>
    <s v="Office Supplies"/>
    <s v="Small Box"/>
    <s v="Regular Air"/>
    <d v="2013-12-23T00:00:00"/>
    <n v="3.14"/>
    <n v="4.91"/>
    <n v="1.77"/>
    <n v="12"/>
    <n v="58.92"/>
    <n v="0.04"/>
    <n v="2.3568000000000002"/>
    <n v="56.563200000000002"/>
    <n v="0.5"/>
    <n v="57.063200000000002"/>
  </r>
  <r>
    <s v="5350-1"/>
    <x v="158"/>
    <x v="0"/>
    <s v="Denise Monton"/>
    <s v="2/797 Botany Rd,Rosebery"/>
    <s v="Sydney"/>
    <x v="1"/>
    <x v="0"/>
    <x v="6"/>
    <s v="Low"/>
    <s v="Binding Machine Supplies"/>
    <s v="Office Supplies"/>
    <s v="Small Box"/>
    <s v="Regular Air"/>
    <d v="2013-12-29T00:00:00"/>
    <n v="18.38"/>
    <n v="29.17"/>
    <n v="10.790000000000003"/>
    <n v="37"/>
    <n v="1079.29"/>
    <n v="0.09"/>
    <n v="97.136099999999999"/>
    <n v="982.15390000000002"/>
    <n v="6.27"/>
    <n v="988.4239"/>
  </r>
  <r>
    <s v="5352-1"/>
    <x v="159"/>
    <x v="0"/>
    <s v="Christy Brittain"/>
    <s v="Shop 1, 186-190 Church Street,Parramatta;46a Macleay Street,Potts Point"/>
    <s v="Sydney"/>
    <x v="1"/>
    <x v="2"/>
    <x v="11"/>
    <s v="Medium"/>
    <s v="DrawIt Pizazz Watercolor Pencils, 10-Color Set with Brush"/>
    <s v="Office Supplies"/>
    <s v="Wrap Bag"/>
    <s v="Regular Air"/>
    <d v="2013-12-30T00:00:00"/>
    <n v="2.39"/>
    <n v="4.26"/>
    <n v="1.8699999999999997"/>
    <n v="26"/>
    <n v="110.75999999999999"/>
    <n v="0.1"/>
    <n v="11.076000000000001"/>
    <n v="99.683999999999997"/>
    <n v="1.2"/>
    <n v="100.884"/>
  </r>
  <r>
    <s v="5354-1"/>
    <x v="159"/>
    <x v="0"/>
    <s v="John Castell"/>
    <s v="38/133-145 Castlereagh St,Sydney"/>
    <s v="Sydney"/>
    <x v="1"/>
    <x v="3"/>
    <x v="5"/>
    <s v="Not Specified"/>
    <s v="TechSavi Cordless Elite Duo"/>
    <s v="Technology"/>
    <s v="Small Box"/>
    <s v="Regular Air"/>
    <d v="2013-12-30T00:00:00"/>
    <n v="60.59"/>
    <n v="100.98"/>
    <n v="40.39"/>
    <n v="1"/>
    <n v="100.98"/>
    <n v="0.1"/>
    <n v="10.098000000000001"/>
    <n v="90.882000000000005"/>
    <n v="7.18"/>
    <n v="98.062000000000012"/>
  </r>
  <r>
    <s v="5355-1"/>
    <x v="160"/>
    <x v="0"/>
    <s v="Duane Huffman"/>
    <s v="98 Holdsworth Street,Woollahra"/>
    <s v="Sydney"/>
    <x v="1"/>
    <x v="3"/>
    <x v="5"/>
    <s v="High"/>
    <s v="Apex Forged Steel Scissors with Black Enamel Handles"/>
    <s v="Office Supplies"/>
    <s v="Small Pack"/>
    <s v="Regular Air"/>
    <d v="2013-12-31T00:00:00"/>
    <n v="4.0999999999999996"/>
    <n v="9.31"/>
    <n v="5.2100000000000009"/>
    <n v="18"/>
    <n v="167.58"/>
    <n v="0.01"/>
    <n v="1.6758000000000002"/>
    <n v="165.9042"/>
    <n v="3.98"/>
    <n v="169.88419999999999"/>
  </r>
  <r>
    <s v="5357-1"/>
    <x v="160"/>
    <x v="0"/>
    <s v="Trudy Brown"/>
    <s v="180 High Street,Windsor"/>
    <s v="Melbourne"/>
    <x v="0"/>
    <x v="3"/>
    <x v="1"/>
    <s v="Low"/>
    <s v="Artisan Legal 4-Ring Binder"/>
    <s v="Office Supplies"/>
    <s v="Small Box"/>
    <s v="Regular Air"/>
    <d v="2013-12-30T00:00:00"/>
    <n v="13.64"/>
    <n v="20.98"/>
    <n v="7.34"/>
    <n v="23"/>
    <n v="482.54"/>
    <n v="0.03"/>
    <n v="14.4762"/>
    <n v="468.06380000000001"/>
    <n v="1.49"/>
    <n v="469.55380000000002"/>
  </r>
  <r>
    <s v="5358-1"/>
    <x v="161"/>
    <x v="1"/>
    <s v="Saphhira Shifley"/>
    <s v="Westfield Miranda, 600 Kingsway,Miranda"/>
    <s v="Sydney"/>
    <x v="1"/>
    <x v="2"/>
    <x v="12"/>
    <s v="Critical"/>
    <s v="Artisan Heavy-Duty EZD  Binder With Locking Rings"/>
    <s v="Office Supplies"/>
    <s v="Small Box"/>
    <s v="Regular Air"/>
    <d v="2014-01-06T00:00:00"/>
    <n v="3.52"/>
    <n v="5.58"/>
    <n v="2.06"/>
    <n v="49"/>
    <n v="273.42"/>
    <n v="0.02"/>
    <n v="5.4684000000000008"/>
    <n v="267.95160000000004"/>
    <n v="2.99"/>
    <n v="270.94160000000005"/>
  </r>
  <r>
    <s v="5358-2"/>
    <x v="161"/>
    <x v="1"/>
    <s v="Saphhira Shifley"/>
    <s v="Westfield Miranda, 600 Kingsway,Miranda"/>
    <s v="Sydney"/>
    <x v="1"/>
    <x v="2"/>
    <x v="12"/>
    <s v="Critical"/>
    <s v="Desktop 3-Pocket Hot File"/>
    <s v="Office Supplies"/>
    <s v="Small Box"/>
    <s v="Regular Air"/>
    <d v="2014-01-05T00:00:00"/>
    <n v="22.18"/>
    <n v="54.1"/>
    <n v="31.92"/>
    <n v="42"/>
    <n v="2272.2000000000003"/>
    <n v="0.02"/>
    <n v="45.44400000000001"/>
    <n v="2226.7560000000003"/>
    <n v="19.989999999999998"/>
    <n v="2246.7460000000001"/>
  </r>
  <r>
    <s v="5360-1"/>
    <x v="162"/>
    <x v="1"/>
    <s v="Philip Fox"/>
    <s v="73 York St,Sydney"/>
    <s v="Sydney"/>
    <x v="1"/>
    <x v="0"/>
    <x v="8"/>
    <s v="High"/>
    <s v="Economy Rollaway Files"/>
    <s v="Office Supplies"/>
    <s v="Small Box"/>
    <s v="Regular Air"/>
    <d v="2014-01-07T00:00:00"/>
    <n v="67.73"/>
    <n v="165.2"/>
    <n v="97.469999999999985"/>
    <n v="49"/>
    <n v="8094.7999999999993"/>
    <n v="0.05"/>
    <n v="404.74"/>
    <n v="7690.0599999999995"/>
    <n v="19.989999999999998"/>
    <n v="7710.0499999999993"/>
  </r>
  <r>
    <s v="5362-1"/>
    <x v="162"/>
    <x v="1"/>
    <s v="Charlotte Melton"/>
    <s v="211/25-29 Dixon St,Haymarket"/>
    <s v="Sydney"/>
    <x v="1"/>
    <x v="0"/>
    <x v="12"/>
    <s v="Medium"/>
    <s v="Smiths Bulldog Clip"/>
    <s v="Office Supplies"/>
    <s v="Wrap Bag"/>
    <s v="Regular Air"/>
    <d v="2014-01-08T00:00:00"/>
    <n v="2.31"/>
    <n v="3.78"/>
    <n v="1.4699999999999998"/>
    <n v="47"/>
    <n v="177.66"/>
    <n v="0.02"/>
    <n v="3.5531999999999999"/>
    <n v="174.10679999999999"/>
    <n v="0.71"/>
    <n v="174.8168"/>
  </r>
  <r>
    <s v="5364-1"/>
    <x v="163"/>
    <x v="1"/>
    <s v="Dionis Lloyd"/>
    <s v="85-113 Dunning Ave,Rosebery"/>
    <s v="Sydney"/>
    <x v="1"/>
    <x v="3"/>
    <x v="11"/>
    <s v="Low"/>
    <s v="Artisan Flip-Chart Easel Binder, Black"/>
    <s v="Office Supplies"/>
    <s v="Small Box"/>
    <s v="Regular Air"/>
    <d v="2014-01-15T00:00:00"/>
    <n v="13.88"/>
    <n v="22.38"/>
    <n v="8.4999999999999982"/>
    <n v="21"/>
    <n v="469.97999999999996"/>
    <n v="0.04"/>
    <n v="18.799199999999999"/>
    <n v="451.18079999999998"/>
    <n v="15.1"/>
    <n v="466.2808"/>
  </r>
  <r>
    <s v="5365-1"/>
    <x v="163"/>
    <x v="1"/>
    <s v="Sean ODonnell"/>
    <s v="541 Church St ,Richmond"/>
    <s v="Melbourne"/>
    <x v="0"/>
    <x v="1"/>
    <x v="0"/>
    <s v="Low"/>
    <s v="Steady Colorific Colored Pencils, 12/Box"/>
    <s v="Office Supplies"/>
    <s v="Wrap Bag"/>
    <s v="Regular Air"/>
    <d v="2014-01-12T00:00:00"/>
    <n v="1.3"/>
    <n v="2.88"/>
    <n v="1.5799999999999998"/>
    <n v="46"/>
    <n v="132.47999999999999"/>
    <n v="0.04"/>
    <n v="5.2991999999999999"/>
    <n v="127.18079999999999"/>
    <n v="1.01"/>
    <n v="128.1908"/>
  </r>
  <r>
    <s v="5367-1"/>
    <x v="164"/>
    <x v="1"/>
    <s v="Anne Pryor"/>
    <s v="101 Murray Street, Perth"/>
    <s v="Sydney"/>
    <x v="1"/>
    <x v="0"/>
    <x v="9"/>
    <s v="Medium"/>
    <s v="3Max Organizer Strips"/>
    <s v="Office Supplies"/>
    <s v="Small Box"/>
    <s v="Express Air"/>
    <d v="2014-01-10T00:00:00"/>
    <n v="3.4"/>
    <n v="5.4"/>
    <n v="2.0000000000000004"/>
    <n v="9"/>
    <n v="48.6"/>
    <n v="0.09"/>
    <n v="4.3739999999999997"/>
    <n v="44.225999999999999"/>
    <n v="7.78"/>
    <n v="52.006"/>
  </r>
  <r>
    <s v="5367-2"/>
    <x v="164"/>
    <x v="1"/>
    <s v="Anne Pryor"/>
    <s v="101 Murray Street, Perth"/>
    <s v="Sydney"/>
    <x v="1"/>
    <x v="0"/>
    <x v="9"/>
    <s v="Medium"/>
    <s v="Office Shears by Apex"/>
    <s v="Office Supplies"/>
    <s v="Small Pack"/>
    <s v="Regular Air"/>
    <d v="2014-01-11T00:00:00"/>
    <n v="0.94"/>
    <n v="2.08"/>
    <n v="1.1400000000000001"/>
    <n v="43"/>
    <n v="89.44"/>
    <n v="0.05"/>
    <n v="4.4720000000000004"/>
    <n v="84.968000000000004"/>
    <n v="2.56"/>
    <n v="87.528000000000006"/>
  </r>
  <r>
    <s v="5369-1"/>
    <x v="164"/>
    <x v="1"/>
    <s v="Nick Zandusky"/>
    <s v="224A Gertrude St,Fitzroy"/>
    <s v="Melbourne"/>
    <x v="0"/>
    <x v="3"/>
    <x v="1"/>
    <s v="Not Specified"/>
    <s v="3Max Polarizing Task Lamp with Clamp Arm, Light Gray"/>
    <s v="Furniture"/>
    <s v="Large Box"/>
    <s v="Express Air"/>
    <d v="2014-01-11T00:00:00"/>
    <n v="56.16"/>
    <n v="136.97999999999999"/>
    <n v="80.819999999999993"/>
    <n v="18"/>
    <n v="2465.64"/>
    <n v="0.02"/>
    <n v="49.312799999999996"/>
    <n v="2416.3271999999997"/>
    <n v="24.49"/>
    <n v="2440.8171999999995"/>
  </r>
  <r>
    <s v="5373-1"/>
    <x v="165"/>
    <x v="1"/>
    <s v="Ashley Jarboe"/>
    <s v="14 Knebworth Avenue, Perth"/>
    <s v="Melbourne"/>
    <x v="0"/>
    <x v="0"/>
    <x v="1"/>
    <s v="Low"/>
    <s v="TypeRight  Top-Opening Peel &amp; Seel  Envelopes, Gray"/>
    <s v="Office Supplies"/>
    <s v="Small Box"/>
    <s v="Regular Air"/>
    <d v="2014-01-18T00:00:00"/>
    <n v="21.56"/>
    <n v="35.94"/>
    <n v="14.379999999999999"/>
    <n v="13"/>
    <n v="467.21999999999997"/>
    <n v="0.09"/>
    <n v="42.049799999999998"/>
    <n v="425.17019999999997"/>
    <n v="6.66"/>
    <n v="431.83019999999999"/>
  </r>
  <r>
    <s v="5375-1"/>
    <x v="166"/>
    <x v="1"/>
    <s v="Nat Gilpin"/>
    <s v="274 Canley Vale Rd,Canley Heights"/>
    <s v="Sydney"/>
    <x v="1"/>
    <x v="2"/>
    <x v="2"/>
    <s v="Not Specified"/>
    <s v="3Max Organizer Strips"/>
    <s v="Office Supplies"/>
    <s v="Small Box"/>
    <s v="Express Air"/>
    <d v="2014-01-16T00:00:00"/>
    <n v="3.4"/>
    <n v="5.4"/>
    <n v="2.0000000000000004"/>
    <n v="14"/>
    <n v="75.600000000000009"/>
    <n v="0.09"/>
    <n v="6.8040000000000003"/>
    <n v="68.796000000000006"/>
    <n v="7.78"/>
    <n v="76.576000000000008"/>
  </r>
  <r>
    <s v="5377-1"/>
    <x v="166"/>
    <x v="1"/>
    <s v="Fred Wasserman"/>
    <s v="61 York St,Sydney"/>
    <s v="Sydney"/>
    <x v="1"/>
    <x v="0"/>
    <x v="2"/>
    <s v="Not Specified"/>
    <s v="Fluorescent Highlighters by DrawIt"/>
    <s v="Office Supplies"/>
    <s v="Wrap Bag"/>
    <s v="Regular Air"/>
    <d v="2014-01-17T00:00:00"/>
    <n v="1.95"/>
    <n v="3.98"/>
    <n v="2.0300000000000002"/>
    <n v="41"/>
    <n v="163.18"/>
    <n v="7.0000000000000007E-2"/>
    <n v="11.422600000000001"/>
    <n v="151.75740000000002"/>
    <n v="0.83"/>
    <n v="152.58740000000003"/>
  </r>
  <r>
    <s v="5379-1"/>
    <x v="167"/>
    <x v="1"/>
    <s v="Aleksandra Gannaway"/>
    <s v="508/130 Mounts Bay Road, Perth"/>
    <s v="Perth"/>
    <x v="2"/>
    <x v="1"/>
    <x v="8"/>
    <s v="Medium"/>
    <s v="Apex Straight Scissors"/>
    <s v="Office Supplies"/>
    <s v="Small Pack"/>
    <s v="Express Air"/>
    <d v="2014-01-17T00:00:00"/>
    <n v="5.19"/>
    <n v="12.98"/>
    <n v="7.79"/>
    <n v="34"/>
    <n v="441.32"/>
    <n v="0.04"/>
    <n v="17.652799999999999"/>
    <n v="423.66719999999998"/>
    <n v="3.14"/>
    <n v="426.80719999999997"/>
  </r>
  <r>
    <s v="5381-1"/>
    <x v="167"/>
    <x v="1"/>
    <s v="Sanjit Engle"/>
    <s v="12 Princess Hwy,Sylvania"/>
    <s v="Sydney"/>
    <x v="1"/>
    <x v="0"/>
    <x v="3"/>
    <s v="Medium"/>
    <s v="Emerson LQ-870 Dot Matrix Printer"/>
    <s v="Technology"/>
    <s v="Jumbo Drum"/>
    <s v="Delivery Truck"/>
    <d v="2014-01-17T00:00:00"/>
    <n v="219.61"/>
    <n v="535.64"/>
    <n v="316.02999999999997"/>
    <n v="1"/>
    <n v="535.64"/>
    <n v="0.05"/>
    <n v="26.782"/>
    <n v="508.858"/>
    <n v="14.7"/>
    <n v="523.55799999999999"/>
  </r>
  <r>
    <s v="5383-1"/>
    <x v="168"/>
    <x v="1"/>
    <s v="Patrick OBrill"/>
    <s v="27/580 Hay Street"/>
    <s v="Perth"/>
    <x v="2"/>
    <x v="0"/>
    <x v="8"/>
    <s v="Critical"/>
    <s v="Artisan 48 Labels"/>
    <s v="Office Supplies"/>
    <s v="Small Box"/>
    <s v="Regular Air"/>
    <d v="2014-01-19T00:00:00"/>
    <n v="3.84"/>
    <n v="6.3"/>
    <n v="2.46"/>
    <n v="32"/>
    <n v="201.6"/>
    <n v="0.04"/>
    <n v="8.0640000000000001"/>
    <n v="193.536"/>
    <n v="0.5"/>
    <n v="194.036"/>
  </r>
  <r>
    <s v="5384-1"/>
    <x v="169"/>
    <x v="1"/>
    <s v="Mark Van Huff"/>
    <s v="1 John Street,Waterloo"/>
    <s v="Sydney"/>
    <x v="1"/>
    <x v="0"/>
    <x v="10"/>
    <s v="Not Specified"/>
    <s v="Binder Clips by OIC"/>
    <s v="Office Supplies"/>
    <s v="Wrap Bag"/>
    <s v="Regular Air"/>
    <d v="2014-01-25T00:00:00"/>
    <n v="0.93"/>
    <n v="1.48"/>
    <n v="0.54999999999999993"/>
    <n v="27"/>
    <n v="39.96"/>
    <n v="0"/>
    <n v="0"/>
    <n v="39.96"/>
    <n v="0.7"/>
    <n v="40.660000000000004"/>
  </r>
  <r>
    <s v="5386-1"/>
    <x v="170"/>
    <x v="1"/>
    <s v="Helen Andreada"/>
    <s v="470 Anzac Parade,Kingsford"/>
    <s v="Sydney"/>
    <x v="1"/>
    <x v="1"/>
    <x v="8"/>
    <s v="High"/>
    <s v="Emerson C82 Color Inkjet Printer"/>
    <s v="Technology"/>
    <s v="Jumbo Drum"/>
    <s v="Delivery Truck"/>
    <d v="2014-01-26T00:00:00"/>
    <n v="76.790000000000006"/>
    <n v="119.99"/>
    <n v="43.199999999999989"/>
    <n v="13"/>
    <n v="1559.87"/>
    <n v="0.04"/>
    <n v="62.394799999999996"/>
    <n v="1497.4751999999999"/>
    <n v="14"/>
    <n v="1511.4751999999999"/>
  </r>
  <r>
    <s v="5388-1"/>
    <x v="171"/>
    <x v="1"/>
    <s v="Darrin Van Huff"/>
    <s v="53-55 Liverpool St,Sydney"/>
    <s v="Sydney"/>
    <x v="1"/>
    <x v="0"/>
    <x v="8"/>
    <s v="Medium"/>
    <s v="12 Colored Short Pencils"/>
    <s v="Office Supplies"/>
    <s v="Wrap Bag"/>
    <s v="Regular Air"/>
    <d v="2014-01-27T00:00:00"/>
    <n v="1.0900000000000001"/>
    <n v="2.6"/>
    <n v="1.51"/>
    <n v="27"/>
    <n v="70.2"/>
    <n v="0.09"/>
    <n v="6.3179999999999996"/>
    <n v="63.882000000000005"/>
    <n v="2.4"/>
    <n v="66.282000000000011"/>
  </r>
  <r>
    <s v="5389-1"/>
    <x v="172"/>
    <x v="1"/>
    <s v="Sarah Jordon"/>
    <s v="180 High Street,Windsor"/>
    <s v="Melbourne"/>
    <x v="0"/>
    <x v="2"/>
    <x v="1"/>
    <s v="Low"/>
    <s v="Aluminum Document Frame"/>
    <s v="Furniture"/>
    <s v="Small Pack"/>
    <s v="Regular Air"/>
    <d v="2014-02-02T00:00:00"/>
    <n v="5.5"/>
    <n v="12.22"/>
    <n v="6.7200000000000006"/>
    <n v="19"/>
    <n v="232.18"/>
    <n v="0.09"/>
    <n v="20.8962"/>
    <n v="211.28380000000001"/>
    <n v="2.85"/>
    <n v="214.13380000000001"/>
  </r>
  <r>
    <s v="5391-1"/>
    <x v="172"/>
    <x v="1"/>
    <s v="Bill Eplett"/>
    <s v="18 Robinson Avenue, Perth"/>
    <s v="Sydney"/>
    <x v="1"/>
    <x v="1"/>
    <x v="8"/>
    <s v="Critical"/>
    <s v="TechSavi Access Keyboard"/>
    <s v="Technology"/>
    <s v="Small Box"/>
    <s v="Regular Air"/>
    <d v="2014-01-27T00:00:00"/>
    <n v="10.07"/>
    <n v="15.98"/>
    <n v="5.91"/>
    <n v="8"/>
    <n v="127.84"/>
    <n v="0.04"/>
    <n v="5.1135999999999999"/>
    <n v="122.7264"/>
    <n v="4"/>
    <n v="126.7264"/>
  </r>
  <r>
    <s v="5392-1"/>
    <x v="173"/>
    <x v="1"/>
    <s v="Ken Lonsdale"/>
    <s v="99 Lygon Street,East Brunswick"/>
    <s v="Melbourne"/>
    <x v="0"/>
    <x v="2"/>
    <x v="1"/>
    <s v="High"/>
    <s v="Artisan Printable Repositionable Plastic Tabs"/>
    <s v="Office Supplies"/>
    <s v="Small Box"/>
    <s v="Regular Air"/>
    <d v="2014-01-27T00:00:00"/>
    <n v="5.33"/>
    <n v="8.6"/>
    <n v="3.2699999999999996"/>
    <n v="4"/>
    <n v="34.4"/>
    <n v="0.04"/>
    <n v="1.3759999999999999"/>
    <n v="33.024000000000001"/>
    <n v="6.19"/>
    <n v="39.213999999999999"/>
  </r>
  <r>
    <s v="5393-1"/>
    <x v="174"/>
    <x v="1"/>
    <s v="Michael Nguyen"/>
    <s v="48 Albion St,Surry Hills"/>
    <s v="Sydney"/>
    <x v="1"/>
    <x v="3"/>
    <x v="5"/>
    <s v="High"/>
    <s v="TypeRight Side-Opening Peel &amp; Seel Expanding Envelopes"/>
    <s v="Office Supplies"/>
    <s v="Small Box"/>
    <s v="Regular Air"/>
    <d v="2014-02-01T00:00:00"/>
    <n v="54.29"/>
    <n v="90.48"/>
    <n v="36.190000000000005"/>
    <n v="27"/>
    <n v="2442.96"/>
    <n v="0"/>
    <n v="0"/>
    <n v="2442.96"/>
    <n v="19.989999999999998"/>
    <n v="2462.9499999999998"/>
  </r>
  <r>
    <s v="5394-1"/>
    <x v="175"/>
    <x v="1"/>
    <s v="Hilary Holden"/>
    <s v="2a/285A Crown St,Surry Hills"/>
    <s v="Sydney"/>
    <x v="1"/>
    <x v="1"/>
    <x v="4"/>
    <s v="Critical"/>
    <s v="Artisan Legal 4-Ring Binder"/>
    <s v="Office Supplies"/>
    <s v="Small Box"/>
    <s v="Regular Air"/>
    <d v="2014-02-01T00:00:00"/>
    <n v="13.64"/>
    <n v="20.98"/>
    <n v="7.34"/>
    <n v="31"/>
    <n v="650.38"/>
    <n v="0.09"/>
    <n v="58.534199999999998"/>
    <n v="591.84580000000005"/>
    <n v="1.49"/>
    <n v="593.33580000000006"/>
  </r>
  <r>
    <s v="5395-1"/>
    <x v="175"/>
    <x v="1"/>
    <s v="Brooke Gillingham"/>
    <s v="21 Wentworth St,Parramatta"/>
    <s v="Sydney"/>
    <x v="1"/>
    <x v="3"/>
    <x v="9"/>
    <s v="Medium"/>
    <s v="Wirebound Message Book, 4 per Page"/>
    <s v="Office Supplies"/>
    <s v="Wrap Bag"/>
    <s v="Regular Air"/>
    <d v="2014-02-01T00:00:00"/>
    <n v="3.48"/>
    <n v="5.43"/>
    <n v="1.9499999999999997"/>
    <n v="2"/>
    <n v="10.86"/>
    <n v="0.1"/>
    <n v="1.0860000000000001"/>
    <n v="9.7739999999999991"/>
    <n v="0.95"/>
    <n v="10.723999999999998"/>
  </r>
  <r>
    <s v="5396-1"/>
    <x v="176"/>
    <x v="1"/>
    <s v="Suzanne McNair"/>
    <s v="Crown Complex,Southbank"/>
    <s v="Melbourne"/>
    <x v="0"/>
    <x v="3"/>
    <x v="1"/>
    <s v="Low"/>
    <s v="Colored Envelopes"/>
    <s v="Office Supplies"/>
    <s v="Small Box"/>
    <s v="Regular Air"/>
    <d v="2014-02-07T00:00:00"/>
    <n v="2.25"/>
    <n v="3.69"/>
    <n v="1.44"/>
    <n v="20"/>
    <n v="73.8"/>
    <n v="0.08"/>
    <n v="5.9039999999999999"/>
    <n v="67.896000000000001"/>
    <n v="2.5"/>
    <n v="70.396000000000001"/>
  </r>
  <r>
    <s v="5398-1"/>
    <x v="177"/>
    <x v="1"/>
    <s v="Mathew Reese"/>
    <s v="27 Greenfield Parade,Bankstown"/>
    <s v="Sydney"/>
    <x v="1"/>
    <x v="3"/>
    <x v="3"/>
    <s v="Critical"/>
    <s v="UGen Ultra Cordless Optical Suite"/>
    <s v="Technology"/>
    <s v="Small Box"/>
    <s v="Regular Air"/>
    <d v="2014-02-04T00:00:00"/>
    <n v="54.52"/>
    <n v="100.97"/>
    <n v="46.449999999999996"/>
    <n v="15"/>
    <n v="1514.55"/>
    <n v="0.08"/>
    <n v="121.164"/>
    <n v="1393.386"/>
    <n v="7.18"/>
    <n v="1400.566"/>
  </r>
  <r>
    <s v="5400-1"/>
    <x v="178"/>
    <x v="1"/>
    <s v="Dennis Kane"/>
    <s v="33/4 Barangaroo Avenue,Sydney"/>
    <s v="Sydney"/>
    <x v="1"/>
    <x v="3"/>
    <x v="5"/>
    <s v="Medium"/>
    <s v="Cando PC940 Copier"/>
    <s v="Technology"/>
    <s v="Jumbo Drum"/>
    <s v="Delivery Truck"/>
    <d v="2014-02-06T00:00:00"/>
    <n v="278.99"/>
    <n v="449.99"/>
    <n v="171"/>
    <n v="39"/>
    <n v="17549.61"/>
    <n v="0.08"/>
    <n v="1403.9688000000001"/>
    <n v="16145.6412"/>
    <n v="49"/>
    <n v="16194.6412"/>
  </r>
  <r>
    <s v="5402-1"/>
    <x v="179"/>
    <x v="1"/>
    <s v="Logan Haushalter"/>
    <s v="222 Barkly St,St Kilda"/>
    <s v="Melbourne"/>
    <x v="0"/>
    <x v="1"/>
    <x v="0"/>
    <s v="Low"/>
    <s v="HFX LaserJet 3310 Copier"/>
    <s v="Technology"/>
    <s v="Large Box"/>
    <s v="Regular Air"/>
    <d v="2014-02-16T00:00:00"/>
    <n v="377.99"/>
    <n v="599.99"/>
    <n v="222"/>
    <n v="48"/>
    <n v="28799.52"/>
    <n v="0.08"/>
    <n v="2303.9616000000001"/>
    <n v="26495.558400000002"/>
    <n v="24.49"/>
    <n v="26520.048400000003"/>
  </r>
  <r>
    <s v="5402-2"/>
    <x v="179"/>
    <x v="1"/>
    <s v="Logan Haushalter"/>
    <s v="222 Barkly St,St Kilda"/>
    <s v="Melbourne"/>
    <x v="0"/>
    <x v="1"/>
    <x v="0"/>
    <s v="Low"/>
    <s v="Unpadded Memo Slips"/>
    <s v="Office Supplies"/>
    <s v="Wrap Bag"/>
    <s v="Express Air"/>
    <d v="2014-02-12T00:00:00"/>
    <n v="2.59"/>
    <n v="3.98"/>
    <n v="1.3900000000000001"/>
    <n v="11"/>
    <n v="43.78"/>
    <n v="0.1"/>
    <n v="4.3780000000000001"/>
    <n v="39.402000000000001"/>
    <n v="2.97"/>
    <n v="42.372"/>
  </r>
  <r>
    <s v="5404-1"/>
    <x v="180"/>
    <x v="1"/>
    <s v="Susan MacKendrick"/>
    <s v="53 Riley Street,Woolloomooloo"/>
    <s v="Sydney"/>
    <x v="1"/>
    <x v="1"/>
    <x v="8"/>
    <s v="Low"/>
    <s v="Artisan Poly Binder Pockets"/>
    <s v="Office Supplies"/>
    <s v="Small Box"/>
    <s v="Regular Air"/>
    <d v="2014-02-13T00:00:00"/>
    <n v="2.2599999999999998"/>
    <n v="3.58"/>
    <n v="1.3200000000000003"/>
    <n v="42"/>
    <n v="150.36000000000001"/>
    <n v="0.01"/>
    <n v="1.5036000000000003"/>
    <n v="148.85640000000001"/>
    <n v="5.47"/>
    <n v="154.32640000000001"/>
  </r>
  <r>
    <s v="5405-1"/>
    <x v="181"/>
    <x v="1"/>
    <s v="Dennis Pardue"/>
    <s v="412 Brunswick St,Fitzroy"/>
    <s v="Melbourne"/>
    <x v="0"/>
    <x v="3"/>
    <x v="1"/>
    <s v="Critical"/>
    <s v="1726 Digital Answering Machine"/>
    <s v="Technology"/>
    <s v="Medium Box"/>
    <s v="Regular Air"/>
    <d v="2014-02-11T00:00:00"/>
    <n v="8.82"/>
    <n v="20.99"/>
    <n v="12.169999999999998"/>
    <n v="42"/>
    <n v="881.57999999999993"/>
    <n v="7.0000000000000007E-2"/>
    <n v="61.710599999999999"/>
    <n v="819.86939999999993"/>
    <n v="4.8099999999999996"/>
    <n v="824.67939999999987"/>
  </r>
  <r>
    <s v="5407-1"/>
    <x v="181"/>
    <x v="1"/>
    <s v="Elpida Rittenbach"/>
    <s v="163 Concord Road,North Strathfield"/>
    <s v="Sydney"/>
    <x v="1"/>
    <x v="2"/>
    <x v="10"/>
    <s v="Low"/>
    <s v="Ames Color-File Green Diamond Border X-ray Mailers"/>
    <s v="Office Supplies"/>
    <s v="Small Box"/>
    <s v="Express Air"/>
    <d v="2014-02-12T00:00:00"/>
    <n v="52.07"/>
    <n v="83.98"/>
    <n v="31.910000000000004"/>
    <n v="9"/>
    <n v="755.82"/>
    <n v="0.05"/>
    <n v="37.791000000000004"/>
    <n v="718.029"/>
    <n v="5.01"/>
    <n v="723.03899999999999"/>
  </r>
  <r>
    <s v="5409-1"/>
    <x v="182"/>
    <x v="1"/>
    <s v="Julie Prescott"/>
    <s v="438 Victoria Avenue,Chatswood"/>
    <s v="Sydney"/>
    <x v="1"/>
    <x v="0"/>
    <x v="5"/>
    <s v="High"/>
    <s v="Cando PC940 Copier"/>
    <s v="Technology"/>
    <s v="Large Box"/>
    <s v="Regular Air"/>
    <d v="2014-02-13T00:00:00"/>
    <n v="216"/>
    <n v="449.99"/>
    <n v="233.99"/>
    <n v="5"/>
    <n v="2249.9499999999998"/>
    <n v="0.02"/>
    <n v="44.998999999999995"/>
    <n v="2204.951"/>
    <n v="24.49"/>
    <n v="2229.4409999999998"/>
  </r>
  <r>
    <s v="5411-1"/>
    <x v="183"/>
    <x v="1"/>
    <s v="Steve Nguyen"/>
    <s v="61 York St,Sydney"/>
    <s v="Sydney"/>
    <x v="1"/>
    <x v="2"/>
    <x v="2"/>
    <s v="High"/>
    <s v="Artisan Hi-Liter Pen Style Six-Color Fluorescent Set"/>
    <s v="Office Supplies"/>
    <s v="Wrap Bag"/>
    <s v="Regular Air"/>
    <d v="2014-02-13T00:00:00"/>
    <n v="2.16"/>
    <n v="3.85"/>
    <n v="1.69"/>
    <n v="31"/>
    <n v="119.35000000000001"/>
    <n v="0.09"/>
    <n v="10.7415"/>
    <n v="108.60850000000001"/>
    <n v="0.7"/>
    <n v="109.30850000000001"/>
  </r>
  <r>
    <s v="5413-1"/>
    <x v="184"/>
    <x v="1"/>
    <s v="Sandra Glassco"/>
    <s v="224A Gertrude St,Fitzroy"/>
    <s v="Melbourne"/>
    <x v="0"/>
    <x v="0"/>
    <x v="1"/>
    <s v="Medium"/>
    <s v="Blackstonian Pencils"/>
    <s v="Office Supplies"/>
    <s v="Wrap Bag"/>
    <s v="Regular Air"/>
    <d v="2014-02-16T00:00:00"/>
    <n v="1.1499999999999999"/>
    <n v="2.67"/>
    <n v="1.52"/>
    <n v="19"/>
    <n v="50.73"/>
    <n v="0.03"/>
    <n v="1.5218999999999998"/>
    <n v="49.208099999999995"/>
    <n v="0.86"/>
    <n v="50.068099999999994"/>
  </r>
  <r>
    <s v="5415-1"/>
    <x v="184"/>
    <x v="1"/>
    <s v="Yana Sorensen"/>
    <s v="53-55 Liverpool St,Sydney"/>
    <s v="Sydney"/>
    <x v="1"/>
    <x v="1"/>
    <x v="8"/>
    <s v="Low"/>
    <s v="Creator Colored Pencils"/>
    <s v="Office Supplies"/>
    <s v="Wrap Bag"/>
    <s v="Express Air"/>
    <d v="2014-02-20T00:00:00"/>
    <n v="1.57"/>
    <n v="3.28"/>
    <n v="1.7099999999999997"/>
    <n v="44"/>
    <n v="144.32"/>
    <n v="0"/>
    <n v="0"/>
    <n v="144.32"/>
    <n v="0.98"/>
    <n v="145.29999999999998"/>
  </r>
  <r>
    <s v="5416-1"/>
    <x v="185"/>
    <x v="1"/>
    <s v="Pamela Coakley"/>
    <s v="120 Hardware St,Melbourne"/>
    <s v="Melbourne"/>
    <x v="0"/>
    <x v="1"/>
    <x v="0"/>
    <s v="High"/>
    <s v="1726 Digital Answering Machine"/>
    <s v="Technology"/>
    <s v="Medium Box"/>
    <s v="Regular Air"/>
    <d v="2014-02-18T00:00:00"/>
    <n v="8.82"/>
    <n v="20.99"/>
    <n v="12.169999999999998"/>
    <n v="24"/>
    <n v="503.76"/>
    <n v="0.01"/>
    <n v="5.0376000000000003"/>
    <n v="498.72239999999999"/>
    <n v="4.8099999999999996"/>
    <n v="503.5324"/>
  </r>
  <r>
    <s v="5418-1"/>
    <x v="186"/>
    <x v="1"/>
    <s v="Amy Cox"/>
    <s v="101/12 Victoria Ave, Perth"/>
    <s v="Sydney"/>
    <x v="1"/>
    <x v="1"/>
    <x v="9"/>
    <s v="Critical"/>
    <s v="Apex Box Cutter Scissors"/>
    <s v="Office Supplies"/>
    <s v="Small Pack"/>
    <s v="Regular Air"/>
    <d v="2014-02-23T00:00:00"/>
    <n v="4.1900000000000004"/>
    <n v="10.23"/>
    <n v="6.04"/>
    <n v="9"/>
    <n v="92.070000000000007"/>
    <n v="7.0000000000000007E-2"/>
    <n v="6.4449000000000014"/>
    <n v="85.625100000000003"/>
    <n v="4.68"/>
    <n v="90.30510000000001"/>
  </r>
  <r>
    <s v="5420-1"/>
    <x v="186"/>
    <x v="1"/>
    <s v="Sanjit Jacobs"/>
    <s v="541 Church St,Richmond"/>
    <s v="Melbourne"/>
    <x v="0"/>
    <x v="2"/>
    <x v="0"/>
    <s v="High"/>
    <s v="Binder Clips by OIC"/>
    <s v="Office Supplies"/>
    <s v="Wrap Bag"/>
    <s v="Regular Air"/>
    <d v="2014-02-23T00:00:00"/>
    <n v="0.93"/>
    <n v="1.48"/>
    <n v="0.54999999999999993"/>
    <n v="46"/>
    <n v="68.08"/>
    <n v="0"/>
    <n v="0"/>
    <n v="68.08"/>
    <n v="0.7"/>
    <n v="68.78"/>
  </r>
  <r>
    <s v="5421-1"/>
    <x v="186"/>
    <x v="1"/>
    <s v="Grant Thornton"/>
    <s v="98 Holdsworth Street,Woollahra"/>
    <s v="Sydney"/>
    <x v="1"/>
    <x v="1"/>
    <x v="5"/>
    <s v="High"/>
    <s v="TypeRight  Top-Opening Peel &amp; Seel  Envelopes, Gray"/>
    <s v="Office Supplies"/>
    <s v="Small Box"/>
    <s v="Regular Air"/>
    <d v="2014-02-23T00:00:00"/>
    <n v="21.56"/>
    <n v="35.94"/>
    <n v="14.379999999999999"/>
    <n v="13"/>
    <n v="467.21999999999997"/>
    <n v="0.03"/>
    <n v="14.016599999999999"/>
    <n v="453.20339999999999"/>
    <n v="6.66"/>
    <n v="459.86340000000001"/>
  </r>
  <r>
    <s v="5423-1"/>
    <x v="187"/>
    <x v="1"/>
    <s v="Erica Hackney"/>
    <s v="221 Barkly St,St Kilda"/>
    <s v="Melbourne"/>
    <x v="0"/>
    <x v="3"/>
    <x v="0"/>
    <s v="Medium"/>
    <s v="TechSavi Cordless Navigator Duo"/>
    <s v="Technology"/>
    <s v="Small Box"/>
    <s v="Regular Air"/>
    <d v="2014-02-26T00:00:00"/>
    <n v="42.11"/>
    <n v="80.98"/>
    <n v="38.870000000000005"/>
    <n v="45"/>
    <n v="3644.1000000000004"/>
    <n v="0"/>
    <n v="0"/>
    <n v="3644.1000000000004"/>
    <n v="7.18"/>
    <n v="3651.28"/>
  </r>
  <r>
    <s v="5424-1"/>
    <x v="188"/>
    <x v="1"/>
    <s v="Chad McGuire"/>
    <s v="73 MacLeay St,Potts Point"/>
    <s v="Sydney"/>
    <x v="1"/>
    <x v="3"/>
    <x v="5"/>
    <s v="Critical"/>
    <s v="Artisan Non-Stick Binders"/>
    <s v="Office Supplies"/>
    <s v="Small Box"/>
    <s v="Regular Air"/>
    <d v="2014-02-25T00:00:00"/>
    <n v="2.74"/>
    <n v="4.49"/>
    <n v="1.75"/>
    <n v="6"/>
    <n v="26.94"/>
    <n v="0.03"/>
    <n v="0.80820000000000003"/>
    <n v="26.131800000000002"/>
    <n v="1.49"/>
    <n v="27.6218"/>
  </r>
  <r>
    <s v="5426-1"/>
    <x v="188"/>
    <x v="1"/>
    <s v="Pauline Chand"/>
    <s v="501 George St,Sydney"/>
    <s v="Sydney"/>
    <x v="1"/>
    <x v="3"/>
    <x v="6"/>
    <s v="Not Specified"/>
    <s v="EcoTones Memo Sheets"/>
    <s v="Office Supplies"/>
    <s v="Wrap Bag"/>
    <s v="Regular Air"/>
    <d v="2014-02-26T00:00:00"/>
    <n v="2.52"/>
    <n v="4"/>
    <n v="1.48"/>
    <n v="33"/>
    <n v="132"/>
    <n v="0.08"/>
    <n v="10.56"/>
    <n v="121.44"/>
    <n v="1.3"/>
    <n v="122.74"/>
  </r>
  <r>
    <s v="5428-1"/>
    <x v="189"/>
    <x v="1"/>
    <s v="Bobby Elias"/>
    <s v="37/59 Brewer Street, Perth"/>
    <s v="Melbourne"/>
    <x v="0"/>
    <x v="3"/>
    <x v="1"/>
    <s v="Not Specified"/>
    <s v="Creator Colored Pencils"/>
    <s v="Office Supplies"/>
    <s v="Wrap Bag"/>
    <s v="Regular Air"/>
    <d v="2014-02-26T00:00:00"/>
    <n v="1.57"/>
    <n v="3.28"/>
    <n v="1.7099999999999997"/>
    <n v="26"/>
    <n v="85.28"/>
    <n v="0.08"/>
    <n v="6.8224"/>
    <n v="78.457599999999999"/>
    <n v="0.98"/>
    <n v="79.437600000000003"/>
  </r>
  <r>
    <s v="5430-1"/>
    <x v="189"/>
    <x v="1"/>
    <s v="Gary Hwang"/>
    <s v="60 York St,Sydney"/>
    <s v="Sydney"/>
    <x v="1"/>
    <x v="0"/>
    <x v="10"/>
    <s v="Critical"/>
    <s v="Steady Liquid Accent Highlighters"/>
    <s v="Office Supplies"/>
    <s v="Wrap Bag"/>
    <s v="Regular Air"/>
    <d v="2014-02-27T00:00:00"/>
    <n v="3.47"/>
    <n v="6.68"/>
    <n v="3.2099999999999995"/>
    <n v="33"/>
    <n v="220.44"/>
    <n v="0.03"/>
    <n v="6.6132"/>
    <n v="213.82679999999999"/>
    <n v="1.5"/>
    <n v="215.32679999999999"/>
  </r>
  <r>
    <s v="5432-1"/>
    <x v="190"/>
    <x v="1"/>
    <s v="Lena Radford"/>
    <s v="4A Lyons St,Strathfield"/>
    <s v="Sydney"/>
    <x v="1"/>
    <x v="3"/>
    <x v="8"/>
    <s v="Medium"/>
    <s v="Steady EarthWrite Recycled Pencils, Medium Soft, #2"/>
    <s v="Office Supplies"/>
    <s v="Wrap Bag"/>
    <s v="Regular Air"/>
    <d v="2014-03-01T00:00:00"/>
    <n v="0.9"/>
    <n v="2.1"/>
    <n v="1.2000000000000002"/>
    <n v="21"/>
    <n v="44.1"/>
    <n v="0.04"/>
    <n v="1.764"/>
    <n v="42.335999999999999"/>
    <n v="0.7"/>
    <n v="43.036000000000001"/>
  </r>
  <r>
    <s v="5433-1"/>
    <x v="191"/>
    <x v="1"/>
    <s v="Edward Nazzal"/>
    <s v="2a/285A Crown St,Surry Hills"/>
    <s v="Sydney"/>
    <x v="1"/>
    <x v="0"/>
    <x v="4"/>
    <s v="Medium"/>
    <s v="Binding Machine Supplies"/>
    <s v="Office Supplies"/>
    <s v="Small Box"/>
    <s v="Regular Air"/>
    <d v="2014-03-03T00:00:00"/>
    <n v="18.38"/>
    <n v="29.17"/>
    <n v="10.790000000000003"/>
    <n v="1"/>
    <n v="29.17"/>
    <n v="0.02"/>
    <n v="0.58340000000000003"/>
    <n v="28.586600000000001"/>
    <n v="6.27"/>
    <n v="34.8566"/>
  </r>
  <r>
    <s v="5434-1"/>
    <x v="192"/>
    <x v="1"/>
    <s v="Delfina Latchford"/>
    <s v="8 Rankins Lane ,Melbourne"/>
    <s v="Melbourne"/>
    <x v="0"/>
    <x v="3"/>
    <x v="1"/>
    <s v="Critical"/>
    <s v="Beekin 6 Outlet Metallic Surge Strip"/>
    <s v="Office Supplies"/>
    <s v="Small Box"/>
    <s v="Regular Air"/>
    <d v="2014-03-07T00:00:00"/>
    <n v="4.46"/>
    <n v="10.89"/>
    <n v="6.4300000000000006"/>
    <n v="32"/>
    <n v="348.48"/>
    <n v="0.1"/>
    <n v="34.848000000000006"/>
    <n v="313.63200000000001"/>
    <n v="4.5"/>
    <n v="318.13200000000001"/>
  </r>
  <r>
    <s v="5435-1"/>
    <x v="193"/>
    <x v="1"/>
    <s v="Adam Hart"/>
    <s v="2a/285A Crown St,Surry Hills"/>
    <s v="Sydney"/>
    <x v="1"/>
    <x v="1"/>
    <x v="4"/>
    <s v="Not Specified"/>
    <s v="Artisan 481 Labels"/>
    <s v="Office Supplies"/>
    <s v="Small Box"/>
    <s v="Regular Air"/>
    <d v="2014-03-11T00:00:00"/>
    <n v="1.94"/>
    <n v="3.08"/>
    <n v="1.1400000000000001"/>
    <n v="1"/>
    <n v="3.08"/>
    <n v="0.08"/>
    <n v="0.24640000000000001"/>
    <n v="2.8336000000000001"/>
    <n v="0.99"/>
    <n v="3.8235999999999999"/>
  </r>
  <r>
    <s v="5436-1"/>
    <x v="194"/>
    <x v="1"/>
    <s v="Rick Duston"/>
    <s v="260 Marrickville Rd,Marrickville"/>
    <s v="Sydney"/>
    <x v="1"/>
    <x v="1"/>
    <x v="3"/>
    <s v="Medium"/>
    <s v="Airmail Envelopes"/>
    <s v="Office Supplies"/>
    <s v="Small Box"/>
    <s v="Regular Air"/>
    <d v="2014-03-12T00:00:00"/>
    <n v="52.04"/>
    <n v="83.93"/>
    <n v="31.890000000000008"/>
    <n v="50"/>
    <n v="4196.5"/>
    <n v="0.1"/>
    <n v="419.65000000000003"/>
    <n v="3776.85"/>
    <n v="19.989999999999998"/>
    <n v="3796.8399999999997"/>
  </r>
  <r>
    <s v="5438-1"/>
    <x v="195"/>
    <x v="1"/>
    <s v="Matt Collister"/>
    <s v="1/20 Pendal Lane"/>
    <s v="Perth"/>
    <x v="2"/>
    <x v="0"/>
    <x v="5"/>
    <s v="High"/>
    <s v="TechSavi Cordless Elite Duo"/>
    <s v="Technology"/>
    <s v="Small Box"/>
    <s v="Express Air"/>
    <d v="2014-03-13T00:00:00"/>
    <n v="60.59"/>
    <n v="100.98"/>
    <n v="40.39"/>
    <n v="5"/>
    <n v="504.90000000000003"/>
    <n v="0.02"/>
    <n v="10.098000000000001"/>
    <n v="494.80200000000002"/>
    <n v="7.18"/>
    <n v="501.98200000000003"/>
  </r>
  <r>
    <s v="5439-1"/>
    <x v="196"/>
    <x v="1"/>
    <s v="Dennis Pardue"/>
    <s v="412 Brunswick St,Fitzroy"/>
    <s v="Melbourne"/>
    <x v="0"/>
    <x v="1"/>
    <x v="1"/>
    <s v="Low"/>
    <s v="Steady Major Accent Highlighters"/>
    <s v="Office Supplies"/>
    <s v="Wrap Bag"/>
    <s v="Regular Air"/>
    <d v="2014-03-13T00:00:00"/>
    <n v="3.75"/>
    <n v="7.08"/>
    <n v="3.33"/>
    <n v="34"/>
    <n v="240.72"/>
    <n v="0.03"/>
    <n v="7.2215999999999996"/>
    <n v="233.4984"/>
    <n v="2.35"/>
    <n v="235.8484"/>
  </r>
  <r>
    <s v="5440-1"/>
    <x v="197"/>
    <x v="1"/>
    <s v="Toby Swindell"/>
    <s v="273 George Street,Sydney"/>
    <s v="Sydney"/>
    <x v="1"/>
    <x v="3"/>
    <x v="2"/>
    <s v="Critical"/>
    <s v="Binder Posts"/>
    <s v="Office Supplies"/>
    <s v="Small Box"/>
    <s v="Regular Air"/>
    <d v="2014-03-15T00:00:00"/>
    <n v="3.5"/>
    <n v="5.74"/>
    <n v="2.2400000000000002"/>
    <n v="45"/>
    <n v="258.3"/>
    <n v="0"/>
    <n v="0"/>
    <n v="258.3"/>
    <n v="5.01"/>
    <n v="263.31"/>
  </r>
  <r>
    <s v="5442-1"/>
    <x v="198"/>
    <x v="1"/>
    <s v="Troy Blackwell"/>
    <s v="3/219 Canley Vale Road,Canley Heights"/>
    <s v="Sydney"/>
    <x v="1"/>
    <x v="0"/>
    <x v="11"/>
    <s v="Critical"/>
    <s v="12 Colored Short Pencils"/>
    <s v="Office Supplies"/>
    <s v="Wrap Bag"/>
    <s v="Regular Air"/>
    <d v="2014-03-18T00:00:00"/>
    <n v="1.0900000000000001"/>
    <n v="2.6"/>
    <n v="1.51"/>
    <n v="43"/>
    <n v="111.8"/>
    <n v="0.01"/>
    <n v="1.1180000000000001"/>
    <n v="110.682"/>
    <n v="2.4"/>
    <n v="113.08200000000001"/>
  </r>
  <r>
    <s v="5444-1"/>
    <x v="198"/>
    <x v="1"/>
    <s v="Carl Ludwig"/>
    <s v="1/173-179 Bronte Rd,Waverley"/>
    <s v="Sydney"/>
    <x v="1"/>
    <x v="1"/>
    <x v="2"/>
    <s v="Not Specified"/>
    <s v="Alto Perma 2700 Stacking Storage Drawers"/>
    <s v="Office Supplies"/>
    <s v="Small Box"/>
    <s v="Regular Air"/>
    <d v="2014-03-18T00:00:00"/>
    <n v="8.92"/>
    <n v="29.74"/>
    <n v="20.82"/>
    <n v="25"/>
    <n v="743.5"/>
    <n v="0"/>
    <n v="0"/>
    <n v="743.5"/>
    <n v="6.64"/>
    <n v="750.14"/>
  </r>
  <r>
    <s v="5445-1"/>
    <x v="198"/>
    <x v="1"/>
    <s v="Chad Cunningham"/>
    <s v="499-501 Lygon Street,Carlton North"/>
    <s v="Melbourne"/>
    <x v="0"/>
    <x v="3"/>
    <x v="0"/>
    <s v="Not Specified"/>
    <s v="Smiths Colored Bar Computer Paper"/>
    <s v="Office Supplies"/>
    <s v="Small Box"/>
    <s v="Regular Air"/>
    <d v="2014-03-18T00:00:00"/>
    <n v="21.97"/>
    <n v="35.44"/>
    <n v="13.469999999999999"/>
    <n v="21"/>
    <n v="744.24"/>
    <n v="0"/>
    <n v="0"/>
    <n v="744.24"/>
    <n v="4.92"/>
    <n v="749.16"/>
  </r>
  <r>
    <s v="5446-1"/>
    <x v="199"/>
    <x v="1"/>
    <s v="Michael Paige"/>
    <s v="506 Swan Street,Richmond"/>
    <s v="Melbourne"/>
    <x v="0"/>
    <x v="3"/>
    <x v="1"/>
    <s v="Critical"/>
    <s v="Artisan Poly Binder Pockets"/>
    <s v="Office Supplies"/>
    <s v="Small Box"/>
    <s v="Regular Air"/>
    <d v="2014-03-21T00:00:00"/>
    <n v="2.2599999999999998"/>
    <n v="3.58"/>
    <n v="1.3200000000000003"/>
    <n v="39"/>
    <n v="139.62"/>
    <n v="0"/>
    <n v="0"/>
    <n v="139.62"/>
    <n v="5.47"/>
    <n v="145.09"/>
  </r>
  <r>
    <s v="5448-1"/>
    <x v="200"/>
    <x v="1"/>
    <s v="Justin Ellison"/>
    <s v="163 Concord Road,North Strathfield"/>
    <s v="Sydney"/>
    <x v="1"/>
    <x v="0"/>
    <x v="10"/>
    <s v="Low"/>
    <s v="Artisan 481 Labels"/>
    <s v="Office Supplies"/>
    <s v="Small Box"/>
    <s v="Regular Air"/>
    <d v="2014-03-26T00:00:00"/>
    <n v="1.94"/>
    <n v="3.08"/>
    <n v="1.1400000000000001"/>
    <n v="5"/>
    <n v="15.4"/>
    <n v="0.06"/>
    <n v="0.92399999999999993"/>
    <n v="14.476000000000001"/>
    <n v="0.99"/>
    <n v="15.466000000000001"/>
  </r>
  <r>
    <s v="5449-1"/>
    <x v="201"/>
    <x v="1"/>
    <s v="Dionis Lloyd"/>
    <s v="85-113 Dunning Ave,Rosebery"/>
    <s v="Sydney"/>
    <x v="1"/>
    <x v="3"/>
    <x v="11"/>
    <s v="High"/>
    <s v="Brown Kraft Recycled Envelopes"/>
    <s v="Office Supplies"/>
    <s v="Small Box"/>
    <s v="Regular Air"/>
    <d v="2014-03-28T00:00:00"/>
    <n v="11.04"/>
    <n v="16.98"/>
    <n v="5.9400000000000013"/>
    <n v="31"/>
    <n v="526.38"/>
    <n v="0.03"/>
    <n v="15.791399999999999"/>
    <n v="510.58859999999999"/>
    <n v="12.39"/>
    <n v="522.97860000000003"/>
  </r>
  <r>
    <s v="5450-1"/>
    <x v="202"/>
    <x v="1"/>
    <s v="Ralph Knight"/>
    <s v="5/63-71 Enmore Rd,Newtown"/>
    <s v="Sydney"/>
    <x v="1"/>
    <x v="2"/>
    <x v="10"/>
    <s v="Not Specified"/>
    <s v="Angle-D Binders with Locking Rings, Label Holders"/>
    <s v="Office Supplies"/>
    <s v="Small Box"/>
    <s v="Regular Air"/>
    <d v="2014-03-30T00:00:00"/>
    <n v="4.53"/>
    <n v="7.3"/>
    <n v="2.7699999999999996"/>
    <n v="18"/>
    <n v="131.4"/>
    <n v="0.05"/>
    <n v="6.57"/>
    <n v="124.83000000000001"/>
    <n v="7.72"/>
    <n v="132.55000000000001"/>
  </r>
  <r>
    <s v="5451-1"/>
    <x v="203"/>
    <x v="1"/>
    <s v="Roland Murray"/>
    <s v="Westfield 1 Anderson St,Chatswood"/>
    <s v="Sydney"/>
    <x v="1"/>
    <x v="0"/>
    <x v="3"/>
    <s v="Not Specified"/>
    <s v="DrawIt Colored Pencils"/>
    <s v="Office Supplies"/>
    <s v="Wrap Bag"/>
    <s v="Regular Air"/>
    <d v="2014-03-31T00:00:00"/>
    <n v="4.37"/>
    <n v="9.11"/>
    <n v="4.7399999999999993"/>
    <n v="1"/>
    <n v="9.11"/>
    <n v="0.1"/>
    <n v="0.91100000000000003"/>
    <n v="8.1989999999999998"/>
    <n v="2.25"/>
    <n v="10.449"/>
  </r>
  <r>
    <s v="5453-1"/>
    <x v="204"/>
    <x v="1"/>
    <s v="Anne Pryor"/>
    <s v="101 Murray Street, Perth"/>
    <s v="Sydney"/>
    <x v="1"/>
    <x v="2"/>
    <x v="9"/>
    <s v="Critical"/>
    <s v="Steady 52201 APSCO Electric Pencil Sharpener"/>
    <s v="Office Supplies"/>
    <s v="Small Pack"/>
    <s v="Regular Air"/>
    <d v="2014-04-02T00:00:00"/>
    <n v="16.8"/>
    <n v="40.97"/>
    <n v="24.169999999999998"/>
    <n v="44"/>
    <n v="1802.6799999999998"/>
    <n v="0.08"/>
    <n v="144.21439999999998"/>
    <n v="1658.4655999999998"/>
    <n v="8.99"/>
    <n v="1667.4555999999998"/>
  </r>
  <r>
    <s v="5455-1"/>
    <x v="205"/>
    <x v="1"/>
    <s v="Rob Haberlin"/>
    <s v="8 Rankins Lane ,Melbourne"/>
    <s v="Melbourne"/>
    <x v="0"/>
    <x v="1"/>
    <x v="1"/>
    <s v="Medium"/>
    <s v="Alto Perma 3000 Stacking Storage Drawers"/>
    <s v="Office Supplies"/>
    <s v="Small Box"/>
    <s v="Regular Air"/>
    <d v="2014-04-04T00:00:00"/>
    <n v="7.13"/>
    <n v="20.98"/>
    <n v="13.850000000000001"/>
    <n v="39"/>
    <n v="818.22"/>
    <n v="0.04"/>
    <n v="32.7288"/>
    <n v="785.49120000000005"/>
    <n v="5.42"/>
    <n v="790.91120000000001"/>
  </r>
  <r>
    <s v="5456-1"/>
    <x v="205"/>
    <x v="1"/>
    <s v="Patrick Bzostek"/>
    <s v="1/50-58 Hunter St,Sydney"/>
    <s v="Sydney"/>
    <x v="1"/>
    <x v="2"/>
    <x v="12"/>
    <s v="Critical"/>
    <s v="Barrel Sharpener"/>
    <s v="Office Supplies"/>
    <s v="Small Pack"/>
    <s v="Regular Air"/>
    <d v="2014-04-04T00:00:00"/>
    <n v="1.46"/>
    <n v="3.57"/>
    <n v="2.11"/>
    <n v="41"/>
    <n v="146.37"/>
    <n v="0.03"/>
    <n v="4.3910999999999998"/>
    <n v="141.97890000000001"/>
    <n v="4.17"/>
    <n v="146.1489"/>
  </r>
  <r>
    <s v="5457-1"/>
    <x v="206"/>
    <x v="1"/>
    <s v="Alex Grayson"/>
    <s v="73 Lindsay Street, Perth"/>
    <s v="Sydney"/>
    <x v="1"/>
    <x v="2"/>
    <x v="13"/>
    <s v="Medium"/>
    <s v="OIC Bulk Pack Metal Binder Clips"/>
    <s v="Office Supplies"/>
    <s v="Wrap Bag"/>
    <s v="Regular Air"/>
    <d v="2014-04-05T00:00:00"/>
    <n v="2.13"/>
    <n v="3.49"/>
    <n v="1.3600000000000003"/>
    <n v="46"/>
    <n v="160.54000000000002"/>
    <n v="0.01"/>
    <n v="1.6054000000000002"/>
    <n v="158.93460000000002"/>
    <n v="0.76"/>
    <n v="159.69460000000001"/>
  </r>
  <r>
    <s v="5458-1"/>
    <x v="207"/>
    <x v="1"/>
    <s v="Jesus Ocampo"/>
    <s v="60 Commercial Rd,Prahran"/>
    <s v="Melbourne"/>
    <x v="0"/>
    <x v="3"/>
    <x v="0"/>
    <s v="Not Specified"/>
    <s v="Artisan 48 Labels"/>
    <s v="Office Supplies"/>
    <s v="Small Box"/>
    <s v="Regular Air"/>
    <d v="2014-04-05T00:00:00"/>
    <n v="3.84"/>
    <n v="6.3"/>
    <n v="2.46"/>
    <n v="18"/>
    <n v="113.39999999999999"/>
    <n v="0.1"/>
    <n v="11.34"/>
    <n v="102.05999999999999"/>
    <n v="0.5"/>
    <n v="102.55999999999999"/>
  </r>
  <r>
    <s v="5460-1"/>
    <x v="208"/>
    <x v="1"/>
    <s v="Steve Chapman"/>
    <s v="1/50-58 Hunter St,Sydney"/>
    <s v="Sydney"/>
    <x v="1"/>
    <x v="1"/>
    <x v="12"/>
    <s v="Low"/>
    <s v="Artisan Hi-Liter Comfort Grip Fluorescent Highlighter, Yellow Ink"/>
    <s v="Office Supplies"/>
    <s v="Wrap Bag"/>
    <s v="Regular Air"/>
    <d v="2014-04-11T00:00:00"/>
    <n v="1.05"/>
    <n v="1.95"/>
    <n v="0.89999999999999991"/>
    <n v="31"/>
    <n v="60.449999999999996"/>
    <n v="0.02"/>
    <n v="1.2089999999999999"/>
    <n v="59.240999999999993"/>
    <n v="1.63"/>
    <n v="60.870999999999995"/>
  </r>
  <r>
    <s v="5461-1"/>
    <x v="209"/>
    <x v="1"/>
    <s v="Mike Kennedy"/>
    <s v="99 Lygon Street,East Brunswick"/>
    <s v="Melbourne"/>
    <x v="0"/>
    <x v="1"/>
    <x v="1"/>
    <s v="Critical"/>
    <s v="Bagged Rubber Bands"/>
    <s v="Office Supplies"/>
    <s v="Wrap Bag"/>
    <s v="Regular Air"/>
    <d v="2014-04-07T00:00:00"/>
    <n v="0.24"/>
    <n v="1.26"/>
    <n v="1.02"/>
    <n v="35"/>
    <n v="44.1"/>
    <n v="0.09"/>
    <n v="3.9689999999999999"/>
    <n v="40.131"/>
    <n v="0.7"/>
    <n v="40.831000000000003"/>
  </r>
  <r>
    <s v="5463-1"/>
    <x v="209"/>
    <x v="1"/>
    <s v="Carlos Daly"/>
    <s v="5/63-71 Enmore Rd,Newtown"/>
    <s v="Sydney"/>
    <x v="1"/>
    <x v="0"/>
    <x v="10"/>
    <s v="Not Specified"/>
    <s v="Emerson Stylus 1520 Color Inkjet Printer"/>
    <s v="Technology"/>
    <s v="Jumbo Drum"/>
    <s v="Delivery Truck"/>
    <d v="2014-04-07T00:00:00"/>
    <n v="315.61"/>
    <n v="500.97"/>
    <n v="185.36"/>
    <n v="31"/>
    <n v="15530.070000000002"/>
    <n v="0.06"/>
    <n v="931.80420000000004"/>
    <n v="14598.265800000001"/>
    <n v="69.3"/>
    <n v="14667.5658"/>
  </r>
  <r>
    <s v="5465-1"/>
    <x v="209"/>
    <x v="1"/>
    <s v="Harold Dahlen"/>
    <s v="53-55 Liverpool St,Sydney"/>
    <s v="Sydney"/>
    <x v="1"/>
    <x v="1"/>
    <x v="8"/>
    <s v="Medium"/>
    <s v="HFX LaserJet 3310 Copier"/>
    <s v="Technology"/>
    <s v="Large Box"/>
    <s v="Regular Air"/>
    <d v="2014-04-09T00:00:00"/>
    <n v="377.99"/>
    <n v="599.99"/>
    <n v="222"/>
    <n v="30"/>
    <n v="17999.7"/>
    <n v="0.09"/>
    <n v="1619.973"/>
    <n v="16379.727000000001"/>
    <n v="24.49"/>
    <n v="16404.217000000001"/>
  </r>
  <r>
    <s v="5467-1"/>
    <x v="210"/>
    <x v="1"/>
    <s v="Brenda Bowman"/>
    <s v="73 York St,Sydney"/>
    <s v="Sydney"/>
    <x v="1"/>
    <x v="3"/>
    <x v="8"/>
    <s v="Medium"/>
    <s v="12 Colored Short Pencils"/>
    <s v="Office Supplies"/>
    <s v="Wrap Bag"/>
    <s v="Regular Air"/>
    <d v="2014-04-12T00:00:00"/>
    <n v="1.0900000000000001"/>
    <n v="2.6"/>
    <n v="1.51"/>
    <n v="2"/>
    <n v="5.2"/>
    <n v="0.03"/>
    <n v="0.156"/>
    <n v="5.0440000000000005"/>
    <n v="2.4"/>
    <n v="7.4440000000000008"/>
  </r>
  <r>
    <s v="5469-1"/>
    <x v="211"/>
    <x v="1"/>
    <s v="Xylona Price"/>
    <s v="98-104 Parramatta Rd,Camperdown"/>
    <s v="Sydney"/>
    <x v="1"/>
    <x v="1"/>
    <x v="4"/>
    <s v="High"/>
    <s v="TechSavi Internet Navigator Keyboard"/>
    <s v="Technology"/>
    <s v="Small Box"/>
    <s v="Regular Air"/>
    <d v="2014-04-16T00:00:00"/>
    <n v="6.51"/>
    <n v="30.98"/>
    <n v="24.47"/>
    <n v="36"/>
    <n v="1115.28"/>
    <n v="0"/>
    <n v="0"/>
    <n v="1115.28"/>
    <n v="6.5"/>
    <n v="1121.78"/>
  </r>
  <r>
    <s v="5470-1"/>
    <x v="212"/>
    <x v="1"/>
    <s v="Kelly Collister"/>
    <s v="499-501 Lygon Street,Carlton North"/>
    <s v="Melbourne"/>
    <x v="0"/>
    <x v="2"/>
    <x v="0"/>
    <s v="High"/>
    <s v="Alto Parchment Paper, Assorted Colors"/>
    <s v="Office Supplies"/>
    <s v="Small Box"/>
    <s v="Regular Air"/>
    <d v="2014-04-19T00:00:00"/>
    <n v="4.59"/>
    <n v="7.28"/>
    <n v="2.6900000000000004"/>
    <n v="11"/>
    <n v="80.08"/>
    <n v="7.0000000000000007E-2"/>
    <n v="5.6056000000000008"/>
    <n v="74.474400000000003"/>
    <n v="11.15"/>
    <n v="85.624400000000009"/>
  </r>
  <r>
    <s v="5471-1"/>
    <x v="212"/>
    <x v="1"/>
    <s v="Dean Percer"/>
    <s v="222 Barkly St,St Kilda"/>
    <s v="Melbourne"/>
    <x v="0"/>
    <x v="0"/>
    <x v="0"/>
    <s v="Medium"/>
    <s v="Apex Box Cutter Scissors"/>
    <s v="Office Supplies"/>
    <s v="Small Pack"/>
    <s v="Regular Air"/>
    <d v="2014-04-18T00:00:00"/>
    <n v="4.1900000000000004"/>
    <n v="10.23"/>
    <n v="6.04"/>
    <n v="22"/>
    <n v="225.06"/>
    <n v="7.0000000000000007E-2"/>
    <n v="15.754200000000001"/>
    <n v="209.3058"/>
    <n v="4.68"/>
    <n v="213.98580000000001"/>
  </r>
  <r>
    <s v="5473-1"/>
    <x v="212"/>
    <x v="1"/>
    <s v="Anemone Ratner"/>
    <s v="32 Wellington Street, Perth"/>
    <s v="Sydney"/>
    <x v="1"/>
    <x v="3"/>
    <x v="7"/>
    <s v="Critical"/>
    <s v="Apex Elite Stainless Steel Scissors"/>
    <s v="Office Supplies"/>
    <s v="Small Pack"/>
    <s v="Express Air"/>
    <d v="2014-04-18T00:00:00"/>
    <n v="3.42"/>
    <n v="8.34"/>
    <n v="4.92"/>
    <n v="16"/>
    <n v="133.44"/>
    <n v="0.04"/>
    <n v="5.3376000000000001"/>
    <n v="128.10239999999999"/>
    <n v="2.64"/>
    <n v="130.74239999999998"/>
  </r>
  <r>
    <s v="5475-1"/>
    <x v="213"/>
    <x v="1"/>
    <s v="Brian Stugart"/>
    <s v="88 Oxford St,Woollahra"/>
    <s v="Sydney"/>
    <x v="1"/>
    <x v="2"/>
    <x v="10"/>
    <s v="Low"/>
    <s v="24 Capacity Maxi Data Binder Racks, Pearl"/>
    <s v="Office Supplies"/>
    <s v="Small Box"/>
    <s v="Regular Air"/>
    <d v="2014-05-04T00:00:00"/>
    <n v="84.22"/>
    <n v="210.55"/>
    <n v="126.33000000000001"/>
    <n v="32"/>
    <n v="6737.6"/>
    <n v="0.1"/>
    <n v="673.7600000000001"/>
    <n v="6063.84"/>
    <n v="9.99"/>
    <n v="6073.83"/>
  </r>
  <r>
    <s v="5476-1"/>
    <x v="213"/>
    <x v="1"/>
    <s v="Michelle Tran"/>
    <s v="85-113 Dunning Ave,Roseberry"/>
    <s v="Sydney"/>
    <x v="1"/>
    <x v="1"/>
    <x v="11"/>
    <s v="Not Specified"/>
    <s v="Alto Perma 3000 Stacking Storage Drawers"/>
    <s v="Office Supplies"/>
    <s v="Small Box"/>
    <s v="Express Air"/>
    <d v="2014-05-03T00:00:00"/>
    <n v="7.13"/>
    <n v="20.98"/>
    <n v="13.850000000000001"/>
    <n v="14"/>
    <n v="293.72000000000003"/>
    <n v="0.1"/>
    <n v="29.372000000000003"/>
    <n v="264.34800000000001"/>
    <n v="5.42"/>
    <n v="269.76800000000003"/>
  </r>
  <r>
    <s v="5477-1"/>
    <x v="213"/>
    <x v="1"/>
    <s v="Vivek Sundaresam"/>
    <s v="152 Bunnerong Road,Eastgardens"/>
    <s v="Sydney"/>
    <x v="1"/>
    <x v="0"/>
    <x v="8"/>
    <s v="Critical"/>
    <s v="OIC Colored Binder Clips, Assorted Sizes"/>
    <s v="Office Supplies"/>
    <s v="Wrap Bag"/>
    <s v="Regular Air"/>
    <d v="2014-05-03T00:00:00"/>
    <n v="2.29"/>
    <n v="3.58"/>
    <n v="1.29"/>
    <n v="15"/>
    <n v="53.7"/>
    <n v="0.05"/>
    <n v="2.6850000000000005"/>
    <n v="51.015000000000001"/>
    <n v="1.63"/>
    <n v="52.645000000000003"/>
  </r>
  <r>
    <s v="5478-1"/>
    <x v="214"/>
    <x v="1"/>
    <s v="Liz Willingham"/>
    <s v="60 Commercial Rd,Prahran"/>
    <s v="Melbourne"/>
    <x v="0"/>
    <x v="0"/>
    <x v="0"/>
    <s v="Low"/>
    <s v="Steady Liquid Accent Tank-Style Highlighters"/>
    <s v="Office Supplies"/>
    <s v="Wrap Bag"/>
    <s v="Regular Air"/>
    <d v="2014-05-07T00:00:00"/>
    <n v="1.31"/>
    <n v="2.84"/>
    <n v="1.5299999999999998"/>
    <n v="48"/>
    <n v="136.32"/>
    <n v="0.1"/>
    <n v="13.632"/>
    <n v="122.68799999999999"/>
    <n v="0.93"/>
    <n v="123.61799999999999"/>
  </r>
  <r>
    <s v="5479-1"/>
    <x v="215"/>
    <x v="1"/>
    <s v="Tracy Blumstein"/>
    <s v="Hoyts Entertainment Quarter 122 Lang Road,Moore Park"/>
    <s v="Sydney"/>
    <x v="1"/>
    <x v="0"/>
    <x v="8"/>
    <s v="Not Specified"/>
    <s v="Artisan Poly Binder Pockets"/>
    <s v="Office Supplies"/>
    <s v="Small Box"/>
    <s v="Regular Air"/>
    <d v="2014-05-08T00:00:00"/>
    <n v="2.2599999999999998"/>
    <n v="3.58"/>
    <n v="1.3200000000000003"/>
    <n v="25"/>
    <n v="89.5"/>
    <n v="0"/>
    <n v="0"/>
    <n v="89.5"/>
    <n v="5.47"/>
    <n v="94.97"/>
  </r>
  <r>
    <s v="5479-2"/>
    <x v="215"/>
    <x v="1"/>
    <s v="Tracy Blumstein"/>
    <s v="Hoyts Entertainment Quarter 122 Lang Road,Moore Park"/>
    <s v="Sydney"/>
    <x v="1"/>
    <x v="0"/>
    <x v="8"/>
    <s v="Not Specified"/>
    <s v="Assorted Color Push Pins"/>
    <s v="Office Supplies"/>
    <s v="Wrap Bag"/>
    <s v="Regular Air"/>
    <d v="2014-05-08T00:00:00"/>
    <n v="0.87"/>
    <n v="1.81"/>
    <n v="0.94000000000000006"/>
    <n v="45"/>
    <n v="81.45"/>
    <n v="0.08"/>
    <n v="6.516"/>
    <n v="74.933999999999997"/>
    <n v="0.75"/>
    <n v="75.683999999999997"/>
  </r>
  <r>
    <s v="5483-1"/>
    <x v="216"/>
    <x v="1"/>
    <s v="Ritsa Hightower"/>
    <s v="22 St Georges Terrace"/>
    <s v="Perth"/>
    <x v="2"/>
    <x v="1"/>
    <x v="5"/>
    <s v="Low"/>
    <s v="Binder Clips by OIC"/>
    <s v="Office Supplies"/>
    <s v="Wrap Bag"/>
    <s v="Regular Air"/>
    <d v="2014-05-13T00:00:00"/>
    <n v="0.93"/>
    <n v="1.48"/>
    <n v="0.54999999999999993"/>
    <n v="33"/>
    <n v="48.839999999999996"/>
    <n v="7.0000000000000007E-2"/>
    <n v="3.4188000000000001"/>
    <n v="45.421199999999999"/>
    <n v="0.7"/>
    <n v="46.121200000000002"/>
  </r>
  <r>
    <s v="5485-1"/>
    <x v="216"/>
    <x v="1"/>
    <s v="Michelle Moray"/>
    <s v="310 Wattle St,Ultimo"/>
    <s v="Sydney"/>
    <x v="1"/>
    <x v="1"/>
    <x v="9"/>
    <s v="Low"/>
    <s v="Economy Binders"/>
    <s v="Office Supplies"/>
    <s v="Small Box"/>
    <s v="Regular Air"/>
    <d v="2014-05-12T00:00:00"/>
    <n v="1.33"/>
    <n v="2.08"/>
    <n v="0.75"/>
    <n v="40"/>
    <n v="83.2"/>
    <n v="0"/>
    <n v="0"/>
    <n v="83.2"/>
    <n v="1.49"/>
    <n v="84.69"/>
  </r>
  <r>
    <s v="5487-1"/>
    <x v="217"/>
    <x v="1"/>
    <s v="Jim Radford"/>
    <s v="222 Barkly St,St Kilda"/>
    <s v="Melbourne"/>
    <x v="0"/>
    <x v="1"/>
    <x v="0"/>
    <s v="Critical"/>
    <s v="3Max Polarizing Task Lamp with Clamp Arm, Light Gray"/>
    <s v="Furniture"/>
    <s v="Large Box"/>
    <s v="Regular Air"/>
    <d v="2014-05-10T00:00:00"/>
    <n v="56.16"/>
    <n v="136.97999999999999"/>
    <n v="80.819999999999993"/>
    <n v="44"/>
    <n v="6027.12"/>
    <n v="0.08"/>
    <n v="482.1696"/>
    <n v="5544.9503999999997"/>
    <n v="24.49"/>
    <n v="5569.4403999999995"/>
  </r>
  <r>
    <s v="5489-1"/>
    <x v="218"/>
    <x v="1"/>
    <s v="Aleksandra Gannaway"/>
    <s v="508/130 Mounts Bay Road, Perth"/>
    <s v="Perth"/>
    <x v="2"/>
    <x v="1"/>
    <x v="8"/>
    <s v="Medium"/>
    <s v="Lumi Crayons"/>
    <s v="Office Supplies"/>
    <s v="Wrap Bag"/>
    <s v="Regular Air"/>
    <d v="2014-05-12T00:00:00"/>
    <n v="5.22"/>
    <n v="9.85"/>
    <n v="4.63"/>
    <n v="20"/>
    <n v="197"/>
    <n v="0.06"/>
    <n v="11.82"/>
    <n v="185.18"/>
    <n v="4.82"/>
    <n v="190"/>
  </r>
  <r>
    <s v="5491-1"/>
    <x v="219"/>
    <x v="1"/>
    <s v="Jennifer Patt"/>
    <s v="523 King St,Newtown"/>
    <s v="Sydney"/>
    <x v="1"/>
    <x v="0"/>
    <x v="9"/>
    <s v="Not Specified"/>
    <s v="Alto 3-Hole Punch"/>
    <s v="Office Supplies"/>
    <s v="Small Box"/>
    <s v="Regular Air"/>
    <d v="2014-05-14T00:00:00"/>
    <n v="2.76"/>
    <n v="4.38"/>
    <n v="1.62"/>
    <n v="29"/>
    <n v="127.02"/>
    <n v="0.08"/>
    <n v="10.1616"/>
    <n v="116.85839999999999"/>
    <n v="6.21"/>
    <n v="123.06839999999998"/>
  </r>
  <r>
    <s v="5493-1"/>
    <x v="220"/>
    <x v="1"/>
    <s v="Eric Barreto"/>
    <s v="14 Money Street"/>
    <s v="Perth"/>
    <x v="2"/>
    <x v="2"/>
    <x v="4"/>
    <s v="Medium"/>
    <s v="Artisan 481 Labels"/>
    <s v="Office Supplies"/>
    <s v="Small Box"/>
    <s v="Regular Air"/>
    <d v="2014-05-16T00:00:00"/>
    <n v="1.94"/>
    <n v="3.08"/>
    <n v="1.1400000000000001"/>
    <n v="9"/>
    <n v="27.72"/>
    <n v="0.01"/>
    <n v="0.2772"/>
    <n v="27.442799999999998"/>
    <n v="0.99"/>
    <n v="28.432799999999997"/>
  </r>
  <r>
    <s v="5494-1"/>
    <x v="221"/>
    <x v="1"/>
    <s v="Deborah Brumfield"/>
    <s v="501 George St,Sydney"/>
    <s v="Sydney"/>
    <x v="1"/>
    <x v="3"/>
    <x v="6"/>
    <s v="Not Specified"/>
    <s v="Apex Straight Scissors"/>
    <s v="Office Supplies"/>
    <s v="Small Pack"/>
    <s v="Regular Air"/>
    <d v="2014-05-18T00:00:00"/>
    <n v="5.19"/>
    <n v="12.98"/>
    <n v="7.79"/>
    <n v="20"/>
    <n v="259.60000000000002"/>
    <n v="0.04"/>
    <n v="10.384"/>
    <n v="249.21600000000001"/>
    <n v="3.14"/>
    <n v="252.35599999999999"/>
  </r>
  <r>
    <s v="5496-1"/>
    <x v="222"/>
    <x v="1"/>
    <s v="Richard Eichhorn"/>
    <s v="506 Swan Street,Richmond"/>
    <s v="Melbourne"/>
    <x v="0"/>
    <x v="2"/>
    <x v="1"/>
    <s v="Medium"/>
    <s v="Aluminum Document Frame"/>
    <s v="Furniture"/>
    <s v="Small Pack"/>
    <s v="Express Air"/>
    <d v="2014-05-20T00:00:00"/>
    <n v="5.5"/>
    <n v="12.22"/>
    <n v="6.7200000000000006"/>
    <n v="18"/>
    <n v="219.96"/>
    <n v="0.04"/>
    <n v="8.7984000000000009"/>
    <n v="211.16160000000002"/>
    <n v="2.85"/>
    <n v="214.01160000000002"/>
  </r>
  <r>
    <s v="5497-1"/>
    <x v="222"/>
    <x v="1"/>
    <s v="Juliana Krohn"/>
    <s v="2/797 Botany Rd,Rosebery"/>
    <s v="Sydney"/>
    <x v="1"/>
    <x v="1"/>
    <x v="6"/>
    <s v="Low"/>
    <s v="Smiths Bulldog Clip"/>
    <s v="Office Supplies"/>
    <s v="Wrap Bag"/>
    <s v="Express Air"/>
    <d v="2014-05-24T00:00:00"/>
    <n v="2.31"/>
    <n v="3.78"/>
    <n v="1.4699999999999998"/>
    <n v="15"/>
    <n v="56.699999999999996"/>
    <n v="0.03"/>
    <n v="1.7009999999999998"/>
    <n v="54.998999999999995"/>
    <n v="0.71"/>
    <n v="55.708999999999996"/>
  </r>
  <r>
    <s v="5498-1"/>
    <x v="223"/>
    <x v="1"/>
    <s v="Clytie Kelty"/>
    <s v="8 Khartoum Rd,Macquarie Park"/>
    <s v="Sydney"/>
    <x v="1"/>
    <x v="3"/>
    <x v="13"/>
    <s v="Low"/>
    <s v="Cando PC940 Copier"/>
    <s v="Technology"/>
    <s v="Jumbo Drum"/>
    <s v="Delivery Truck"/>
    <d v="2014-05-29T00:00:00"/>
    <n v="278.99"/>
    <n v="449.99"/>
    <n v="171"/>
    <n v="47"/>
    <n v="21149.53"/>
    <n v="0.1"/>
    <n v="2114.953"/>
    <n v="19034.576999999997"/>
    <n v="49"/>
    <n v="19083.576999999997"/>
  </r>
  <r>
    <s v="5500-1"/>
    <x v="224"/>
    <x v="1"/>
    <s v="Ken Dana"/>
    <s v="73 York St,Sydney"/>
    <s v="Sydney"/>
    <x v="1"/>
    <x v="1"/>
    <x v="8"/>
    <s v="Low"/>
    <s v="Adesso Programmable 142-Key Keyboard"/>
    <s v="Technology"/>
    <s v="Small Box"/>
    <s v="Regular Air"/>
    <d v="2014-06-02T00:00:00"/>
    <n v="32.020000000000003"/>
    <n v="152.47999999999999"/>
    <n v="120.45999999999998"/>
    <n v="49"/>
    <n v="7471.5199999999995"/>
    <n v="0.03"/>
    <n v="224.14559999999997"/>
    <n v="7247.3743999999997"/>
    <n v="4"/>
    <n v="7251.3743999999997"/>
  </r>
  <r>
    <s v="5502-1"/>
    <x v="224"/>
    <x v="1"/>
    <s v="Andy Yotov"/>
    <s v="31 Wellington Street, Perth"/>
    <s v="Sydney"/>
    <x v="1"/>
    <x v="1"/>
    <x v="5"/>
    <s v="High"/>
    <s v="Artisan Flip-Chart Easel Binder, Black"/>
    <s v="Office Supplies"/>
    <s v="Small Box"/>
    <s v="Regular Air"/>
    <d v="2014-05-29T00:00:00"/>
    <n v="13.88"/>
    <n v="22.38"/>
    <n v="8.4999999999999982"/>
    <n v="26"/>
    <n v="581.88"/>
    <n v="7.0000000000000007E-2"/>
    <n v="40.7316"/>
    <n v="541.14840000000004"/>
    <n v="15.1"/>
    <n v="556.24840000000006"/>
  </r>
  <r>
    <s v="5504-1"/>
    <x v="224"/>
    <x v="1"/>
    <s v="Melanie Page"/>
    <s v="541 Church St,Richmond"/>
    <s v="Melbourne"/>
    <x v="0"/>
    <x v="1"/>
    <x v="0"/>
    <s v="Medium"/>
    <s v="Smiths SlimLine Pencil Sharpener"/>
    <s v="Office Supplies"/>
    <s v="Small Pack"/>
    <s v="Regular Air"/>
    <d v="2014-05-29T00:00:00"/>
    <n v="4.79"/>
    <n v="11.97"/>
    <n v="7.1800000000000006"/>
    <n v="46"/>
    <n v="550.62"/>
    <n v="7.0000000000000007E-2"/>
    <n v="38.543400000000005"/>
    <n v="512.07659999999998"/>
    <n v="5.81"/>
    <n v="517.88659999999993"/>
  </r>
  <r>
    <s v="5505-1"/>
    <x v="225"/>
    <x v="1"/>
    <s v="Arthur Gainer"/>
    <s v="14/76 Newcastle Street, Perth"/>
    <s v="Melbourne"/>
    <x v="0"/>
    <x v="1"/>
    <x v="1"/>
    <s v="Critical"/>
    <s v="1726 Digital Answering Machine"/>
    <s v="Technology"/>
    <s v="Medium Box"/>
    <s v="Regular Air"/>
    <d v="2014-06-04T00:00:00"/>
    <n v="8.82"/>
    <n v="20.99"/>
    <n v="12.169999999999998"/>
    <n v="10"/>
    <n v="209.89999999999998"/>
    <n v="0"/>
    <n v="0"/>
    <n v="209.89999999999998"/>
    <n v="4.8099999999999996"/>
    <n v="214.70999999999998"/>
  </r>
  <r>
    <s v="5506-1"/>
    <x v="226"/>
    <x v="1"/>
    <s v="Jeremy Lonsdale"/>
    <s v="163 Concord Road,North Strathfield"/>
    <s v="Sydney"/>
    <x v="1"/>
    <x v="1"/>
    <x v="10"/>
    <s v="Not Specified"/>
    <s v="Creator Anti Dust Chalk, 12/Pack"/>
    <s v="Office Supplies"/>
    <s v="Wrap Bag"/>
    <s v="Regular Air"/>
    <d v="2014-06-04T00:00:00"/>
    <n v="1.0900000000000001"/>
    <n v="1.82"/>
    <n v="0.73"/>
    <n v="40"/>
    <n v="72.8"/>
    <n v="0.1"/>
    <n v="7.28"/>
    <n v="65.52"/>
    <n v="1"/>
    <n v="66.52"/>
  </r>
  <r>
    <s v="5507-1"/>
    <x v="226"/>
    <x v="1"/>
    <s v="Christopher Martinez"/>
    <s v="33 Wellington Street"/>
    <s v="Perth"/>
    <x v="2"/>
    <x v="3"/>
    <x v="8"/>
    <s v="High"/>
    <s v="Steady Major Accent Highlighters"/>
    <s v="Office Supplies"/>
    <s v="Wrap Bag"/>
    <s v="Regular Air"/>
    <d v="2014-06-05T00:00:00"/>
    <n v="3.75"/>
    <n v="7.08"/>
    <n v="3.33"/>
    <n v="45"/>
    <n v="318.60000000000002"/>
    <n v="0.06"/>
    <n v="19.116"/>
    <n v="299.48400000000004"/>
    <n v="2.35"/>
    <n v="301.83400000000006"/>
  </r>
  <r>
    <s v="5508-1"/>
    <x v="227"/>
    <x v="1"/>
    <s v="Frank Merwin"/>
    <s v="24 Addison Rd,Marrickville"/>
    <s v="Sydney"/>
    <x v="1"/>
    <x v="2"/>
    <x v="13"/>
    <s v="High"/>
    <s v="Deluxe Rollaway Locking File with Drawer"/>
    <s v="Office Supplies"/>
    <s v="Small Box"/>
    <s v="Regular Air"/>
    <d v="2014-06-05T00:00:00"/>
    <n v="178.83"/>
    <n v="415.88"/>
    <n v="237.04999999999998"/>
    <n v="43"/>
    <n v="17882.84"/>
    <n v="7.0000000000000007E-2"/>
    <n v="1251.7988"/>
    <n v="16631.0412"/>
    <n v="11.37"/>
    <n v="16642.411199999999"/>
  </r>
  <r>
    <s v="5510-1"/>
    <x v="227"/>
    <x v="1"/>
    <s v="Dianna Wilson"/>
    <s v="310 Wattle St,Ultimo"/>
    <s v="Sydney"/>
    <x v="1"/>
    <x v="3"/>
    <x v="9"/>
    <s v="Not Specified"/>
    <s v="UGen Ultra Professional Cordless Optical Suite"/>
    <s v="Technology"/>
    <s v="Small Box"/>
    <s v="Regular Air"/>
    <d v="2014-06-05T00:00:00"/>
    <n v="156.5"/>
    <n v="300.97000000000003"/>
    <n v="144.47000000000003"/>
    <n v="6"/>
    <n v="1805.8200000000002"/>
    <n v="0.04"/>
    <n v="72.232800000000012"/>
    <n v="1733.5872000000002"/>
    <n v="7.18"/>
    <n v="1740.7672000000002"/>
  </r>
  <r>
    <s v="5512-1"/>
    <x v="228"/>
    <x v="1"/>
    <s v="Lindsay Castell"/>
    <s v="Qantas Domestic Terminal,Mascot"/>
    <s v="Sydney"/>
    <x v="1"/>
    <x v="1"/>
    <x v="4"/>
    <s v="Medium"/>
    <s v="Xit Blank Computer Paper"/>
    <s v="Office Supplies"/>
    <s v="Small Box"/>
    <s v="Regular Air"/>
    <d v="2014-06-07T00:00:00"/>
    <n v="12.39"/>
    <n v="19.98"/>
    <n v="7.59"/>
    <n v="10"/>
    <n v="199.8"/>
    <n v="0.1"/>
    <n v="19.980000000000004"/>
    <n v="179.82"/>
    <n v="5.77"/>
    <n v="185.59"/>
  </r>
  <r>
    <s v="5513-1"/>
    <x v="229"/>
    <x v="1"/>
    <s v="Chuck Sachs"/>
    <s v="1/41B Elizabeth Bay Rd,Elizabeth Bay"/>
    <s v="Sydney"/>
    <x v="1"/>
    <x v="2"/>
    <x v="10"/>
    <s v="Medium"/>
    <s v="Cando PC940 Copier"/>
    <s v="Technology"/>
    <s v="Jumbo Drum"/>
    <s v="Delivery Truck"/>
    <d v="2014-06-08T00:00:00"/>
    <n v="278.99"/>
    <n v="449.99"/>
    <n v="171"/>
    <n v="5"/>
    <n v="2249.9499999999998"/>
    <n v="0.01"/>
    <n v="22.499499999999998"/>
    <n v="2227.4504999999999"/>
    <n v="49"/>
    <n v="2276.4504999999999"/>
  </r>
  <r>
    <s v="5514-1"/>
    <x v="230"/>
    <x v="1"/>
    <s v="John Lee"/>
    <s v="180 High Street,Windsor"/>
    <s v="Melbourne"/>
    <x v="0"/>
    <x v="1"/>
    <x v="1"/>
    <s v="Not Specified"/>
    <s v="Artisan Poly Binder Pockets"/>
    <s v="Office Supplies"/>
    <s v="Small Box"/>
    <s v="Express Air"/>
    <d v="2014-06-10T00:00:00"/>
    <n v="2.2599999999999998"/>
    <n v="3.58"/>
    <n v="1.3200000000000003"/>
    <n v="44"/>
    <n v="157.52000000000001"/>
    <n v="0.06"/>
    <n v="9.4512"/>
    <n v="148.06880000000001"/>
    <n v="5.47"/>
    <n v="153.53880000000001"/>
  </r>
  <r>
    <s v="5516-1"/>
    <x v="231"/>
    <x v="1"/>
    <s v="Anthony Rawles"/>
    <s v="14 Money Street, Perth"/>
    <s v="Perth"/>
    <x v="2"/>
    <x v="3"/>
    <x v="11"/>
    <s v="High"/>
    <s v="3Max Polarizing Light Filter Sleeves"/>
    <s v="Furniture"/>
    <s v="Small Pack"/>
    <s v="Regular Air"/>
    <d v="2014-06-09T00:00:00"/>
    <n v="11.38"/>
    <n v="18.649999999999999"/>
    <n v="7.2699999999999978"/>
    <n v="18"/>
    <n v="335.7"/>
    <n v="0.1"/>
    <n v="33.57"/>
    <n v="302.13"/>
    <n v="3.77"/>
    <n v="305.89999999999998"/>
  </r>
  <r>
    <s v="5518-1"/>
    <x v="232"/>
    <x v="1"/>
    <s v="Fred Chung"/>
    <s v="81 MacLeay St,Potts Point"/>
    <s v="Sydney"/>
    <x v="1"/>
    <x v="1"/>
    <x v="6"/>
    <s v="Low"/>
    <s v="Smiths Colored Interoffice Envelopes"/>
    <s v="Office Supplies"/>
    <s v="Small Box"/>
    <s v="Express Air"/>
    <d v="2014-06-22T00:00:00"/>
    <n v="19.829999999999998"/>
    <n v="30.98"/>
    <n v="11.150000000000002"/>
    <n v="46"/>
    <n v="1425.08"/>
    <n v="0.04"/>
    <n v="57.0032"/>
    <n v="1368.0767999999998"/>
    <n v="19.510000000000002"/>
    <n v="1387.5867999999998"/>
  </r>
  <r>
    <s v="5520-1"/>
    <x v="233"/>
    <x v="1"/>
    <s v="Julie Prescott"/>
    <s v="438 Victoria Avenue,Chatswood"/>
    <s v="Sydney"/>
    <x v="1"/>
    <x v="0"/>
    <x v="5"/>
    <s v="Low"/>
    <s v="Smiths Standard Envelopes"/>
    <s v="Office Supplies"/>
    <s v="Small Box"/>
    <s v="Regular Air"/>
    <d v="2014-06-21T00:00:00"/>
    <n v="3.52"/>
    <n v="5.68"/>
    <n v="2.1599999999999997"/>
    <n v="32"/>
    <n v="181.76"/>
    <n v="0.1"/>
    <n v="18.175999999999998"/>
    <n v="163.584"/>
    <n v="1.39"/>
    <n v="164.97399999999999"/>
  </r>
  <r>
    <s v="5521-1"/>
    <x v="234"/>
    <x v="1"/>
    <s v="Edward Becker"/>
    <s v="501 George St,Sydney"/>
    <s v="Sydney"/>
    <x v="1"/>
    <x v="0"/>
    <x v="6"/>
    <s v="Medium"/>
    <s v="Smiths General Use 3-Ring Binders"/>
    <s v="Office Supplies"/>
    <s v="Small Box"/>
    <s v="Regular Air"/>
    <d v="2014-06-18T00:00:00"/>
    <n v="1.18"/>
    <n v="1.88"/>
    <n v="0.7"/>
    <n v="19"/>
    <n v="35.72"/>
    <n v="7.0000000000000007E-2"/>
    <n v="2.5004"/>
    <n v="33.2196"/>
    <n v="1.49"/>
    <n v="34.709600000000002"/>
  </r>
  <r>
    <s v="5523-1"/>
    <x v="235"/>
    <x v="1"/>
    <s v="Bill Donatelli"/>
    <s v="8 Orange Street, Perth"/>
    <s v="Perth"/>
    <x v="2"/>
    <x v="1"/>
    <x v="4"/>
    <s v="High"/>
    <s v="Message Book, One Form per Page"/>
    <s v="Office Supplies"/>
    <s v="Wrap Bag"/>
    <s v="Regular Air"/>
    <d v="2014-06-18T00:00:00"/>
    <n v="2.41"/>
    <n v="3.71"/>
    <n v="1.2999999999999998"/>
    <n v="39"/>
    <n v="144.69"/>
    <n v="0.06"/>
    <n v="8.6814"/>
    <n v="136.0086"/>
    <n v="1.93"/>
    <n v="137.93860000000001"/>
  </r>
  <r>
    <s v="5525-1"/>
    <x v="235"/>
    <x v="1"/>
    <s v="Toby Swindell"/>
    <s v="273 George Street,Sydney"/>
    <s v="Sydney"/>
    <x v="1"/>
    <x v="3"/>
    <x v="2"/>
    <s v="Critical"/>
    <s v="Adams &quot;While You Were Out&quot; Message Pads"/>
    <s v="Office Supplies"/>
    <s v="Wrap Bag"/>
    <s v="Regular Air"/>
    <d v="2014-06-18T00:00:00"/>
    <n v="1.88"/>
    <n v="3.14"/>
    <n v="1.2600000000000002"/>
    <n v="32"/>
    <n v="100.48"/>
    <n v="0.03"/>
    <n v="3.0144000000000002"/>
    <n v="97.465600000000009"/>
    <n v="1.1399999999999999"/>
    <n v="98.60560000000001"/>
  </r>
  <r>
    <s v="5526-1"/>
    <x v="236"/>
    <x v="1"/>
    <s v="Barry Pond"/>
    <s v="1/20 Pendal Lane, Perth"/>
    <s v="Melbourne"/>
    <x v="0"/>
    <x v="2"/>
    <x v="1"/>
    <s v="Medium"/>
    <s v="DrawIt Colored Pencils, 48-Color Set"/>
    <s v="Office Supplies"/>
    <s v="Wrap Bag"/>
    <s v="Regular Air"/>
    <d v="2014-06-21T00:00:00"/>
    <n v="21.56"/>
    <n v="36.549999999999997"/>
    <n v="14.989999999999998"/>
    <n v="48"/>
    <n v="1754.3999999999999"/>
    <n v="7.0000000000000007E-2"/>
    <n v="122.80800000000001"/>
    <n v="1631.5919999999999"/>
    <n v="13.89"/>
    <n v="1645.482"/>
  </r>
  <r>
    <s v="5527-1"/>
    <x v="236"/>
    <x v="1"/>
    <s v="Jim Mitchum"/>
    <s v="85-113 Dunning Ave,Rosebery"/>
    <s v="Sydney"/>
    <x v="1"/>
    <x v="2"/>
    <x v="11"/>
    <s v="Not Specified"/>
    <s v="Laser DVD-RAM discs"/>
    <s v="Technology"/>
    <s v="Small Pack"/>
    <s v="Regular Air"/>
    <d v="2014-06-21T00:00:00"/>
    <n v="20.18"/>
    <n v="35.409999999999997"/>
    <n v="15.229999999999997"/>
    <n v="21"/>
    <n v="743.6099999999999"/>
    <n v="0.01"/>
    <n v="7.4360999999999988"/>
    <n v="736.17389999999989"/>
    <n v="1.99"/>
    <n v="738.1638999999999"/>
  </r>
  <r>
    <s v="5529-1"/>
    <x v="236"/>
    <x v="1"/>
    <s v="Bruce Degenhardt"/>
    <s v="501 George St,Sydney"/>
    <s v="Sydney"/>
    <x v="1"/>
    <x v="0"/>
    <x v="6"/>
    <s v="High"/>
    <s v="Multimedia Mailers"/>
    <s v="Office Supplies"/>
    <s v="Small Box"/>
    <s v="Regular Air"/>
    <d v="2014-06-21T00:00:00"/>
    <n v="99.39"/>
    <n v="162.93"/>
    <n v="63.540000000000006"/>
    <n v="16"/>
    <n v="2606.88"/>
    <n v="0.1"/>
    <n v="260.68800000000005"/>
    <n v="2346.192"/>
    <n v="19.989999999999998"/>
    <n v="2366.1819999999998"/>
  </r>
  <r>
    <s v="5531-1"/>
    <x v="237"/>
    <x v="1"/>
    <s v="Luke Weiss"/>
    <s v="88 Oxford St,Woollahra"/>
    <s v="Sydney"/>
    <x v="1"/>
    <x v="1"/>
    <x v="10"/>
    <s v="Not Specified"/>
    <s v="3Max Polarizing Task Lamp with Clamp Arm, Light Gray"/>
    <s v="Furniture"/>
    <s v="Large Box"/>
    <s v="Express Air"/>
    <d v="2014-06-24T00:00:00"/>
    <n v="56.16"/>
    <n v="136.97999999999999"/>
    <n v="80.819999999999993"/>
    <n v="17"/>
    <n v="2328.66"/>
    <n v="0"/>
    <n v="0"/>
    <n v="2328.66"/>
    <n v="24.49"/>
    <n v="2353.1499999999996"/>
  </r>
  <r>
    <s v="5533-1"/>
    <x v="237"/>
    <x v="1"/>
    <s v="Craig Leslie"/>
    <s v="10 Bligh St,Melbourne"/>
    <s v="Melbourne"/>
    <x v="0"/>
    <x v="2"/>
    <x v="1"/>
    <s v="Medium"/>
    <s v="Artisan 478 Labels"/>
    <s v="Office Supplies"/>
    <s v="Small Box"/>
    <s v="Express Air"/>
    <d v="2014-06-24T00:00:00"/>
    <n v="3.14"/>
    <n v="4.91"/>
    <n v="1.77"/>
    <n v="24"/>
    <n v="117.84"/>
    <n v="0.01"/>
    <n v="1.1784000000000001"/>
    <n v="116.66160000000001"/>
    <n v="0.5"/>
    <n v="117.16160000000001"/>
  </r>
  <r>
    <s v="5534-1"/>
    <x v="238"/>
    <x v="1"/>
    <s v="Frank Hawley"/>
    <s v="Shop 1 797 Botany Rd,Rosebery"/>
    <s v="Sydney"/>
    <x v="1"/>
    <x v="0"/>
    <x v="4"/>
    <s v="Medium"/>
    <s v="Artisan 474 Labels"/>
    <s v="Office Supplies"/>
    <s v="Small Box"/>
    <s v="Regular Air"/>
    <d v="2014-06-23T00:00:00"/>
    <n v="1.84"/>
    <n v="2.88"/>
    <n v="1.0399999999999998"/>
    <n v="8"/>
    <n v="23.04"/>
    <n v="7.0000000000000007E-2"/>
    <n v="1.6128"/>
    <n v="21.427199999999999"/>
    <n v="0.99"/>
    <n v="22.417199999999998"/>
  </r>
  <r>
    <s v="5536-1"/>
    <x v="239"/>
    <x v="1"/>
    <s v="Nora Paige"/>
    <s v="85-113 Dunning Ave,Roseberry"/>
    <s v="Sydney"/>
    <x v="1"/>
    <x v="3"/>
    <x v="11"/>
    <s v="Not Specified"/>
    <s v="Steady 52201 APSCO Electric Pencil Sharpener"/>
    <s v="Office Supplies"/>
    <s v="Small Pack"/>
    <s v="Regular Air"/>
    <d v="2014-06-25T00:00:00"/>
    <n v="16.8"/>
    <n v="40.97"/>
    <n v="24.169999999999998"/>
    <n v="47"/>
    <n v="1925.59"/>
    <n v="0.06"/>
    <n v="115.5354"/>
    <n v="1810.0545999999999"/>
    <n v="8.99"/>
    <n v="1819.0445999999999"/>
  </r>
  <r>
    <s v="5537-1"/>
    <x v="240"/>
    <x v="1"/>
    <s v="Alejandro Ballentine"/>
    <s v="412 Brunswick St,Fitzroy"/>
    <s v="Melbourne"/>
    <x v="0"/>
    <x v="3"/>
    <x v="1"/>
    <s v="High"/>
    <s v="Barrel Sharpener"/>
    <s v="Office Supplies"/>
    <s v="Small Pack"/>
    <s v="Regular Air"/>
    <d v="2014-06-28T00:00:00"/>
    <n v="1.46"/>
    <n v="3.57"/>
    <n v="2.11"/>
    <n v="46"/>
    <n v="164.22"/>
    <n v="0.01"/>
    <n v="1.6422000000000001"/>
    <n v="162.5778"/>
    <n v="4.17"/>
    <n v="166.74779999999998"/>
  </r>
  <r>
    <s v="5539-1"/>
    <x v="241"/>
    <x v="1"/>
    <s v="Daniel Byrd"/>
    <s v="127 Liverpool St,Sydney"/>
    <s v="Sydney"/>
    <x v="1"/>
    <x v="0"/>
    <x v="6"/>
    <s v="Not Specified"/>
    <s v="Angle-D Binders with Locking Rings, Label Holders"/>
    <s v="Office Supplies"/>
    <s v="Small Box"/>
    <s v="Regular Air"/>
    <d v="2014-06-30T00:00:00"/>
    <n v="4.53"/>
    <n v="7.3"/>
    <n v="2.7699999999999996"/>
    <n v="50"/>
    <n v="365"/>
    <n v="0.02"/>
    <n v="7.3"/>
    <n v="357.7"/>
    <n v="7.72"/>
    <n v="365.42"/>
  </r>
  <r>
    <s v="5539-2"/>
    <x v="241"/>
    <x v="1"/>
    <s v="Daniel Byrd"/>
    <s v="127 Liverpool St,Sydney"/>
    <s v="Sydney"/>
    <x v="1"/>
    <x v="0"/>
    <x v="6"/>
    <s v="Not Specified"/>
    <s v="Smiths Paper Clips"/>
    <s v="Office Supplies"/>
    <s v="Wrap Bag"/>
    <s v="Regular Air"/>
    <d v="2014-06-30T00:00:00"/>
    <n v="1.53"/>
    <n v="2.4700000000000002"/>
    <n v="0.94000000000000017"/>
    <n v="43"/>
    <n v="106.21000000000001"/>
    <n v="0.02"/>
    <n v="2.1242000000000001"/>
    <n v="104.08580000000001"/>
    <n v="1.02"/>
    <n v="105.1058"/>
  </r>
  <r>
    <s v="5541-1"/>
    <x v="241"/>
    <x v="1"/>
    <s v="Christine Abelman"/>
    <s v="Sydney Fish Market, Bank Street, Sydney"/>
    <s v="Sydney"/>
    <x v="1"/>
    <x v="1"/>
    <x v="4"/>
    <s v="Medium"/>
    <s v="Artisan 479 Labels"/>
    <s v="Office Supplies"/>
    <s v="Small Box"/>
    <s v="Regular Air"/>
    <d v="2014-06-29T00:00:00"/>
    <n v="1.59"/>
    <n v="2.61"/>
    <n v="1.0199999999999998"/>
    <n v="44"/>
    <n v="114.83999999999999"/>
    <n v="0.09"/>
    <n v="10.335599999999999"/>
    <n v="104.50439999999999"/>
    <n v="0.5"/>
    <n v="105.00439999999999"/>
  </r>
  <r>
    <s v="5544-1"/>
    <x v="241"/>
    <x v="1"/>
    <s v="William Brown"/>
    <s v="3 Carrington Road ,Box Hill"/>
    <s v="Melbourne"/>
    <x v="0"/>
    <x v="1"/>
    <x v="0"/>
    <s v="Not Specified"/>
    <s v="TechSavi Cordless Access Keyboard"/>
    <s v="Technology"/>
    <s v="Small Box"/>
    <s v="Regular Air"/>
    <d v="2014-06-30T00:00:00"/>
    <n v="14.7"/>
    <n v="29.99"/>
    <n v="15.29"/>
    <n v="20"/>
    <n v="599.79999999999995"/>
    <n v="0"/>
    <n v="0"/>
    <n v="599.79999999999995"/>
    <n v="5.5"/>
    <n v="605.29999999999995"/>
  </r>
  <r>
    <s v="5546-1"/>
    <x v="242"/>
    <x v="1"/>
    <s v="Monica Federle"/>
    <s v="834 Bourke St,Waterloo"/>
    <s v="Sydney"/>
    <x v="1"/>
    <x v="1"/>
    <x v="10"/>
    <s v="Medium"/>
    <s v="Alto Perma 2700 Stacking Storage Drawers"/>
    <s v="Office Supplies"/>
    <s v="Small Box"/>
    <s v="Regular Air"/>
    <d v="2014-07-03T00:00:00"/>
    <n v="8.92"/>
    <n v="29.74"/>
    <n v="20.82"/>
    <n v="4"/>
    <n v="118.96"/>
    <n v="0.05"/>
    <n v="5.9480000000000004"/>
    <n v="113.012"/>
    <n v="6.64"/>
    <n v="119.652"/>
  </r>
  <r>
    <s v="5547-1"/>
    <x v="243"/>
    <x v="1"/>
    <s v="Mike Gockenbach"/>
    <s v="180 High Street,Windsor"/>
    <s v="Melbourne"/>
    <x v="0"/>
    <x v="2"/>
    <x v="1"/>
    <s v="High"/>
    <s v="Alto Memo Cubes"/>
    <s v="Office Supplies"/>
    <s v="Wrap Bag"/>
    <s v="Regular Air"/>
    <d v="2014-07-06T00:00:00"/>
    <n v="3.32"/>
    <n v="5.18"/>
    <n v="1.8599999999999999"/>
    <n v="43"/>
    <n v="222.73999999999998"/>
    <n v="0.03"/>
    <n v="6.682199999999999"/>
    <n v="216.05779999999999"/>
    <n v="2.04"/>
    <n v="218.09779999999998"/>
  </r>
  <r>
    <s v="5548-1"/>
    <x v="244"/>
    <x v="1"/>
    <s v="James Galang"/>
    <s v="Westfield 1 Anderson St,Chatswood"/>
    <s v="Sydney"/>
    <x v="1"/>
    <x v="2"/>
    <x v="3"/>
    <s v="Critical"/>
    <s v="Artisan File Folder Labels"/>
    <s v="Office Supplies"/>
    <s v="Small Box"/>
    <s v="Regular Air"/>
    <d v="2014-07-08T00:00:00"/>
    <n v="1.84"/>
    <n v="2.88"/>
    <n v="1.0399999999999998"/>
    <n v="47"/>
    <n v="135.35999999999999"/>
    <n v="0.03"/>
    <n v="4.0607999999999995"/>
    <n v="131.29919999999998"/>
    <n v="5.33"/>
    <n v="136.6292"/>
  </r>
  <r>
    <s v="5549-1"/>
    <x v="245"/>
    <x v="1"/>
    <s v="Sanjit Jacobs"/>
    <s v="541 Church St,Richmond"/>
    <s v="Melbourne"/>
    <x v="0"/>
    <x v="2"/>
    <x v="0"/>
    <s v="High"/>
    <s v="TechSavi Access Keyboard"/>
    <s v="Technology"/>
    <s v="Small Box"/>
    <s v="Regular Air"/>
    <d v="2014-07-13T00:00:00"/>
    <n v="8.31"/>
    <n v="15.98"/>
    <n v="7.67"/>
    <n v="40"/>
    <n v="639.20000000000005"/>
    <n v="0.03"/>
    <n v="19.176000000000002"/>
    <n v="620.024"/>
    <n v="6.5"/>
    <n v="626.524"/>
  </r>
  <r>
    <s v="5551-1"/>
    <x v="246"/>
    <x v="1"/>
    <s v="Raymond Book"/>
    <s v="Shop 1, 186-190 Church Street,Parramatta;46a Macleay Street,Potts Point"/>
    <s v="Sydney"/>
    <x v="1"/>
    <x v="2"/>
    <x v="11"/>
    <s v="Medium"/>
    <s v="Artisan Round Ring Poly Binders"/>
    <s v="Office Supplies"/>
    <s v="Small Box"/>
    <s v="Regular Air"/>
    <d v="2014-07-14T00:00:00"/>
    <n v="1.82"/>
    <n v="2.84"/>
    <n v="1.0199999999999998"/>
    <n v="19"/>
    <n v="53.959999999999994"/>
    <n v="0"/>
    <n v="0"/>
    <n v="53.959999999999994"/>
    <n v="5.44"/>
    <n v="59.399999999999991"/>
  </r>
  <r>
    <s v="5552-1"/>
    <x v="247"/>
    <x v="1"/>
    <s v="Bobby Odegard"/>
    <s v="37/59 Brewer Street, Perth"/>
    <s v="Melbourne"/>
    <x v="0"/>
    <x v="1"/>
    <x v="1"/>
    <s v="Not Specified"/>
    <s v="Laser Neon Mac Format Diskettes, 10/Pack"/>
    <s v="Technology"/>
    <s v="Small Pack"/>
    <s v="Regular Air"/>
    <d v="2014-07-17T00:00:00"/>
    <n v="1.87"/>
    <n v="8.1199999999999992"/>
    <n v="6.2499999999999991"/>
    <n v="4"/>
    <n v="32.479999999999997"/>
    <n v="7.0000000000000007E-2"/>
    <n v="2.2736000000000001"/>
    <n v="30.206399999999995"/>
    <n v="2.83"/>
    <n v="33.036399999999993"/>
  </r>
  <r>
    <s v="5554-1"/>
    <x v="248"/>
    <x v="1"/>
    <s v="Eric Barreto"/>
    <s v="14 Money Street"/>
    <s v="Perth"/>
    <x v="2"/>
    <x v="3"/>
    <x v="4"/>
    <s v="High"/>
    <s v="Alto 3-Hole Punch"/>
    <s v="Office Supplies"/>
    <s v="Small Box"/>
    <s v="Regular Air"/>
    <d v="2014-07-18T00:00:00"/>
    <n v="2.76"/>
    <n v="4.38"/>
    <n v="1.62"/>
    <n v="18"/>
    <n v="78.84"/>
    <n v="0.03"/>
    <n v="2.3652000000000002"/>
    <n v="76.474800000000002"/>
    <n v="6.21"/>
    <n v="82.684799999999996"/>
  </r>
  <r>
    <s v="5556-1"/>
    <x v="249"/>
    <x v="1"/>
    <s v="Art Miller"/>
    <s v="14 Money Street, Perth"/>
    <s v="Sydney"/>
    <x v="1"/>
    <x v="1"/>
    <x v="2"/>
    <s v="Medium"/>
    <s v="Artisan 474 Labels"/>
    <s v="Office Supplies"/>
    <s v="Small Box"/>
    <s v="Regular Air"/>
    <d v="2014-07-19T00:00:00"/>
    <n v="1.84"/>
    <n v="2.88"/>
    <n v="1.0399999999999998"/>
    <n v="10"/>
    <n v="28.799999999999997"/>
    <n v="0.01"/>
    <n v="0.28799999999999998"/>
    <n v="28.511999999999997"/>
    <n v="0.99"/>
    <n v="29.501999999999995"/>
  </r>
  <r>
    <s v="5558-1"/>
    <x v="249"/>
    <x v="1"/>
    <s v="Julia Dunbar"/>
    <s v="3/265 Stirling Street"/>
    <s v="Perth"/>
    <x v="2"/>
    <x v="2"/>
    <x v="4"/>
    <s v="Low"/>
    <s v="Colored Push Pins"/>
    <s v="Office Supplies"/>
    <s v="Wrap Bag"/>
    <s v="Regular Air"/>
    <d v="2014-07-20T00:00:00"/>
    <n v="0.92"/>
    <n v="1.81"/>
    <n v="0.89"/>
    <n v="8"/>
    <n v="14.48"/>
    <n v="0.05"/>
    <n v="0.72400000000000009"/>
    <n v="13.756"/>
    <n v="1.56"/>
    <n v="15.316000000000001"/>
  </r>
  <r>
    <s v="5558-2"/>
    <x v="249"/>
    <x v="1"/>
    <s v="Julia Dunbar"/>
    <s v="3/265 Stirling Street"/>
    <s v="Perth"/>
    <x v="2"/>
    <x v="2"/>
    <x v="4"/>
    <s v="Low"/>
    <s v="Steady Colorific Eraseable Coloring Pencils, 12 Count"/>
    <s v="Office Supplies"/>
    <s v="Wrap Bag"/>
    <s v="Regular Air"/>
    <d v="2014-07-25T00:00:00"/>
    <n v="1.9"/>
    <n v="3.28"/>
    <n v="1.38"/>
    <n v="41"/>
    <n v="134.47999999999999"/>
    <n v="0.05"/>
    <n v="6.7240000000000002"/>
    <n v="127.75599999999999"/>
    <n v="1.95"/>
    <n v="129.70599999999999"/>
  </r>
  <r>
    <s v="5560-1"/>
    <x v="250"/>
    <x v="1"/>
    <s v="Gene Hale"/>
    <s v="1/173-179 Bronte Rd,Waverley"/>
    <s v="Sydney"/>
    <x v="1"/>
    <x v="2"/>
    <x v="2"/>
    <s v="Low"/>
    <s v="Economy Binders"/>
    <s v="Office Supplies"/>
    <s v="Small Box"/>
    <s v="Regular Air"/>
    <d v="2014-07-24T00:00:00"/>
    <n v="1.33"/>
    <n v="2.08"/>
    <n v="0.75"/>
    <n v="20"/>
    <n v="41.6"/>
    <n v="0.04"/>
    <n v="1.6640000000000001"/>
    <n v="39.936"/>
    <n v="1.49"/>
    <n v="41.426000000000002"/>
  </r>
  <r>
    <s v="5562-1"/>
    <x v="251"/>
    <x v="1"/>
    <s v="Sonia Sunley"/>
    <s v="1/50-58 Hunter St,Sydney"/>
    <s v="Sydney"/>
    <x v="1"/>
    <x v="3"/>
    <x v="12"/>
    <s v="Critical"/>
    <s v="Smiths Metal Binder Clips"/>
    <s v="Office Supplies"/>
    <s v="Wrap Bag"/>
    <s v="Express Air"/>
    <d v="2014-07-26T00:00:00"/>
    <n v="1.6"/>
    <n v="2.62"/>
    <n v="1.02"/>
    <n v="25"/>
    <n v="65.5"/>
    <n v="0.09"/>
    <n v="5.8949999999999996"/>
    <n v="59.605000000000004"/>
    <n v="0.8"/>
    <n v="60.405000000000001"/>
  </r>
  <r>
    <s v="5564-1"/>
    <x v="252"/>
    <x v="1"/>
    <s v="Philip Brown"/>
    <s v="499-501 Lygon Street,Carlton North"/>
    <s v="Melbourne"/>
    <x v="0"/>
    <x v="0"/>
    <x v="0"/>
    <s v="Low"/>
    <s v="Self-Adhesive Removable Labels"/>
    <s v="Office Supplies"/>
    <s v="Small Box"/>
    <s v="Regular Air"/>
    <d v="2014-07-27T00:00:00"/>
    <n v="1.98"/>
    <n v="3.15"/>
    <n v="1.17"/>
    <n v="46"/>
    <n v="144.9"/>
    <n v="0.1"/>
    <n v="14.490000000000002"/>
    <n v="130.41"/>
    <n v="0.49"/>
    <n v="130.9"/>
  </r>
  <r>
    <s v="5566-1"/>
    <x v="253"/>
    <x v="1"/>
    <s v="Victoria Wilson"/>
    <s v="1/160 Anzac Parade,Kensington"/>
    <s v="Sydney"/>
    <x v="1"/>
    <x v="0"/>
    <x v="5"/>
    <s v="Low"/>
    <s v="HFX LaserJet 3310 Copier"/>
    <s v="Technology"/>
    <s v="Large Box"/>
    <s v="Regular Air"/>
    <d v="2014-08-04T00:00:00"/>
    <n v="377.99"/>
    <n v="599.99"/>
    <n v="222"/>
    <n v="25"/>
    <n v="14999.75"/>
    <n v="7.0000000000000007E-2"/>
    <n v="1049.9825000000001"/>
    <n v="13949.7675"/>
    <n v="24.49"/>
    <n v="13974.2575"/>
  </r>
  <r>
    <s v="5566-2"/>
    <x v="253"/>
    <x v="1"/>
    <s v="Victoria Wilson"/>
    <s v="1/160 Anzac Parade,Kensington"/>
    <s v="Sydney"/>
    <x v="1"/>
    <x v="0"/>
    <x v="5"/>
    <s v="Low"/>
    <s v="Smiths Metal Binder Clips"/>
    <s v="Office Supplies"/>
    <s v="Wrap Bag"/>
    <s v="Regular Air"/>
    <d v="2014-08-02T00:00:00"/>
    <n v="1.6"/>
    <n v="2.62"/>
    <n v="1.02"/>
    <n v="10"/>
    <n v="26.200000000000003"/>
    <n v="0.08"/>
    <n v="2.0960000000000001"/>
    <n v="24.104000000000003"/>
    <n v="0.8"/>
    <n v="24.904000000000003"/>
  </r>
  <r>
    <s v="5569-1"/>
    <x v="254"/>
    <x v="1"/>
    <s v="Maria Zettner"/>
    <s v="531 King St,Newtown"/>
    <s v="Sydney"/>
    <x v="1"/>
    <x v="1"/>
    <x v="11"/>
    <s v="Medium"/>
    <s v="1726 Digital Answering Machine"/>
    <s v="Technology"/>
    <s v="Medium Box"/>
    <s v="Regular Air"/>
    <d v="2014-07-30T00:00:00"/>
    <n v="8.82"/>
    <n v="20.99"/>
    <n v="12.169999999999998"/>
    <n v="9"/>
    <n v="188.91"/>
    <n v="0.08"/>
    <n v="15.1128"/>
    <n v="173.7972"/>
    <n v="4.8099999999999996"/>
    <n v="178.60720000000001"/>
  </r>
  <r>
    <s v="5570-1"/>
    <x v="255"/>
    <x v="1"/>
    <s v="Keith Herrera"/>
    <s v="120 Hardware St,Melbourne"/>
    <s v="Melbourne"/>
    <x v="0"/>
    <x v="3"/>
    <x v="0"/>
    <s v="High"/>
    <s v="Artisan File Folder Labels"/>
    <s v="Office Supplies"/>
    <s v="Small Box"/>
    <s v="Regular Air"/>
    <d v="2014-07-31T00:00:00"/>
    <n v="1.84"/>
    <n v="2.88"/>
    <n v="1.0399999999999998"/>
    <n v="11"/>
    <n v="31.68"/>
    <n v="0.02"/>
    <n v="0.63360000000000005"/>
    <n v="31.046399999999998"/>
    <n v="5.33"/>
    <n v="36.376399999999997"/>
  </r>
  <r>
    <s v="5572-1"/>
    <x v="255"/>
    <x v="1"/>
    <s v="Mark Packer"/>
    <s v="Sydney Fish Market, Bank Street, Sydney"/>
    <s v="Sydney"/>
    <x v="1"/>
    <x v="3"/>
    <x v="4"/>
    <s v="High"/>
    <s v="Artisan Flip-Chart Easel Binder, Black"/>
    <s v="Office Supplies"/>
    <s v="Small Box"/>
    <s v="Regular Air"/>
    <d v="2014-08-01T00:00:00"/>
    <n v="13.88"/>
    <n v="22.38"/>
    <n v="8.4999999999999982"/>
    <n v="34"/>
    <n v="760.92"/>
    <n v="0.01"/>
    <n v="7.6091999999999995"/>
    <n v="753.31079999999997"/>
    <n v="15.1"/>
    <n v="768.41079999999999"/>
  </r>
  <r>
    <s v="5574-1"/>
    <x v="255"/>
    <x v="1"/>
    <s v="Denny Joy"/>
    <s v="99 Lygon Street,East Brunswick"/>
    <s v="Melbourne"/>
    <x v="0"/>
    <x v="1"/>
    <x v="1"/>
    <s v="Medium"/>
    <s v="Security-Tint Envelopes"/>
    <s v="Office Supplies"/>
    <s v="Small Box"/>
    <s v="Regular Air"/>
    <d v="2014-08-01T00:00:00"/>
    <n v="4.8899999999999997"/>
    <n v="7.64"/>
    <n v="2.75"/>
    <n v="7"/>
    <n v="53.48"/>
    <n v="0.06"/>
    <n v="3.2087999999999997"/>
    <n v="50.2712"/>
    <n v="1.39"/>
    <n v="51.661200000000001"/>
  </r>
  <r>
    <s v="5576-1"/>
    <x v="256"/>
    <x v="1"/>
    <s v="Shirley Jackson"/>
    <s v="Westfield Miranda, 600 Kingsway,Miranda"/>
    <s v="Sydney"/>
    <x v="1"/>
    <x v="1"/>
    <x v="12"/>
    <s v="Medium"/>
    <s v="Binder Posts"/>
    <s v="Office Supplies"/>
    <s v="Small Box"/>
    <s v="Regular Air"/>
    <d v="2014-08-04T00:00:00"/>
    <n v="3.5"/>
    <n v="5.74"/>
    <n v="2.2400000000000002"/>
    <n v="7"/>
    <n v="40.18"/>
    <n v="0.04"/>
    <n v="1.6072"/>
    <n v="38.572800000000001"/>
    <n v="5.01"/>
    <n v="43.582799999999999"/>
  </r>
  <r>
    <s v="5578-1"/>
    <x v="257"/>
    <x v="1"/>
    <s v="Ed Ludwig"/>
    <s v="221 Barkly St,St Kilda"/>
    <s v="Melbourne"/>
    <x v="0"/>
    <x v="2"/>
    <x v="0"/>
    <s v="High"/>
    <s v="12 Colored Short Pencils"/>
    <s v="Office Supplies"/>
    <s v="Wrap Bag"/>
    <s v="Regular Air"/>
    <d v="2014-08-07T00:00:00"/>
    <n v="1.0900000000000001"/>
    <n v="2.6"/>
    <n v="1.51"/>
    <n v="43"/>
    <n v="111.8"/>
    <n v="0.06"/>
    <n v="6.7079999999999993"/>
    <n v="105.092"/>
    <n v="2.4"/>
    <n v="107.492"/>
  </r>
  <r>
    <s v="5579-1"/>
    <x v="258"/>
    <x v="1"/>
    <s v="Carol Adams"/>
    <s v="181 Enmore Rd,Enmore"/>
    <s v="Sydney"/>
    <x v="1"/>
    <x v="1"/>
    <x v="13"/>
    <s v="Low"/>
    <s v="Artisan Hanging File Binders"/>
    <s v="Office Supplies"/>
    <s v="Small Box"/>
    <s v="Regular Air"/>
    <d v="2014-08-06T00:00:00"/>
    <n v="3.65"/>
    <n v="5.98"/>
    <n v="2.3300000000000005"/>
    <n v="32"/>
    <n v="191.36"/>
    <n v="0.1"/>
    <n v="19.136000000000003"/>
    <n v="172.22400000000002"/>
    <n v="1.49"/>
    <n v="173.71400000000003"/>
  </r>
  <r>
    <s v="5581-1"/>
    <x v="259"/>
    <x v="1"/>
    <s v="John Lucas"/>
    <s v="188 Pitt Street,Sydney"/>
    <s v="Sydney"/>
    <x v="1"/>
    <x v="3"/>
    <x v="8"/>
    <s v="Critical"/>
    <s v="Alto Memo Cubes"/>
    <s v="Office Supplies"/>
    <s v="Wrap Bag"/>
    <s v="Regular Air"/>
    <d v="2014-08-09T00:00:00"/>
    <n v="3.32"/>
    <n v="5.18"/>
    <n v="1.8599999999999999"/>
    <n v="17"/>
    <n v="88.06"/>
    <n v="0.02"/>
    <n v="1.7612000000000001"/>
    <n v="86.2988"/>
    <n v="2.04"/>
    <n v="88.338800000000006"/>
  </r>
  <r>
    <s v="5583-1"/>
    <x v="260"/>
    <x v="1"/>
    <s v="Benjamin Patterson"/>
    <s v="6 Brookman Street, Perth"/>
    <s v="Sydney"/>
    <x v="1"/>
    <x v="1"/>
    <x v="9"/>
    <s v="Critical"/>
    <s v="Bagged Rubber Bands"/>
    <s v="Office Supplies"/>
    <s v="Wrap Bag"/>
    <s v="Regular Air"/>
    <d v="2014-08-12T00:00:00"/>
    <n v="0.24"/>
    <n v="1.26"/>
    <n v="1.02"/>
    <n v="2"/>
    <n v="2.52"/>
    <n v="0.06"/>
    <n v="0.1512"/>
    <n v="2.3688000000000002"/>
    <n v="0.7"/>
    <n v="3.0688000000000004"/>
  </r>
  <r>
    <s v="5584-1"/>
    <x v="260"/>
    <x v="1"/>
    <s v="Sara Luxemburg"/>
    <s v="180 High Street,Windsor"/>
    <s v="Melbourne"/>
    <x v="0"/>
    <x v="3"/>
    <x v="1"/>
    <s v="Critical"/>
    <s v="DrawIt Colored Pencils, 48-Color Set"/>
    <s v="Office Supplies"/>
    <s v="Wrap Bag"/>
    <s v="Regular Air"/>
    <d v="2014-08-14T00:00:00"/>
    <n v="21.56"/>
    <n v="36.549999999999997"/>
    <n v="14.989999999999998"/>
    <n v="24"/>
    <n v="877.19999999999993"/>
    <n v="7.0000000000000007E-2"/>
    <n v="61.404000000000003"/>
    <n v="815.79599999999994"/>
    <n v="13.89"/>
    <n v="829.68599999999992"/>
  </r>
  <r>
    <s v="5586-1"/>
    <x v="260"/>
    <x v="1"/>
    <s v="Adrian Hane"/>
    <s v="180 High Street,Windsor"/>
    <s v="Melbourne"/>
    <x v="0"/>
    <x v="1"/>
    <x v="1"/>
    <s v="Medium"/>
    <s v="Steady Major Accent Highlighters"/>
    <s v="Office Supplies"/>
    <s v="Wrap Bag"/>
    <s v="Regular Air"/>
    <d v="2014-08-13T00:00:00"/>
    <n v="3.75"/>
    <n v="7.08"/>
    <n v="3.33"/>
    <n v="47"/>
    <n v="332.76"/>
    <n v="0.1"/>
    <n v="33.276000000000003"/>
    <n v="299.48399999999998"/>
    <n v="2.35"/>
    <n v="301.834"/>
  </r>
  <r>
    <s v="5588-1"/>
    <x v="260"/>
    <x v="1"/>
    <s v="Tonja Turnell"/>
    <s v="221 Barkly St,St Kilda"/>
    <s v="Melbourne"/>
    <x v="0"/>
    <x v="2"/>
    <x v="0"/>
    <s v="High"/>
    <s v="Wirebound Voice Message Log Book"/>
    <s v="Office Supplies"/>
    <s v="Wrap Bag"/>
    <s v="Express Air"/>
    <d v="2014-08-13T00:00:00"/>
    <n v="2.9"/>
    <n v="4.76"/>
    <n v="1.8599999999999999"/>
    <n v="11"/>
    <n v="52.36"/>
    <n v="0.08"/>
    <n v="4.1887999999999996"/>
    <n v="48.171199999999999"/>
    <n v="0.88"/>
    <n v="49.051200000000001"/>
  </r>
  <r>
    <s v="5589-1"/>
    <x v="261"/>
    <x v="1"/>
    <s v="Brad Thomas"/>
    <s v="152 Bunnerong Road,Eastgardens"/>
    <s v="Sydney"/>
    <x v="1"/>
    <x v="0"/>
    <x v="8"/>
    <s v="Low"/>
    <s v="Beekin 105-Key Black Keyboard"/>
    <s v="Technology"/>
    <s v="Small Box"/>
    <s v="Regular Air"/>
    <d v="2014-08-19T00:00:00"/>
    <n v="6.39"/>
    <n v="19.98"/>
    <n v="13.59"/>
    <n v="5"/>
    <n v="99.9"/>
    <n v="0.09"/>
    <n v="8.9909999999999997"/>
    <n v="90.909000000000006"/>
    <n v="4"/>
    <n v="94.909000000000006"/>
  </r>
  <r>
    <s v="5591-1"/>
    <x v="262"/>
    <x v="1"/>
    <s v="Dorris Love"/>
    <s v="359 Crown Street,Surry Hills"/>
    <s v="Sydney"/>
    <x v="1"/>
    <x v="0"/>
    <x v="4"/>
    <s v="Not Specified"/>
    <s v="Smiths File Caddy"/>
    <s v="Office Supplies"/>
    <s v="Small Box"/>
    <s v="Regular Air"/>
    <d v="2014-08-23T00:00:00"/>
    <n v="4.03"/>
    <n v="9.3800000000000008"/>
    <n v="5.3500000000000005"/>
    <n v="17"/>
    <n v="159.46"/>
    <n v="0.09"/>
    <n v="14.3514"/>
    <n v="145.1086"/>
    <n v="7.28"/>
    <n v="152.3886"/>
  </r>
  <r>
    <s v="5593-1"/>
    <x v="263"/>
    <x v="1"/>
    <s v="John Lee"/>
    <s v="180 High Street,Windsor"/>
    <s v="Melbourne"/>
    <x v="0"/>
    <x v="1"/>
    <x v="1"/>
    <s v="High"/>
    <s v="Aluminum Document Frame"/>
    <s v="Furniture"/>
    <s v="Small Pack"/>
    <s v="Regular Air"/>
    <d v="2014-08-27T00:00:00"/>
    <n v="5.5"/>
    <n v="12.22"/>
    <n v="6.7200000000000006"/>
    <n v="37"/>
    <n v="452.14000000000004"/>
    <n v="0.09"/>
    <n v="40.692600000000006"/>
    <n v="411.44740000000002"/>
    <n v="2.85"/>
    <n v="414.29740000000004"/>
  </r>
  <r>
    <s v="5594-1"/>
    <x v="263"/>
    <x v="1"/>
    <s v="Jill Fjeld"/>
    <s v="53 Riley Street,Woolloomooloo"/>
    <s v="Sydney"/>
    <x v="1"/>
    <x v="0"/>
    <x v="8"/>
    <s v="High"/>
    <s v="PastelOcean Color Pencil Set"/>
    <s v="Office Supplies"/>
    <s v="Wrap Bag"/>
    <s v="Regular Air"/>
    <d v="2014-08-27T00:00:00"/>
    <n v="11.11"/>
    <n v="19.84"/>
    <n v="8.73"/>
    <n v="28"/>
    <n v="555.52"/>
    <n v="0.06"/>
    <n v="33.331199999999995"/>
    <n v="522.18880000000001"/>
    <n v="4.0999999999999996"/>
    <n v="526.28880000000004"/>
  </r>
  <r>
    <s v="5596-1"/>
    <x v="264"/>
    <x v="1"/>
    <s v="Valerie Dominguez"/>
    <s v="37/59 Brewer Street"/>
    <s v="Perth"/>
    <x v="2"/>
    <x v="1"/>
    <x v="8"/>
    <s v="Medium"/>
    <s v="TechSavi Access Keyboard"/>
    <s v="Technology"/>
    <s v="Small Box"/>
    <s v="Regular Air"/>
    <d v="2014-08-26T00:00:00"/>
    <n v="10.07"/>
    <n v="15.98"/>
    <n v="5.91"/>
    <n v="46"/>
    <n v="735.08"/>
    <n v="0.02"/>
    <n v="14.701600000000001"/>
    <n v="720.37840000000006"/>
    <n v="4"/>
    <n v="724.37840000000006"/>
  </r>
  <r>
    <s v="5597-1"/>
    <x v="265"/>
    <x v="1"/>
    <s v="Maribeth Yedwab"/>
    <s v="240-242 Johnston Street,Fitzroy"/>
    <s v="Melbourne"/>
    <x v="0"/>
    <x v="0"/>
    <x v="1"/>
    <s v="Not Specified"/>
    <s v="Smiths Metal Binder Clips"/>
    <s v="Office Supplies"/>
    <s v="Wrap Bag"/>
    <s v="Express Air"/>
    <d v="2014-08-28T00:00:00"/>
    <n v="1.6"/>
    <n v="2.62"/>
    <n v="1.02"/>
    <n v="45"/>
    <n v="117.9"/>
    <n v="0.01"/>
    <n v="1.179"/>
    <n v="116.721"/>
    <n v="0.8"/>
    <n v="117.521"/>
  </r>
  <r>
    <s v="5599-1"/>
    <x v="266"/>
    <x v="1"/>
    <s v="Ruben Ausman"/>
    <s v="Crown Complex,Southbank"/>
    <s v="Melbourne"/>
    <x v="0"/>
    <x v="1"/>
    <x v="0"/>
    <s v="High"/>
    <s v="Cando PC940 Copier"/>
    <s v="Technology"/>
    <s v="Jumbo Drum"/>
    <s v="Delivery Truck"/>
    <d v="2014-08-28T00:00:00"/>
    <n v="278.99"/>
    <n v="449.99"/>
    <n v="171"/>
    <n v="15"/>
    <n v="6749.85"/>
    <n v="0.04"/>
    <n v="269.99400000000003"/>
    <n v="6479.8560000000007"/>
    <n v="49"/>
    <n v="6528.8560000000007"/>
  </r>
  <r>
    <s v="5599-2"/>
    <x v="266"/>
    <x v="1"/>
    <s v="Ruben Ausman"/>
    <s v="Crown Complex,Southbank"/>
    <s v="Melbourne"/>
    <x v="0"/>
    <x v="1"/>
    <x v="0"/>
    <s v="High"/>
    <s v="EcoTones Memo Sheets"/>
    <s v="Office Supplies"/>
    <s v="Wrap Bag"/>
    <s v="Regular Air"/>
    <d v="2014-08-29T00:00:00"/>
    <n v="2.52"/>
    <n v="4"/>
    <n v="1.48"/>
    <n v="14"/>
    <n v="56"/>
    <n v="0.06"/>
    <n v="3.36"/>
    <n v="52.64"/>
    <n v="1.3"/>
    <n v="53.94"/>
  </r>
  <r>
    <s v="5603-1"/>
    <x v="266"/>
    <x v="1"/>
    <s v="Jim Kriz"/>
    <s v="85-113 Dunning Ave,Roseberry"/>
    <s v="Sydney"/>
    <x v="1"/>
    <x v="2"/>
    <x v="11"/>
    <s v="Low"/>
    <s v="TechSavi Internet Navigator Keyboard"/>
    <s v="Technology"/>
    <s v="Small Box"/>
    <s v="Regular Air"/>
    <d v="2014-09-01T00:00:00"/>
    <n v="6.51"/>
    <n v="30.98"/>
    <n v="24.47"/>
    <n v="37"/>
    <n v="1146.26"/>
    <n v="0.03"/>
    <n v="34.387799999999999"/>
    <n v="1111.8722"/>
    <n v="6.5"/>
    <n v="1118.3722"/>
  </r>
  <r>
    <s v="5604-1"/>
    <x v="267"/>
    <x v="1"/>
    <s v="Vivek Sundaresam"/>
    <s v="152 Bunnerong Road,Eastgardens"/>
    <s v="Sydney"/>
    <x v="1"/>
    <x v="0"/>
    <x v="8"/>
    <s v="Low"/>
    <s v="TechSavi Access Keyboard"/>
    <s v="Technology"/>
    <s v="Small Box"/>
    <s v="Regular Air"/>
    <d v="2014-09-04T00:00:00"/>
    <n v="10.07"/>
    <n v="15.98"/>
    <n v="5.91"/>
    <n v="29"/>
    <n v="463.42"/>
    <n v="0.04"/>
    <n v="18.536799999999999"/>
    <n v="444.88319999999999"/>
    <n v="4"/>
    <n v="448.88319999999999"/>
  </r>
  <r>
    <s v="5605-1"/>
    <x v="268"/>
    <x v="1"/>
    <s v="Odella Nelson"/>
    <s v="523 King St,Newtown"/>
    <s v="Sydney"/>
    <x v="1"/>
    <x v="3"/>
    <x v="9"/>
    <s v="Medium"/>
    <s v="Artisan Hi-Liter GlideStik Fluorescent Highlighter, Yellow Ink"/>
    <s v="Office Supplies"/>
    <s v="Wrap Bag"/>
    <s v="Regular Air"/>
    <d v="2014-09-05T00:00:00"/>
    <n v="1.92"/>
    <n v="3.26"/>
    <n v="1.3399999999999999"/>
    <n v="31"/>
    <n v="101.05999999999999"/>
    <n v="0"/>
    <n v="0"/>
    <n v="101.05999999999999"/>
    <n v="1.86"/>
    <n v="102.91999999999999"/>
  </r>
  <r>
    <s v="5606-1"/>
    <x v="268"/>
    <x v="1"/>
    <s v="Kean Thornton"/>
    <s v="65 Palmerston Street"/>
    <s v="Perth"/>
    <x v="2"/>
    <x v="1"/>
    <x v="5"/>
    <s v="Low"/>
    <s v="Artisan Hi-Liter Smear-Safe Highlighters"/>
    <s v="Office Supplies"/>
    <s v="Wrap Bag"/>
    <s v="Regular Air"/>
    <d v="2014-09-10T00:00:00"/>
    <n v="2.98"/>
    <n v="5.84"/>
    <n v="2.86"/>
    <n v="22"/>
    <n v="128.47999999999999"/>
    <n v="0.1"/>
    <n v="12.847999999999999"/>
    <n v="115.63199999999999"/>
    <n v="0.83"/>
    <n v="116.46199999999999"/>
  </r>
  <r>
    <s v="5607-1"/>
    <x v="269"/>
    <x v="1"/>
    <s v="Aaron Bergman"/>
    <s v="Westfield Sydney,Sydney"/>
    <s v="Sydney"/>
    <x v="1"/>
    <x v="1"/>
    <x v="5"/>
    <s v="Not Specified"/>
    <s v="Apex Preferred Stainless Steel Scissors"/>
    <s v="Office Supplies"/>
    <s v="Small Pack"/>
    <s v="Regular Air"/>
    <d v="2014-09-05T00:00:00"/>
    <n v="2.5"/>
    <n v="5.68"/>
    <n v="3.1799999999999997"/>
    <n v="23"/>
    <n v="130.63999999999999"/>
    <n v="0.01"/>
    <n v="1.3063999999999998"/>
    <n v="129.33359999999999"/>
    <n v="3.6"/>
    <n v="132.93359999999998"/>
  </r>
  <r>
    <s v="5609-1"/>
    <x v="270"/>
    <x v="1"/>
    <s v="Eugene Moren"/>
    <s v="14/76 Newcastle Street"/>
    <s v="Perth"/>
    <x v="2"/>
    <x v="0"/>
    <x v="11"/>
    <s v="Not Specified"/>
    <s v="Smiths General Use 3-Ring Binders"/>
    <s v="Office Supplies"/>
    <s v="Small Box"/>
    <s v="Regular Air"/>
    <d v="2014-09-07T00:00:00"/>
    <n v="1.18"/>
    <n v="1.88"/>
    <n v="0.7"/>
    <n v="47"/>
    <n v="88.36"/>
    <n v="0.06"/>
    <n v="5.3015999999999996"/>
    <n v="83.058400000000006"/>
    <n v="1.49"/>
    <n v="84.548400000000001"/>
  </r>
  <r>
    <s v="5609-2"/>
    <x v="270"/>
    <x v="1"/>
    <s v="Eugene Moren"/>
    <s v="14/76 Newcastle Street"/>
    <s v="Perth"/>
    <x v="2"/>
    <x v="0"/>
    <x v="11"/>
    <s v="Not Specified"/>
    <s v="Steady Liquid Accent Tank-Style Highlighters"/>
    <s v="Office Supplies"/>
    <s v="Wrap Bag"/>
    <s v="Regular Air"/>
    <d v="2014-09-09T00:00:00"/>
    <n v="1.31"/>
    <n v="2.84"/>
    <n v="1.5299999999999998"/>
    <n v="39"/>
    <n v="110.75999999999999"/>
    <n v="0.08"/>
    <n v="8.8607999999999993"/>
    <n v="101.89919999999999"/>
    <n v="0.93"/>
    <n v="102.8292"/>
  </r>
  <r>
    <s v="5612-1"/>
    <x v="271"/>
    <x v="1"/>
    <s v="Victoria Pisteka"/>
    <s v="8/2 Edward Street"/>
    <s v="Perth"/>
    <x v="2"/>
    <x v="1"/>
    <x v="5"/>
    <s v="Not Specified"/>
    <s v="3Max Polarizing Light Filter Sleeves"/>
    <s v="Furniture"/>
    <s v="Small Pack"/>
    <s v="Regular Air"/>
    <d v="2014-09-12T00:00:00"/>
    <n v="11.38"/>
    <n v="18.649999999999999"/>
    <n v="7.2699999999999978"/>
    <n v="7"/>
    <n v="130.54999999999998"/>
    <n v="0.01"/>
    <n v="1.3054999999999999"/>
    <n v="129.24449999999999"/>
    <n v="3.77"/>
    <n v="133.0145"/>
  </r>
  <r>
    <s v="5613-1"/>
    <x v="272"/>
    <x v="1"/>
    <s v="Philip Brown"/>
    <s v="499-501 Lygon Street,Carlton North"/>
    <s v="Melbourne"/>
    <x v="0"/>
    <x v="0"/>
    <x v="0"/>
    <s v="Critical"/>
    <s v="Binder Clips by OIC"/>
    <s v="Office Supplies"/>
    <s v="Wrap Bag"/>
    <s v="Regular Air"/>
    <d v="2014-09-13T00:00:00"/>
    <n v="0.93"/>
    <n v="1.48"/>
    <n v="0.54999999999999993"/>
    <n v="15"/>
    <n v="22.2"/>
    <n v="0.03"/>
    <n v="0.66599999999999993"/>
    <n v="21.533999999999999"/>
    <n v="0.7"/>
    <n v="22.233999999999998"/>
  </r>
  <r>
    <s v="5615-1"/>
    <x v="273"/>
    <x v="1"/>
    <s v="Jack Garza"/>
    <s v="2a/285A Crown St,Surry Hills"/>
    <s v="Sydney"/>
    <x v="1"/>
    <x v="1"/>
    <x v="4"/>
    <s v="Critical"/>
    <s v="Creator Anti Dust Chalk, 12/Pack"/>
    <s v="Office Supplies"/>
    <s v="Wrap Bag"/>
    <s v="Regular Air"/>
    <d v="2014-09-13T00:00:00"/>
    <n v="1.0900000000000001"/>
    <n v="1.82"/>
    <n v="0.73"/>
    <n v="36"/>
    <n v="65.52"/>
    <n v="0.09"/>
    <n v="5.8967999999999998"/>
    <n v="59.623199999999997"/>
    <n v="1"/>
    <n v="60.623199999999997"/>
  </r>
  <r>
    <s v="5616-1"/>
    <x v="273"/>
    <x v="1"/>
    <s v="Gary Hansen"/>
    <s v="273 George Street,Sydney"/>
    <s v="Sydney"/>
    <x v="1"/>
    <x v="2"/>
    <x v="2"/>
    <s v="Low"/>
    <s v="Multi-Use Personal File Cart and Caster Set, Three Stacking Bins"/>
    <s v="Office Supplies"/>
    <s v="Small Box"/>
    <s v="Regular Air"/>
    <d v="2014-09-19T00:00:00"/>
    <n v="14.95"/>
    <n v="34.76"/>
    <n v="19.809999999999999"/>
    <n v="34"/>
    <n v="1181.8399999999999"/>
    <n v="0.03"/>
    <n v="35.455199999999998"/>
    <n v="1146.3847999999998"/>
    <n v="8.2200000000000006"/>
    <n v="1154.6047999999998"/>
  </r>
  <r>
    <s v="5618-1"/>
    <x v="274"/>
    <x v="1"/>
    <s v="Christina Vanderzanden"/>
    <s v="188 Pitt Street,Sydney"/>
    <s v="Sydney"/>
    <x v="1"/>
    <x v="3"/>
    <x v="8"/>
    <s v="Low"/>
    <s v="Angle-D Binders with Locking Rings, Label Holders"/>
    <s v="Office Supplies"/>
    <s v="Small Box"/>
    <s v="Regular Air"/>
    <d v="2014-09-17T00:00:00"/>
    <n v="4.53"/>
    <n v="7.3"/>
    <n v="2.7699999999999996"/>
    <n v="26"/>
    <n v="189.79999999999998"/>
    <n v="0.03"/>
    <n v="5.6939999999999991"/>
    <n v="184.10599999999999"/>
    <n v="7.72"/>
    <n v="191.82599999999999"/>
  </r>
  <r>
    <s v="5619-1"/>
    <x v="275"/>
    <x v="1"/>
    <s v="Bart Watters"/>
    <s v="27/580 Hay Street, Perth"/>
    <s v="Sydney"/>
    <x v="1"/>
    <x v="1"/>
    <x v="3"/>
    <s v="Critical"/>
    <s v="Artisan Poly Binder Pockets"/>
    <s v="Office Supplies"/>
    <s v="Small Box"/>
    <s v="Regular Air"/>
    <d v="2014-09-18T00:00:00"/>
    <n v="2.2599999999999998"/>
    <n v="3.58"/>
    <n v="1.3200000000000003"/>
    <n v="19"/>
    <n v="68.02"/>
    <n v="0"/>
    <n v="0"/>
    <n v="68.02"/>
    <n v="5.47"/>
    <n v="73.489999999999995"/>
  </r>
  <r>
    <s v="5621-1"/>
    <x v="276"/>
    <x v="1"/>
    <s v="George Ashbrook"/>
    <s v="506 Swan Street,Richmond"/>
    <s v="Melbourne"/>
    <x v="0"/>
    <x v="2"/>
    <x v="1"/>
    <s v="Medium"/>
    <s v="600 Series Non-Flip"/>
    <s v="Technology"/>
    <s v="Small Box"/>
    <s v="Regular Air"/>
    <d v="2014-09-23T00:00:00"/>
    <n v="19.78"/>
    <n v="45.99"/>
    <n v="26.21"/>
    <n v="23"/>
    <n v="1057.77"/>
    <n v="0.1"/>
    <n v="105.777"/>
    <n v="951.99299999999994"/>
    <n v="4.99"/>
    <n v="956.98299999999995"/>
  </r>
  <r>
    <s v="5621-2"/>
    <x v="276"/>
    <x v="1"/>
    <s v="George Ashbrook"/>
    <s v="506 Swan Street,Richmond"/>
    <s v="Melbourne"/>
    <x v="0"/>
    <x v="2"/>
    <x v="1"/>
    <s v="Medium"/>
    <s v="Binder Clips by OIC"/>
    <s v="Office Supplies"/>
    <s v="Wrap Bag"/>
    <s v="Regular Air"/>
    <d v="2014-09-22T00:00:00"/>
    <n v="0.93"/>
    <n v="1.48"/>
    <n v="0.54999999999999993"/>
    <n v="33"/>
    <n v="48.839999999999996"/>
    <n v="0.06"/>
    <n v="2.9303999999999997"/>
    <n v="45.909599999999998"/>
    <n v="0.7"/>
    <n v="46.6096"/>
  </r>
  <r>
    <s v="5625-1"/>
    <x v="277"/>
    <x v="1"/>
    <s v="Nathan Mautz"/>
    <s v="412 Brunswick St,Fitzroy"/>
    <s v="Melbourne"/>
    <x v="0"/>
    <x v="1"/>
    <x v="1"/>
    <s v="High"/>
    <s v="DrawIt Colored Pencils"/>
    <s v="Office Supplies"/>
    <s v="Wrap Bag"/>
    <s v="Express Air"/>
    <d v="2014-09-25T00:00:00"/>
    <n v="4.37"/>
    <n v="9.11"/>
    <n v="4.7399999999999993"/>
    <n v="48"/>
    <n v="437.28"/>
    <n v="0.06"/>
    <n v="26.236799999999999"/>
    <n v="411.04319999999996"/>
    <n v="2.25"/>
    <n v="413.29319999999996"/>
  </r>
  <r>
    <s v="5627-1"/>
    <x v="278"/>
    <x v="1"/>
    <s v="Cindy Chapman"/>
    <s v="101 Murray Street"/>
    <s v="Perth"/>
    <x v="2"/>
    <x v="1"/>
    <x v="8"/>
    <s v="Low"/>
    <s v="Office Shears by Apex"/>
    <s v="Office Supplies"/>
    <s v="Small Pack"/>
    <s v="Regular Air"/>
    <d v="2014-10-02T00:00:00"/>
    <n v="0.94"/>
    <n v="2.08"/>
    <n v="1.1400000000000001"/>
    <n v="36"/>
    <n v="74.88"/>
    <n v="0.01"/>
    <n v="0.74880000000000002"/>
    <n v="74.131199999999993"/>
    <n v="2.56"/>
    <n v="76.691199999999995"/>
  </r>
  <r>
    <s v="5629-1"/>
    <x v="279"/>
    <x v="1"/>
    <s v="Charles McCrossin"/>
    <s v="81 MacLeay St,Potts Point"/>
    <s v="Sydney"/>
    <x v="1"/>
    <x v="1"/>
    <x v="6"/>
    <s v="High"/>
    <s v="Smiths Paper Clips"/>
    <s v="Office Supplies"/>
    <s v="Wrap Bag"/>
    <s v="Regular Air"/>
    <d v="2014-09-29T00:00:00"/>
    <n v="1.53"/>
    <n v="2.4700000000000002"/>
    <n v="0.94000000000000017"/>
    <n v="49"/>
    <n v="121.03000000000002"/>
    <n v="0.03"/>
    <n v="3.6309000000000005"/>
    <n v="117.39910000000002"/>
    <n v="1.02"/>
    <n v="118.41910000000001"/>
  </r>
  <r>
    <s v="5630-1"/>
    <x v="279"/>
    <x v="1"/>
    <s v="Giulietta Baptist"/>
    <s v="Hoyts Entertainment Quarter 122 Lang Road,Moore Park"/>
    <s v="Sydney"/>
    <x v="1"/>
    <x v="0"/>
    <x v="8"/>
    <s v="High"/>
    <s v="Steady Liquid Accent Highlighters"/>
    <s v="Office Supplies"/>
    <s v="Wrap Bag"/>
    <s v="Regular Air"/>
    <d v="2014-09-29T00:00:00"/>
    <n v="3.47"/>
    <n v="6.68"/>
    <n v="3.2099999999999995"/>
    <n v="16"/>
    <n v="106.88"/>
    <n v="0.1"/>
    <n v="10.688000000000001"/>
    <n v="96.191999999999993"/>
    <n v="1.5"/>
    <n v="97.691999999999993"/>
  </r>
  <r>
    <s v="5631-1"/>
    <x v="280"/>
    <x v="1"/>
    <s v="Christopher Martinez"/>
    <s v="32 Wellington Street"/>
    <s v="Perth"/>
    <x v="2"/>
    <x v="3"/>
    <x v="8"/>
    <s v="Low"/>
    <s v="OIC Thumb-Tacks"/>
    <s v="Office Supplies"/>
    <s v="Wrap Bag"/>
    <s v="Regular Air"/>
    <d v="2014-09-29T00:00:00"/>
    <n v="0.71"/>
    <n v="1.1399999999999999"/>
    <n v="0.42999999999999994"/>
    <n v="8"/>
    <n v="9.1199999999999992"/>
    <n v="0"/>
    <n v="0"/>
    <n v="9.1199999999999992"/>
    <n v="0.7"/>
    <n v="9.8199999999999985"/>
  </r>
  <r>
    <s v="5633-1"/>
    <x v="281"/>
    <x v="1"/>
    <s v="Patrick Jones"/>
    <s v="221 Barkly St,St Kilda"/>
    <s v="Melbourne"/>
    <x v="0"/>
    <x v="0"/>
    <x v="0"/>
    <s v="High"/>
    <s v="Adesso Programmable 142-Key Keyboard"/>
    <s v="Technology"/>
    <s v="Small Box"/>
    <s v="Regular Air"/>
    <d v="2014-10-03T00:00:00"/>
    <n v="39.64"/>
    <n v="152.47999999999999"/>
    <n v="112.83999999999999"/>
    <n v="48"/>
    <n v="7319.0399999999991"/>
    <n v="0.04"/>
    <n v="292.76159999999999"/>
    <n v="7026.2783999999992"/>
    <n v="6.5"/>
    <n v="7032.7783999999992"/>
  </r>
  <r>
    <s v="5635-1"/>
    <x v="281"/>
    <x v="1"/>
    <s v="Jamie Kunitz"/>
    <s v="Sydney Fish Market, Bank Street, Sydney"/>
    <s v="Sydney"/>
    <x v="1"/>
    <x v="1"/>
    <x v="4"/>
    <s v="Not Specified"/>
    <s v="PastelOcean Color Pencil Set"/>
    <s v="Office Supplies"/>
    <s v="Wrap Bag"/>
    <s v="Express Air"/>
    <d v="2014-10-02T00:00:00"/>
    <n v="11.11"/>
    <n v="19.84"/>
    <n v="8.73"/>
    <n v="15"/>
    <n v="297.60000000000002"/>
    <n v="0"/>
    <n v="0"/>
    <n v="297.60000000000002"/>
    <n v="4.0999999999999996"/>
    <n v="301.70000000000005"/>
  </r>
  <r>
    <s v="5637-1"/>
    <x v="282"/>
    <x v="1"/>
    <s v="Carl Jackson"/>
    <s v="6 Mary St,Newtown"/>
    <s v="Sydney"/>
    <x v="1"/>
    <x v="0"/>
    <x v="6"/>
    <s v="High"/>
    <s v="Artisan 487 Labels"/>
    <s v="Office Supplies"/>
    <s v="Small Box"/>
    <s v="Regular Air"/>
    <d v="2014-10-04T00:00:00"/>
    <n v="2.29"/>
    <n v="3.69"/>
    <n v="1.4"/>
    <n v="30"/>
    <n v="110.7"/>
    <n v="0.09"/>
    <n v="9.9629999999999992"/>
    <n v="100.73700000000001"/>
    <n v="0.5"/>
    <n v="101.23700000000001"/>
  </r>
  <r>
    <s v="5639-1"/>
    <x v="282"/>
    <x v="1"/>
    <s v="Ritsa Hightower"/>
    <s v="22 St Georges Terrace"/>
    <s v="Perth"/>
    <x v="2"/>
    <x v="1"/>
    <x v="5"/>
    <s v="High"/>
    <s v="Smiths Colored Bar Computer Paper"/>
    <s v="Office Supplies"/>
    <s v="Small Box"/>
    <s v="Regular Air"/>
    <d v="2014-10-04T00:00:00"/>
    <n v="21.97"/>
    <n v="35.44"/>
    <n v="13.469999999999999"/>
    <n v="29"/>
    <n v="1027.76"/>
    <n v="0.03"/>
    <n v="30.832799999999999"/>
    <n v="996.92719999999997"/>
    <n v="4.92"/>
    <n v="1001.8471999999999"/>
  </r>
  <r>
    <s v="5641-1"/>
    <x v="283"/>
    <x v="1"/>
    <s v="Nathan Mautz"/>
    <s v="412 Brunswick St,Fitzroy"/>
    <s v="Melbourne"/>
    <x v="0"/>
    <x v="1"/>
    <x v="1"/>
    <s v="Not Specified"/>
    <s v="OIC Thumb-Tacks"/>
    <s v="Office Supplies"/>
    <s v="Wrap Bag"/>
    <s v="Regular Air"/>
    <d v="2014-10-05T00:00:00"/>
    <n v="0.71"/>
    <n v="1.1399999999999999"/>
    <n v="0.42999999999999994"/>
    <n v="4"/>
    <n v="4.5599999999999996"/>
    <n v="0"/>
    <n v="0"/>
    <n v="4.5599999999999996"/>
    <n v="0.7"/>
    <n v="5.26"/>
  </r>
  <r>
    <s v="5643-1"/>
    <x v="284"/>
    <x v="1"/>
    <s v="Liz Price"/>
    <s v="Sydney Fish Market, Bank Street, Sydney"/>
    <s v="Sydney"/>
    <x v="1"/>
    <x v="2"/>
    <x v="4"/>
    <s v="Low"/>
    <s v="Artisan Non-Stick Binders"/>
    <s v="Office Supplies"/>
    <s v="Small Box"/>
    <s v="Express Air"/>
    <d v="2014-10-11T00:00:00"/>
    <n v="2.74"/>
    <n v="4.49"/>
    <n v="1.75"/>
    <n v="44"/>
    <n v="197.56"/>
    <n v="0.03"/>
    <n v="5.9268000000000001"/>
    <n v="191.63319999999999"/>
    <n v="1.49"/>
    <n v="193.1232"/>
  </r>
  <r>
    <s v="5644-1"/>
    <x v="284"/>
    <x v="1"/>
    <s v="Patrick OBrill"/>
    <s v="27/580 Hay Street"/>
    <s v="Perth"/>
    <x v="2"/>
    <x v="0"/>
    <x v="8"/>
    <s v="Low"/>
    <s v="Laser DVD-RAM discs"/>
    <s v="Technology"/>
    <s v="Small Pack"/>
    <s v="Regular Air"/>
    <d v="2014-10-06T00:00:00"/>
    <n v="20.18"/>
    <n v="35.409999999999997"/>
    <n v="15.229999999999997"/>
    <n v="5"/>
    <n v="177.04999999999998"/>
    <n v="0"/>
    <n v="0"/>
    <n v="177.04999999999998"/>
    <n v="1.99"/>
    <n v="179.04"/>
  </r>
  <r>
    <s v="5645-1"/>
    <x v="285"/>
    <x v="1"/>
    <s v="Sanjit Jacobs"/>
    <s v="541 Church St,Richmond"/>
    <s v="Melbourne"/>
    <x v="0"/>
    <x v="2"/>
    <x v="0"/>
    <s v="Critical"/>
    <s v="Artisan 481 Labels"/>
    <s v="Office Supplies"/>
    <s v="Small Box"/>
    <s v="Regular Air"/>
    <d v="2014-10-07T00:00:00"/>
    <n v="1.94"/>
    <n v="3.08"/>
    <n v="1.1400000000000001"/>
    <n v="46"/>
    <n v="141.68"/>
    <n v="0.04"/>
    <n v="5.6672000000000002"/>
    <n v="136.0128"/>
    <n v="0.99"/>
    <n v="137.00280000000001"/>
  </r>
  <r>
    <s v="5646-1"/>
    <x v="286"/>
    <x v="1"/>
    <s v="Christopher Schild"/>
    <s v="4A Lyons St,Strathfield"/>
    <s v="Sydney"/>
    <x v="1"/>
    <x v="1"/>
    <x v="8"/>
    <s v="High"/>
    <s v="Aluminum Document Frame"/>
    <s v="Furniture"/>
    <s v="Small Pack"/>
    <s v="Regular Air"/>
    <d v="2014-10-10T00:00:00"/>
    <n v="5.5"/>
    <n v="12.22"/>
    <n v="6.7200000000000006"/>
    <n v="1"/>
    <n v="12.22"/>
    <n v="0.1"/>
    <n v="1.2220000000000002"/>
    <n v="10.998000000000001"/>
    <n v="2.85"/>
    <n v="13.848000000000001"/>
  </r>
  <r>
    <s v="5647-1"/>
    <x v="287"/>
    <x v="1"/>
    <s v="Trudy Bell"/>
    <s v="Macquarie Centre Cnr Herring Road &amp; Waterloo Road,Macquarie Park"/>
    <s v="Sydney"/>
    <x v="1"/>
    <x v="2"/>
    <x v="3"/>
    <s v="High"/>
    <s v="Apex Box Cutter Scissors"/>
    <s v="Office Supplies"/>
    <s v="Small Pack"/>
    <s v="Regular Air"/>
    <d v="2014-10-09T00:00:00"/>
    <n v="4.1900000000000004"/>
    <n v="10.23"/>
    <n v="6.04"/>
    <n v="37"/>
    <n v="378.51"/>
    <n v="0.08"/>
    <n v="30.280799999999999"/>
    <n v="348.22919999999999"/>
    <n v="4.68"/>
    <n v="352.9092"/>
  </r>
  <r>
    <s v="5648-1"/>
    <x v="288"/>
    <x v="1"/>
    <s v="Harold Dahlen"/>
    <s v="53-55 Liverpool St,Sydney"/>
    <s v="Sydney"/>
    <x v="1"/>
    <x v="1"/>
    <x v="8"/>
    <s v="Low"/>
    <s v="Artisan Reinforcements for Hole-Punch Pages"/>
    <s v="Office Supplies"/>
    <s v="Small Box"/>
    <s v="Regular Air"/>
    <d v="2014-10-17T00:00:00"/>
    <n v="1.19"/>
    <n v="1.98"/>
    <n v="0.79"/>
    <n v="38"/>
    <n v="75.239999999999995"/>
    <n v="0.05"/>
    <n v="3.762"/>
    <n v="71.477999999999994"/>
    <n v="4.7699999999999996"/>
    <n v="76.24799999999999"/>
  </r>
  <r>
    <s v="5650-1"/>
    <x v="289"/>
    <x v="1"/>
    <s v="Arthur Prichep"/>
    <s v="14 Knebworth Avenue, Perth"/>
    <s v="Sydney"/>
    <x v="1"/>
    <x v="0"/>
    <x v="4"/>
    <s v="Medium"/>
    <s v="PastelOcean Color Pencil Set"/>
    <s v="Office Supplies"/>
    <s v="Wrap Bag"/>
    <s v="Regular Air"/>
    <d v="2014-10-11T00:00:00"/>
    <n v="11.11"/>
    <n v="19.84"/>
    <n v="8.73"/>
    <n v="43"/>
    <n v="853.12"/>
    <n v="0.03"/>
    <n v="25.593599999999999"/>
    <n v="827.52639999999997"/>
    <n v="4.0999999999999996"/>
    <n v="831.62639999999999"/>
  </r>
  <r>
    <s v="5651-1"/>
    <x v="290"/>
    <x v="1"/>
    <s v="Vicky Freymann"/>
    <s v="501 George St,Sydney"/>
    <s v="Sydney"/>
    <x v="1"/>
    <x v="0"/>
    <x v="6"/>
    <s v="Low"/>
    <s v="Ames Color-File Green Diamond Border X-ray Mailers"/>
    <s v="Office Supplies"/>
    <s v="Small Box"/>
    <s v="Express Air"/>
    <d v="2014-10-19T00:00:00"/>
    <n v="52.07"/>
    <n v="83.98"/>
    <n v="31.910000000000004"/>
    <n v="34"/>
    <n v="2855.32"/>
    <n v="0.06"/>
    <n v="171.3192"/>
    <n v="2684.0008000000003"/>
    <n v="5.01"/>
    <n v="2689.0108000000005"/>
  </r>
  <r>
    <s v="5653-1"/>
    <x v="291"/>
    <x v="1"/>
    <s v="Patrick Jones"/>
    <s v="221 Barkly St,St Kilda"/>
    <s v="Melbourne"/>
    <x v="0"/>
    <x v="0"/>
    <x v="0"/>
    <s v="Critical"/>
    <s v="EcoTones Memo Sheets"/>
    <s v="Office Supplies"/>
    <s v="Wrap Bag"/>
    <s v="Regular Air"/>
    <d v="2014-10-17T00:00:00"/>
    <n v="2.52"/>
    <n v="4"/>
    <n v="1.48"/>
    <n v="36"/>
    <n v="144"/>
    <n v="0.01"/>
    <n v="1.44"/>
    <n v="142.56"/>
    <n v="1.3"/>
    <n v="143.86000000000001"/>
  </r>
  <r>
    <s v="5655-1"/>
    <x v="292"/>
    <x v="1"/>
    <s v="Sam Craven"/>
    <s v="8 Rankins Lane ,Melbourne"/>
    <s v="Melbourne"/>
    <x v="0"/>
    <x v="0"/>
    <x v="1"/>
    <s v="Medium"/>
    <s v="Apex Straight Scissors"/>
    <s v="Office Supplies"/>
    <s v="Small Pack"/>
    <s v="Regular Air"/>
    <d v="2014-10-17T00:00:00"/>
    <n v="5.19"/>
    <n v="12.98"/>
    <n v="7.79"/>
    <n v="11"/>
    <n v="142.78"/>
    <n v="0.08"/>
    <n v="11.4224"/>
    <n v="131.35759999999999"/>
    <n v="3.14"/>
    <n v="134.49759999999998"/>
  </r>
  <r>
    <s v="5655-2"/>
    <x v="292"/>
    <x v="1"/>
    <s v="Sam Craven"/>
    <s v="8 Rankins Lane ,Melbourne"/>
    <s v="Melbourne"/>
    <x v="0"/>
    <x v="0"/>
    <x v="1"/>
    <s v="Medium"/>
    <s v="EcoTones Memo Sheets"/>
    <s v="Office Supplies"/>
    <s v="Wrap Bag"/>
    <s v="Regular Air"/>
    <d v="2014-10-19T00:00:00"/>
    <n v="2.52"/>
    <n v="4"/>
    <n v="1.48"/>
    <n v="19"/>
    <n v="76"/>
    <n v="0.01"/>
    <n v="0.76"/>
    <n v="75.239999999999995"/>
    <n v="1.3"/>
    <n v="76.539999999999992"/>
  </r>
  <r>
    <s v="5658-1"/>
    <x v="293"/>
    <x v="1"/>
    <s v="Patrick Jones"/>
    <s v="221 Barkly St,St Kilda"/>
    <s v="Melbourne"/>
    <x v="0"/>
    <x v="0"/>
    <x v="0"/>
    <s v="Not Specified"/>
    <s v="Artisan 48 Labels"/>
    <s v="Office Supplies"/>
    <s v="Small Box"/>
    <s v="Regular Air"/>
    <d v="2014-10-20T00:00:00"/>
    <n v="3.84"/>
    <n v="6.3"/>
    <n v="2.46"/>
    <n v="8"/>
    <n v="50.4"/>
    <n v="0.01"/>
    <n v="0.504"/>
    <n v="49.896000000000001"/>
    <n v="0.5"/>
    <n v="50.396000000000001"/>
  </r>
  <r>
    <s v="5659-1"/>
    <x v="294"/>
    <x v="1"/>
    <s v="Barry Franz"/>
    <s v="65 Palmerston Street, Perth"/>
    <s v="Melbourne"/>
    <x v="0"/>
    <x v="1"/>
    <x v="0"/>
    <s v="High"/>
    <s v="Beekin 6 Outlet Metallic Surge Strip"/>
    <s v="Office Supplies"/>
    <s v="Small Box"/>
    <s v="Express Air"/>
    <d v="2014-10-20T00:00:00"/>
    <n v="4.46"/>
    <n v="10.89"/>
    <n v="6.4300000000000006"/>
    <n v="4"/>
    <n v="43.56"/>
    <n v="0.05"/>
    <n v="2.1780000000000004"/>
    <n v="41.382000000000005"/>
    <n v="4.5"/>
    <n v="45.882000000000005"/>
  </r>
  <r>
    <s v="5661-1"/>
    <x v="295"/>
    <x v="1"/>
    <s v="George Ashbrook"/>
    <s v="506 Swan Street,Richmond"/>
    <s v="Melbourne"/>
    <x v="0"/>
    <x v="3"/>
    <x v="1"/>
    <s v="Not Specified"/>
    <s v="TechSavi Access Keyboard"/>
    <s v="Technology"/>
    <s v="Small Box"/>
    <s v="Regular Air"/>
    <d v="2014-10-22T00:00:00"/>
    <n v="8.31"/>
    <n v="15.98"/>
    <n v="7.67"/>
    <n v="38"/>
    <n v="607.24"/>
    <n v="0.1"/>
    <n v="60.724000000000004"/>
    <n v="546.51599999999996"/>
    <n v="6.5"/>
    <n v="553.01599999999996"/>
  </r>
  <r>
    <s v="5663-1"/>
    <x v="296"/>
    <x v="1"/>
    <s v="Roger Demir"/>
    <s v="2/86 Enmore Rd,Enmore"/>
    <s v="Sydney"/>
    <x v="1"/>
    <x v="2"/>
    <x v="6"/>
    <s v="Not Specified"/>
    <s v="Artisan Hi-Liter EverBold Pen Style Fluorescent Highlighters, 4/Pack"/>
    <s v="Office Supplies"/>
    <s v="Wrap Bag"/>
    <s v="Regular Air"/>
    <d v="2014-10-22T00:00:00"/>
    <n v="4.4800000000000004"/>
    <n v="8.14"/>
    <n v="3.66"/>
    <n v="46"/>
    <n v="374.44000000000005"/>
    <n v="0"/>
    <n v="0"/>
    <n v="374.44000000000005"/>
    <n v="3.12"/>
    <n v="377.56000000000006"/>
  </r>
  <r>
    <s v="5665-1"/>
    <x v="296"/>
    <x v="1"/>
    <s v="Philip Brown"/>
    <s v="499-501 Lygon Street,Carlton North"/>
    <s v="Melbourne"/>
    <x v="0"/>
    <x v="1"/>
    <x v="0"/>
    <s v="Medium"/>
    <s v="Smiths SlimLine Pencil Sharpener"/>
    <s v="Office Supplies"/>
    <s v="Small Pack"/>
    <s v="Regular Air"/>
    <d v="2014-10-21T00:00:00"/>
    <n v="4.79"/>
    <n v="11.97"/>
    <n v="7.1800000000000006"/>
    <n v="8"/>
    <n v="95.76"/>
    <n v="0.03"/>
    <n v="2.8728000000000002"/>
    <n v="92.887200000000007"/>
    <n v="5.81"/>
    <n v="98.697200000000009"/>
  </r>
  <r>
    <s v="5667-1"/>
    <x v="297"/>
    <x v="1"/>
    <s v="Kelly Collister"/>
    <s v="499-501 Lygon Street,Carlton North"/>
    <s v="Melbourne"/>
    <x v="0"/>
    <x v="2"/>
    <x v="0"/>
    <s v="High"/>
    <s v="3Max Organizer Strips"/>
    <s v="Office Supplies"/>
    <s v="Small Box"/>
    <s v="Regular Air"/>
    <d v="2014-10-23T00:00:00"/>
    <n v="3.4"/>
    <n v="5.4"/>
    <n v="2.0000000000000004"/>
    <n v="22"/>
    <n v="118.80000000000001"/>
    <n v="0.1"/>
    <n v="11.880000000000003"/>
    <n v="106.92000000000002"/>
    <n v="7.78"/>
    <n v="114.70000000000002"/>
  </r>
  <r>
    <s v="5669-1"/>
    <x v="298"/>
    <x v="1"/>
    <s v="Caroline Jumper"/>
    <s v="145 Ramsay St,Haberfield"/>
    <s v="Sydney"/>
    <x v="1"/>
    <x v="1"/>
    <x v="4"/>
    <s v="Not Specified"/>
    <s v="Alto Perma 2700 Stacking Storage Drawers"/>
    <s v="Office Supplies"/>
    <s v="Small Box"/>
    <s v="Regular Air"/>
    <d v="2014-10-25T00:00:00"/>
    <n v="8.92"/>
    <n v="29.74"/>
    <n v="20.82"/>
    <n v="19"/>
    <n v="565.05999999999995"/>
    <n v="0.1"/>
    <n v="56.506"/>
    <n v="508.55399999999997"/>
    <n v="6.64"/>
    <n v="515.19399999999996"/>
  </r>
  <r>
    <s v="5670-1"/>
    <x v="299"/>
    <x v="1"/>
    <s v="Catherine Glotzbach"/>
    <s v="188 Pitt Street,Sydney"/>
    <s v="Sydney"/>
    <x v="1"/>
    <x v="0"/>
    <x v="8"/>
    <s v="Medium"/>
    <s v="Artisan Hanging File Binders"/>
    <s v="Office Supplies"/>
    <s v="Small Box"/>
    <s v="Regular Air"/>
    <d v="2014-10-27T00:00:00"/>
    <n v="3.65"/>
    <n v="5.98"/>
    <n v="2.3300000000000005"/>
    <n v="19"/>
    <n v="113.62"/>
    <n v="0.01"/>
    <n v="1.1362000000000001"/>
    <n v="112.4838"/>
    <n v="1.49"/>
    <n v="113.9738"/>
  </r>
  <r>
    <s v="5671-1"/>
    <x v="300"/>
    <x v="1"/>
    <s v="Mike Gockenbach"/>
    <s v="180 High Street,Windsor"/>
    <s v="Melbourne"/>
    <x v="0"/>
    <x v="2"/>
    <x v="1"/>
    <s v="Low"/>
    <s v="Artisan Hi-Liter Pen Style Six-Color Fluorescent Set"/>
    <s v="Office Supplies"/>
    <s v="Wrap Bag"/>
    <s v="Regular Air"/>
    <d v="2014-10-31T00:00:00"/>
    <n v="2.16"/>
    <n v="3.85"/>
    <n v="1.69"/>
    <n v="10"/>
    <n v="38.5"/>
    <n v="0.06"/>
    <n v="2.31"/>
    <n v="36.19"/>
    <n v="0.7"/>
    <n v="36.89"/>
  </r>
  <r>
    <s v="5672-1"/>
    <x v="301"/>
    <x v="1"/>
    <s v="Eugene Moren"/>
    <s v="14/76 Newcastle Street"/>
    <s v="Perth"/>
    <x v="2"/>
    <x v="0"/>
    <x v="11"/>
    <s v="Medium"/>
    <s v="TechSavi Cordless Keyboard"/>
    <s v="Technology"/>
    <s v="Small Box"/>
    <s v="Regular Air"/>
    <d v="2014-10-29T00:00:00"/>
    <n v="17.84"/>
    <n v="34.99"/>
    <n v="17.150000000000002"/>
    <n v="29"/>
    <n v="1014.71"/>
    <n v="0.09"/>
    <n v="91.323899999999995"/>
    <n v="923.38610000000006"/>
    <n v="5.5"/>
    <n v="928.88610000000006"/>
  </r>
  <r>
    <s v="5674-1"/>
    <x v="302"/>
    <x v="1"/>
    <s v="Brendan Murry"/>
    <s v="2/797 Botany Rd,Rosebery"/>
    <s v="Sydney"/>
    <x v="1"/>
    <x v="1"/>
    <x v="6"/>
    <s v="High"/>
    <s v="Smiths SlimLine Pencil Sharpener"/>
    <s v="Office Supplies"/>
    <s v="Small Pack"/>
    <s v="Regular Air"/>
    <d v="2014-10-31T00:00:00"/>
    <n v="4.79"/>
    <n v="11.97"/>
    <n v="7.1800000000000006"/>
    <n v="23"/>
    <n v="275.31"/>
    <n v="0.01"/>
    <n v="2.7530999999999999"/>
    <n v="272.55689999999998"/>
    <n v="5.81"/>
    <n v="278.36689999999999"/>
  </r>
  <r>
    <s v="5676-1"/>
    <x v="303"/>
    <x v="1"/>
    <s v="John Murray"/>
    <s v="Sydney Fish Market, Bank Street, Sydney"/>
    <s v="Sydney"/>
    <x v="1"/>
    <x v="3"/>
    <x v="4"/>
    <s v="Not Specified"/>
    <s v="Ames Color-File Green Diamond Border X-ray Mailers"/>
    <s v="Office Supplies"/>
    <s v="Small Box"/>
    <s v="Regular Air"/>
    <d v="2014-11-03T00:00:00"/>
    <n v="52.07"/>
    <n v="83.98"/>
    <n v="31.910000000000004"/>
    <n v="24"/>
    <n v="2015.52"/>
    <n v="0.05"/>
    <n v="100.77600000000001"/>
    <n v="1914.7439999999999"/>
    <n v="5.01"/>
    <n v="1919.7539999999999"/>
  </r>
  <r>
    <s v="5677-1"/>
    <x v="304"/>
    <x v="1"/>
    <s v="Lindsay Shagiari"/>
    <s v="5/250 Old Northern Road ,Castle Hill"/>
    <s v="Sydney"/>
    <x v="1"/>
    <x v="0"/>
    <x v="3"/>
    <s v="High"/>
    <s v="Security-Tint Envelopes"/>
    <s v="Office Supplies"/>
    <s v="Small Box"/>
    <s v="Regular Air"/>
    <d v="2014-11-04T00:00:00"/>
    <n v="4.8899999999999997"/>
    <n v="7.64"/>
    <n v="2.75"/>
    <n v="12"/>
    <n v="91.679999999999993"/>
    <n v="0.02"/>
    <n v="1.8335999999999999"/>
    <n v="89.846399999999988"/>
    <n v="1.39"/>
    <n v="91.236399999999989"/>
  </r>
  <r>
    <s v="5679-1"/>
    <x v="305"/>
    <x v="1"/>
    <s v="Pete Armstrong"/>
    <s v="506 Swan Street,Richmond"/>
    <s v="Melbourne"/>
    <x v="0"/>
    <x v="2"/>
    <x v="1"/>
    <s v="Low"/>
    <s v="EcoTones Memo Sheets"/>
    <s v="Office Supplies"/>
    <s v="Wrap Bag"/>
    <s v="Regular Air"/>
    <d v="2014-11-07T00:00:00"/>
    <n v="2.52"/>
    <n v="4"/>
    <n v="1.48"/>
    <n v="32"/>
    <n v="128"/>
    <n v="0.09"/>
    <n v="11.52"/>
    <n v="116.48"/>
    <n v="1.3"/>
    <n v="117.78"/>
  </r>
  <r>
    <s v="5680-1"/>
    <x v="305"/>
    <x v="1"/>
    <s v="Becky Castell"/>
    <s v="27/580 Hay Street, Perth"/>
    <s v="Sydney"/>
    <x v="1"/>
    <x v="2"/>
    <x v="12"/>
    <s v="Medium"/>
    <s v="TechSavi Internet Navigator Keyboard"/>
    <s v="Technology"/>
    <s v="Small Box"/>
    <s v="Regular Air"/>
    <d v="2014-11-04T00:00:00"/>
    <n v="6.51"/>
    <n v="30.98"/>
    <n v="24.47"/>
    <n v="12"/>
    <n v="371.76"/>
    <n v="0"/>
    <n v="0"/>
    <n v="371.76"/>
    <n v="6.5"/>
    <n v="378.26"/>
  </r>
  <r>
    <s v="5681-1"/>
    <x v="306"/>
    <x v="1"/>
    <s v="Ritsa Hightower"/>
    <s v="22 St Georges Terrace"/>
    <s v="Perth"/>
    <x v="2"/>
    <x v="1"/>
    <x v="5"/>
    <s v="Medium"/>
    <s v="HFX LaserJet 3310 Copier"/>
    <s v="Technology"/>
    <s v="Large Box"/>
    <s v="Express Air"/>
    <d v="2014-11-09T00:00:00"/>
    <n v="377.99"/>
    <n v="599.99"/>
    <n v="222"/>
    <n v="41"/>
    <n v="24599.59"/>
    <n v="7.0000000000000007E-2"/>
    <n v="1721.9713000000002"/>
    <n v="22877.618699999999"/>
    <n v="24.49"/>
    <n v="22902.108700000001"/>
  </r>
  <r>
    <s v="5682-1"/>
    <x v="307"/>
    <x v="1"/>
    <s v="Toby Carlisle"/>
    <s v="6/15 Cross Street,Double Bay"/>
    <s v="Sydney"/>
    <x v="1"/>
    <x v="0"/>
    <x v="2"/>
    <s v="High"/>
    <s v="HFX LaserJet 3310 Copier"/>
    <s v="Technology"/>
    <s v="Large Box"/>
    <s v="Regular Air"/>
    <d v="2014-11-12T00:00:00"/>
    <n v="377.99"/>
    <n v="599.99"/>
    <n v="222"/>
    <n v="20"/>
    <n v="11999.8"/>
    <n v="7.0000000000000007E-2"/>
    <n v="839.98599999999999"/>
    <n v="11159.813999999998"/>
    <n v="24.49"/>
    <n v="11184.303999999998"/>
  </r>
  <r>
    <s v="5684-1"/>
    <x v="308"/>
    <x v="1"/>
    <s v="Greg Hansen"/>
    <s v="221 Barkly St,St Kilda"/>
    <s v="Melbourne"/>
    <x v="0"/>
    <x v="0"/>
    <x v="0"/>
    <s v="Critical"/>
    <s v="Smiths Pushpins"/>
    <s v="Office Supplies"/>
    <s v="Wrap Bag"/>
    <s v="Regular Air"/>
    <d v="2014-11-12T00:00:00"/>
    <n v="0.94"/>
    <n v="1.88"/>
    <n v="0.94"/>
    <n v="36"/>
    <n v="67.679999999999993"/>
    <n v="0.1"/>
    <n v="6.7679999999999998"/>
    <n v="60.911999999999992"/>
    <n v="0.79"/>
    <n v="61.701999999999991"/>
  </r>
  <r>
    <s v="5685-1"/>
    <x v="309"/>
    <x v="1"/>
    <s v="Julia Dunbar"/>
    <s v="3/265 Stirling Street"/>
    <s v="Perth"/>
    <x v="2"/>
    <x v="2"/>
    <x v="4"/>
    <s v="Not Specified"/>
    <s v="300 Series Non-Flip"/>
    <s v="Technology"/>
    <s v="Small Box"/>
    <s v="Regular Air"/>
    <d v="2014-11-18T00:00:00"/>
    <n v="62.4"/>
    <n v="155.99"/>
    <n v="93.59"/>
    <n v="6"/>
    <n v="935.94"/>
    <n v="0.02"/>
    <n v="18.718800000000002"/>
    <n v="917.22120000000007"/>
    <n v="8.08"/>
    <n v="925.30120000000011"/>
  </r>
  <r>
    <s v="5686-1"/>
    <x v="309"/>
    <x v="1"/>
    <s v="Jill Stevenson"/>
    <s v="181 Enmore Rd,Enmore"/>
    <s v="Sydney"/>
    <x v="1"/>
    <x v="2"/>
    <x v="13"/>
    <s v="Low"/>
    <s v="Beekin 6 Outlet Metallic Surge Strip"/>
    <s v="Office Supplies"/>
    <s v="Small Box"/>
    <s v="Regular Air"/>
    <d v="2014-11-21T00:00:00"/>
    <n v="4.46"/>
    <n v="10.89"/>
    <n v="6.4300000000000006"/>
    <n v="8"/>
    <n v="87.12"/>
    <n v="0.09"/>
    <n v="7.8407999999999998"/>
    <n v="79.279200000000003"/>
    <n v="4.5"/>
    <n v="83.779200000000003"/>
  </r>
  <r>
    <s v="5687-1"/>
    <x v="310"/>
    <x v="1"/>
    <s v="Giulietta Weimer"/>
    <s v="48 Albion St,Surry Hills"/>
    <s v="Sydney"/>
    <x v="1"/>
    <x v="1"/>
    <x v="5"/>
    <s v="High"/>
    <s v="Binder Clips by OIC"/>
    <s v="Office Supplies"/>
    <s v="Wrap Bag"/>
    <s v="Regular Air"/>
    <d v="2014-11-19T00:00:00"/>
    <n v="0.93"/>
    <n v="1.48"/>
    <n v="0.54999999999999993"/>
    <n v="28"/>
    <n v="41.44"/>
    <n v="0.04"/>
    <n v="1.6576"/>
    <n v="39.782399999999996"/>
    <n v="0.7"/>
    <n v="40.482399999999998"/>
  </r>
  <r>
    <s v="5689-1"/>
    <x v="311"/>
    <x v="1"/>
    <s v="Jamie Kunitz"/>
    <s v="Sydney Fish Market, Bank Street, Sydney"/>
    <s v="Sydney"/>
    <x v="1"/>
    <x v="1"/>
    <x v="4"/>
    <s v="Critical"/>
    <s v="Steady Liquid Accent Tank-Style Highlighters"/>
    <s v="Office Supplies"/>
    <s v="Wrap Bag"/>
    <s v="Regular Air"/>
    <d v="2014-11-20T00:00:00"/>
    <n v="1.31"/>
    <n v="2.84"/>
    <n v="1.5299999999999998"/>
    <n v="12"/>
    <n v="34.08"/>
    <n v="0.1"/>
    <n v="3.4079999999999999"/>
    <n v="30.671999999999997"/>
    <n v="0.93"/>
    <n v="31.601999999999997"/>
  </r>
  <r>
    <s v="5690-1"/>
    <x v="312"/>
    <x v="1"/>
    <s v="Brendan Murry"/>
    <s v="2/797 Botany Rd,Rosebery"/>
    <s v="Sydney"/>
    <x v="1"/>
    <x v="1"/>
    <x v="6"/>
    <s v="Medium"/>
    <s v="Economy Rollaway Files"/>
    <s v="Office Supplies"/>
    <s v="Small Box"/>
    <s v="Express Air"/>
    <d v="2014-11-21T00:00:00"/>
    <n v="67.73"/>
    <n v="165.2"/>
    <n v="97.469999999999985"/>
    <n v="46"/>
    <n v="7599.2"/>
    <n v="0.02"/>
    <n v="151.98400000000001"/>
    <n v="7447.2159999999994"/>
    <n v="19.989999999999998"/>
    <n v="7467.2059999999992"/>
  </r>
  <r>
    <s v="5692-1"/>
    <x v="313"/>
    <x v="1"/>
    <s v="Harold Ryan"/>
    <s v="4A Lyons St,Strathfield"/>
    <s v="Sydney"/>
    <x v="1"/>
    <x v="0"/>
    <x v="8"/>
    <s v="Medium"/>
    <s v="Adesso Programmable 142-Key Keyboard"/>
    <s v="Technology"/>
    <s v="Small Box"/>
    <s v="Regular Air"/>
    <d v="2014-11-23T00:00:00"/>
    <n v="32.020000000000003"/>
    <n v="152.47999999999999"/>
    <n v="120.45999999999998"/>
    <n v="29"/>
    <n v="4421.92"/>
    <n v="0.09"/>
    <n v="397.97280000000001"/>
    <n v="4023.9472000000001"/>
    <n v="4"/>
    <n v="4027.9472000000001"/>
  </r>
  <r>
    <s v="5693-1"/>
    <x v="314"/>
    <x v="1"/>
    <s v="Julia Barnett"/>
    <s v="485 Crown St,Surry Hills"/>
    <s v="Sydney"/>
    <x v="1"/>
    <x v="0"/>
    <x v="2"/>
    <s v="High"/>
    <s v="Artisan Flip-Chart Easel Binder, Black"/>
    <s v="Office Supplies"/>
    <s v="Small Box"/>
    <s v="Regular Air"/>
    <d v="2014-11-22T00:00:00"/>
    <n v="13.88"/>
    <n v="22.38"/>
    <n v="8.4999999999999982"/>
    <n v="10"/>
    <n v="223.79999999999998"/>
    <n v="0.01"/>
    <n v="2.238"/>
    <n v="221.56199999999998"/>
    <n v="15.1"/>
    <n v="236.66199999999998"/>
  </r>
  <r>
    <s v="5695-1"/>
    <x v="314"/>
    <x v="1"/>
    <s v="Joseph Airdo"/>
    <s v="Westfield Sydney,Sydney"/>
    <s v="Sydney"/>
    <x v="1"/>
    <x v="2"/>
    <x v="5"/>
    <s v="Critical"/>
    <s v="Steady Liquid Accent Tank-Style Highlighters"/>
    <s v="Office Supplies"/>
    <s v="Wrap Bag"/>
    <s v="Regular Air"/>
    <d v="2014-11-24T00:00:00"/>
    <n v="1.31"/>
    <n v="2.84"/>
    <n v="1.5299999999999998"/>
    <n v="39"/>
    <n v="110.75999999999999"/>
    <n v="0.05"/>
    <n v="5.5380000000000003"/>
    <n v="105.22199999999999"/>
    <n v="0.93"/>
    <n v="106.152"/>
  </r>
  <r>
    <s v="5696-1"/>
    <x v="315"/>
    <x v="1"/>
    <s v="Nicole Hansen"/>
    <s v="184 King Street,Newtown"/>
    <s v="Sydney"/>
    <x v="1"/>
    <x v="3"/>
    <x v="10"/>
    <s v="Critical"/>
    <s v="Alto Perma 2700 Stacking Storage Drawers"/>
    <s v="Office Supplies"/>
    <s v="Small Box"/>
    <s v="Express Air"/>
    <d v="2014-11-26T00:00:00"/>
    <n v="8.92"/>
    <n v="29.74"/>
    <n v="20.82"/>
    <n v="34"/>
    <n v="1011.16"/>
    <n v="0.09"/>
    <n v="91.00439999999999"/>
    <n v="920.15559999999994"/>
    <n v="6.64"/>
    <n v="926.79559999999992"/>
  </r>
  <r>
    <s v="5698-1"/>
    <x v="315"/>
    <x v="1"/>
    <s v="Giulietta Dortch"/>
    <s v="180 High Street,Windsor"/>
    <s v="Melbourne"/>
    <x v="0"/>
    <x v="2"/>
    <x v="1"/>
    <s v="Low"/>
    <s v="Cando PC940 Copier"/>
    <s v="Technology"/>
    <s v="Jumbo Drum"/>
    <s v="Delivery Truck"/>
    <d v="2014-11-27T00:00:00"/>
    <n v="278.99"/>
    <n v="449.99"/>
    <n v="171"/>
    <n v="34"/>
    <n v="15299.66"/>
    <n v="0.02"/>
    <n v="305.9932"/>
    <n v="14993.666799999999"/>
    <n v="49"/>
    <n v="15042.666799999999"/>
  </r>
  <r>
    <s v="5699-1"/>
    <x v="316"/>
    <x v="1"/>
    <s v="Maurice Satty"/>
    <s v="188 Pitt Street,Sydney"/>
    <s v="Sydney"/>
    <x v="1"/>
    <x v="1"/>
    <x v="8"/>
    <s v="High"/>
    <s v="TechSavi Access Keyboard"/>
    <s v="Technology"/>
    <s v="Small Box"/>
    <s v="Regular Air"/>
    <d v="2014-11-28T00:00:00"/>
    <n v="8.31"/>
    <n v="15.98"/>
    <n v="7.67"/>
    <n v="5"/>
    <n v="79.900000000000006"/>
    <n v="0.08"/>
    <n v="6.3920000000000003"/>
    <n v="73.50800000000001"/>
    <n v="6.5"/>
    <n v="80.00800000000001"/>
  </r>
  <r>
    <s v="5701-1"/>
    <x v="317"/>
    <x v="1"/>
    <s v="Lena Creighton"/>
    <s v="127 Liverpool St,Sydney"/>
    <s v="Sydney"/>
    <x v="1"/>
    <x v="0"/>
    <x v="6"/>
    <s v="High"/>
    <s v="Alto Memo Cubes"/>
    <s v="Office Supplies"/>
    <s v="Wrap Bag"/>
    <s v="Express Air"/>
    <d v="2014-12-02T00:00:00"/>
    <n v="3.32"/>
    <n v="5.18"/>
    <n v="1.8599999999999999"/>
    <n v="9"/>
    <n v="46.62"/>
    <n v="0.09"/>
    <n v="4.1957999999999993"/>
    <n v="42.424199999999999"/>
    <n v="2.04"/>
    <n v="44.464199999999998"/>
  </r>
  <r>
    <s v="5702-1"/>
    <x v="318"/>
    <x v="1"/>
    <s v="Ritsa Hightower"/>
    <s v="22 St Georges Terrace"/>
    <s v="Perth"/>
    <x v="2"/>
    <x v="1"/>
    <x v="5"/>
    <s v="Low"/>
    <s v="Fluorescent Highlighters by DrawIt"/>
    <s v="Office Supplies"/>
    <s v="Wrap Bag"/>
    <s v="Express Air"/>
    <d v="2014-12-05T00:00:00"/>
    <n v="1.95"/>
    <n v="3.98"/>
    <n v="2.0300000000000002"/>
    <n v="4"/>
    <n v="15.92"/>
    <n v="0.02"/>
    <n v="0.31840000000000002"/>
    <n v="15.601599999999999"/>
    <n v="0.83"/>
    <n v="16.4316"/>
  </r>
  <r>
    <s v="5703-1"/>
    <x v="318"/>
    <x v="1"/>
    <s v="Jesus Ocampo"/>
    <s v="60 Commercial Rd,Prahran"/>
    <s v="Melbourne"/>
    <x v="0"/>
    <x v="3"/>
    <x v="0"/>
    <s v="Low"/>
    <s v="Steady 52201 APSCO Electric Pencil Sharpener"/>
    <s v="Office Supplies"/>
    <s v="Small Pack"/>
    <s v="Regular Air"/>
    <d v="2014-12-08T00:00:00"/>
    <n v="16.8"/>
    <n v="40.97"/>
    <n v="24.169999999999998"/>
    <n v="47"/>
    <n v="1925.59"/>
    <n v="0.04"/>
    <n v="77.023600000000002"/>
    <n v="1848.5663999999999"/>
    <n v="8.99"/>
    <n v="1857.5563999999999"/>
  </r>
  <r>
    <s v="5705-1"/>
    <x v="319"/>
    <x v="1"/>
    <s v="Ed Braxton"/>
    <s v="499-501 Lygon Street,Carlton North"/>
    <s v="Melbourne"/>
    <x v="0"/>
    <x v="0"/>
    <x v="0"/>
    <s v="Medium"/>
    <s v="Multi-Use Personal File Cart and Caster Set, Three Stacking Bins"/>
    <s v="Office Supplies"/>
    <s v="Small Box"/>
    <s v="Regular Air"/>
    <d v="2014-12-05T00:00:00"/>
    <n v="14.95"/>
    <n v="34.76"/>
    <n v="19.809999999999999"/>
    <n v="8"/>
    <n v="278.08"/>
    <n v="7.0000000000000007E-2"/>
    <n v="19.465600000000002"/>
    <n v="258.61439999999999"/>
    <n v="8.2200000000000006"/>
    <n v="266.83440000000002"/>
  </r>
  <r>
    <s v="5706-1"/>
    <x v="320"/>
    <x v="1"/>
    <s v="Janet Martin"/>
    <s v="24 Addison Rd,Marrickville"/>
    <s v="Sydney"/>
    <x v="1"/>
    <x v="1"/>
    <x v="13"/>
    <s v="Medium"/>
    <s v="Colored Envelopes"/>
    <s v="Office Supplies"/>
    <s v="Small Box"/>
    <s v="Express Air"/>
    <d v="2014-12-06T00:00:00"/>
    <n v="2.25"/>
    <n v="3.69"/>
    <n v="1.44"/>
    <n v="41"/>
    <n v="151.29"/>
    <n v="0.08"/>
    <n v="12.103199999999999"/>
    <n v="139.18680000000001"/>
    <n v="2.5"/>
    <n v="141.68680000000001"/>
  </r>
  <r>
    <s v="5708-1"/>
    <x v="321"/>
    <x v="1"/>
    <s v="Vivek Gonzalez"/>
    <s v="53 Riley Street,Woolloomooloo"/>
    <s v="Sydney"/>
    <x v="1"/>
    <x v="2"/>
    <x v="8"/>
    <s v="Not Specified"/>
    <s v="Artisan Round Ring Poly Binders"/>
    <s v="Office Supplies"/>
    <s v="Small Box"/>
    <s v="Express Air"/>
    <d v="2014-12-08T00:00:00"/>
    <n v="1.82"/>
    <n v="2.84"/>
    <n v="1.0199999999999998"/>
    <n v="21"/>
    <n v="59.64"/>
    <n v="0.01"/>
    <n v="0.59640000000000004"/>
    <n v="59.043599999999998"/>
    <n v="5.44"/>
    <n v="64.483599999999996"/>
  </r>
  <r>
    <s v="5710-1"/>
    <x v="322"/>
    <x v="1"/>
    <s v="Robert Barroso"/>
    <s v="163 Concord Road,North Strathfield"/>
    <s v="Sydney"/>
    <x v="1"/>
    <x v="3"/>
    <x v="10"/>
    <s v="High"/>
    <s v="Deluxe Rollaway Locking File with Drawer"/>
    <s v="Office Supplies"/>
    <s v="Small Box"/>
    <s v="Regular Air"/>
    <d v="2014-12-10T00:00:00"/>
    <n v="178.83"/>
    <n v="415.88"/>
    <n v="237.04999999999998"/>
    <n v="4"/>
    <n v="1663.52"/>
    <n v="0.03"/>
    <n v="49.9056"/>
    <n v="1613.6143999999999"/>
    <n v="11.37"/>
    <n v="1624.9843999999998"/>
  </r>
  <r>
    <s v="5711-1"/>
    <x v="323"/>
    <x v="1"/>
    <s v="Linda Southworth"/>
    <s v="359 Crown Street,Surry Hills"/>
    <s v="Sydney"/>
    <x v="1"/>
    <x v="2"/>
    <x v="4"/>
    <s v="Medium"/>
    <s v="Xit Blank Computer Paper"/>
    <s v="Office Supplies"/>
    <s v="Small Box"/>
    <s v="Regular Air"/>
    <d v="2014-12-11T00:00:00"/>
    <n v="12.39"/>
    <n v="19.98"/>
    <n v="7.59"/>
    <n v="48"/>
    <n v="959.04"/>
    <n v="0.01"/>
    <n v="9.5904000000000007"/>
    <n v="949.44959999999992"/>
    <n v="5.77"/>
    <n v="955.2195999999999"/>
  </r>
  <r>
    <s v="5712-1"/>
    <x v="324"/>
    <x v="1"/>
    <s v="Bart Watters"/>
    <s v="27/580 Hay Street, Perth"/>
    <s v="Sydney"/>
    <x v="1"/>
    <x v="1"/>
    <x v="3"/>
    <s v="Not Specified"/>
    <s v="Apex Box Cutter Scissors"/>
    <s v="Office Supplies"/>
    <s v="Small Pack"/>
    <s v="Regular Air"/>
    <d v="2014-12-11T00:00:00"/>
    <n v="4.1900000000000004"/>
    <n v="10.23"/>
    <n v="6.04"/>
    <n v="46"/>
    <n v="470.58000000000004"/>
    <n v="0.01"/>
    <n v="4.7058000000000009"/>
    <n v="465.87420000000003"/>
    <n v="4.68"/>
    <n v="470.55420000000004"/>
  </r>
  <r>
    <s v="5713-1"/>
    <x v="324"/>
    <x v="1"/>
    <s v="Marc Crier"/>
    <s v="Westfield Sydney,Sydney"/>
    <s v="Sydney"/>
    <x v="1"/>
    <x v="1"/>
    <x v="5"/>
    <s v="Low"/>
    <s v="Laser Neon Mac Format Diskettes, 10/Pack"/>
    <s v="Technology"/>
    <s v="Small Pack"/>
    <s v="Regular Air"/>
    <d v="2014-12-12T00:00:00"/>
    <n v="1.87"/>
    <n v="8.1199999999999992"/>
    <n v="6.2499999999999991"/>
    <n v="11"/>
    <n v="89.32"/>
    <n v="0.06"/>
    <n v="5.3591999999999995"/>
    <n v="83.960799999999992"/>
    <n v="2.83"/>
    <n v="86.79079999999999"/>
  </r>
  <r>
    <s v="5715-1"/>
    <x v="325"/>
    <x v="1"/>
    <s v="Mike Kennedy"/>
    <s v="99 Lygon Street,East Brunswick"/>
    <s v="Melbourne"/>
    <x v="0"/>
    <x v="1"/>
    <x v="1"/>
    <s v="High"/>
    <s v="Alto Parchment Paper, Assorted Colors"/>
    <s v="Office Supplies"/>
    <s v="Small Box"/>
    <s v="Regular Air"/>
    <d v="2014-12-15T00:00:00"/>
    <n v="4.59"/>
    <n v="7.28"/>
    <n v="2.6900000000000004"/>
    <n v="36"/>
    <n v="262.08"/>
    <n v="0.05"/>
    <n v="13.103999999999999"/>
    <n v="248.976"/>
    <n v="11.15"/>
    <n v="260.12599999999998"/>
  </r>
  <r>
    <s v="5717-1"/>
    <x v="326"/>
    <x v="1"/>
    <s v="Harry Greene"/>
    <s v="470 Anzac Parade,Kingsford"/>
    <s v="Sydney"/>
    <x v="1"/>
    <x v="1"/>
    <x v="8"/>
    <s v="Medium"/>
    <s v="Self-Adhesive Ring Binder Labels"/>
    <s v="Office Supplies"/>
    <s v="Small Box"/>
    <s v="Regular Air"/>
    <d v="2014-12-18T00:00:00"/>
    <n v="2.1800000000000002"/>
    <n v="3.52"/>
    <n v="1.3399999999999999"/>
    <n v="23"/>
    <n v="80.959999999999994"/>
    <n v="7.0000000000000007E-2"/>
    <n v="5.6672000000000002"/>
    <n v="75.2928"/>
    <n v="6.83"/>
    <n v="82.122799999999998"/>
  </r>
  <r>
    <s v="5718-1"/>
    <x v="327"/>
    <x v="1"/>
    <s v="Theone Pippenger"/>
    <s v="188 Pitt Street,Sydney"/>
    <s v="Sydney"/>
    <x v="1"/>
    <x v="1"/>
    <x v="8"/>
    <s v="Medium"/>
    <s v="Colored Push Pins"/>
    <s v="Office Supplies"/>
    <s v="Wrap Bag"/>
    <s v="Regular Air"/>
    <d v="2014-12-23T00:00:00"/>
    <n v="0.92"/>
    <n v="1.81"/>
    <n v="0.89"/>
    <n v="48"/>
    <n v="86.88"/>
    <n v="0.1"/>
    <n v="8.6880000000000006"/>
    <n v="78.191999999999993"/>
    <n v="1.56"/>
    <n v="79.751999999999995"/>
  </r>
  <r>
    <s v="5719-1"/>
    <x v="328"/>
    <x v="1"/>
    <s v="Brian Stugart"/>
    <s v="88 Oxford St,Woollahra"/>
    <s v="Sydney"/>
    <x v="1"/>
    <x v="2"/>
    <x v="10"/>
    <s v="Medium"/>
    <s v="Cando PC940 Copier"/>
    <s v="Technology"/>
    <s v="Large Box"/>
    <s v="Regular Air"/>
    <d v="2014-12-27T00:00:00"/>
    <n v="216"/>
    <n v="449.99"/>
    <n v="233.99"/>
    <n v="10"/>
    <n v="4499.8999999999996"/>
    <n v="0.01"/>
    <n v="44.998999999999995"/>
    <n v="4454.9009999999998"/>
    <n v="24.49"/>
    <n v="4479.3909999999996"/>
  </r>
  <r>
    <s v="5720-1"/>
    <x v="329"/>
    <x v="1"/>
    <s v="Arthur Gainer"/>
    <s v="14/76 Newcastle Street, Perth"/>
    <s v="Melbourne"/>
    <x v="0"/>
    <x v="2"/>
    <x v="1"/>
    <s v="High"/>
    <s v="Smiths Metal Binder Clips"/>
    <s v="Office Supplies"/>
    <s v="Wrap Bag"/>
    <s v="Regular Air"/>
    <d v="2014-12-29T00:00:00"/>
    <n v="1.6"/>
    <n v="2.62"/>
    <n v="1.02"/>
    <n v="37"/>
    <n v="96.94"/>
    <n v="0.01"/>
    <n v="0.96940000000000004"/>
    <n v="95.970600000000005"/>
    <n v="0.8"/>
    <n v="96.770600000000002"/>
  </r>
  <r>
    <s v="5721-1"/>
    <x v="329"/>
    <x v="1"/>
    <s v="Greg Guthrie"/>
    <s v="523 King St,Newtown"/>
    <s v="Sydney"/>
    <x v="1"/>
    <x v="3"/>
    <x v="9"/>
    <s v="High"/>
    <s v="Smiths Standard Envelopes"/>
    <s v="Office Supplies"/>
    <s v="Small Box"/>
    <s v="Regular Air"/>
    <d v="2014-12-29T00:00:00"/>
    <n v="3.52"/>
    <n v="5.68"/>
    <n v="2.1599999999999997"/>
    <n v="42"/>
    <n v="238.56"/>
    <n v="0.05"/>
    <n v="11.928000000000001"/>
    <n v="226.63200000000001"/>
    <n v="1.39"/>
    <n v="228.02199999999999"/>
  </r>
  <r>
    <s v="5722-1"/>
    <x v="330"/>
    <x v="1"/>
    <s v="Matthew Grinstein"/>
    <s v="105 Pitt St,Sydney"/>
    <s v="Sydney"/>
    <x v="1"/>
    <x v="3"/>
    <x v="10"/>
    <s v="Critical"/>
    <s v="Artisan 479 Labels"/>
    <s v="Office Supplies"/>
    <s v="Small Box"/>
    <s v="Express Air"/>
    <d v="2014-12-28T00:00:00"/>
    <n v="1.59"/>
    <n v="2.61"/>
    <n v="1.0199999999999998"/>
    <n v="37"/>
    <n v="96.57"/>
    <n v="0.09"/>
    <n v="8.6912999999999982"/>
    <n v="87.878699999999995"/>
    <n v="0.5"/>
    <n v="88.378699999999995"/>
  </r>
  <r>
    <s v="5724-1"/>
    <x v="330"/>
    <x v="1"/>
    <s v="Todd Boyes"/>
    <s v="Westfield Miranda, 600 Kingsway,Miranda"/>
    <s v="Sydney"/>
    <x v="1"/>
    <x v="3"/>
    <x v="12"/>
    <s v="High"/>
    <s v="Multi-Use Personal File Cart and Caster Set, Three Stacking Bins"/>
    <s v="Office Supplies"/>
    <s v="Small Box"/>
    <s v="Regular Air"/>
    <d v="2014-12-27T00:00:00"/>
    <n v="14.95"/>
    <n v="34.76"/>
    <n v="19.809999999999999"/>
    <n v="10"/>
    <n v="347.59999999999997"/>
    <n v="0.03"/>
    <n v="10.427999999999999"/>
    <n v="337.17199999999997"/>
    <n v="8.2200000000000006"/>
    <n v="345.392"/>
  </r>
  <r>
    <s v="5724-2"/>
    <x v="330"/>
    <x v="1"/>
    <s v="Todd Boyes"/>
    <s v="Westfield Miranda, 600 Kingsway,Miranda"/>
    <s v="Sydney"/>
    <x v="1"/>
    <x v="3"/>
    <x v="12"/>
    <s v="High"/>
    <s v="Smiths Bulldog Clip"/>
    <s v="Office Supplies"/>
    <s v="Wrap Bag"/>
    <s v="Regular Air"/>
    <d v="2014-12-29T00:00:00"/>
    <n v="2.31"/>
    <n v="3.78"/>
    <n v="1.4699999999999998"/>
    <n v="41"/>
    <n v="154.97999999999999"/>
    <n v="0.02"/>
    <n v="3.0995999999999997"/>
    <n v="151.88039999999998"/>
    <n v="0.71"/>
    <n v="152.59039999999999"/>
  </r>
  <r>
    <s v="5728-1"/>
    <x v="331"/>
    <x v="1"/>
    <s v="Charles Crestani"/>
    <s v="Sydney Fish Market, Bank Street, Sydney"/>
    <s v="Sydney"/>
    <x v="1"/>
    <x v="2"/>
    <x v="4"/>
    <s v="High"/>
    <s v="Alto Perma 3000 Stacking Storage Drawers"/>
    <s v="Office Supplies"/>
    <s v="Small Box"/>
    <s v="Regular Air"/>
    <d v="2014-12-30T00:00:00"/>
    <n v="7.13"/>
    <n v="20.98"/>
    <n v="13.850000000000001"/>
    <n v="47"/>
    <n v="986.06000000000006"/>
    <n v="0.01"/>
    <n v="9.8606000000000016"/>
    <n v="976.19940000000008"/>
    <n v="5.42"/>
    <n v="981.61940000000004"/>
  </r>
  <r>
    <s v="5730-1"/>
    <x v="331"/>
    <x v="1"/>
    <s v="Tim Taslimi"/>
    <s v="188 Pitt Street,Sydney"/>
    <s v="Sydney"/>
    <x v="1"/>
    <x v="1"/>
    <x v="8"/>
    <s v="Not Specified"/>
    <s v="Desktop 3-Pocket Hot File"/>
    <s v="Office Supplies"/>
    <s v="Small Box"/>
    <s v="Regular Air"/>
    <d v="2014-12-28T00:00:00"/>
    <n v="22.18"/>
    <n v="54.1"/>
    <n v="31.92"/>
    <n v="5"/>
    <n v="270.5"/>
    <n v="0.04"/>
    <n v="10.82"/>
    <n v="259.68"/>
    <n v="19.989999999999998"/>
    <n v="279.67"/>
  </r>
  <r>
    <s v="5731-1"/>
    <x v="332"/>
    <x v="1"/>
    <s v="Christine Sundaresam"/>
    <s v="7 Khartoum Rd,Macquarie Park"/>
    <s v="Sydney"/>
    <x v="1"/>
    <x v="3"/>
    <x v="12"/>
    <s v="Not Specified"/>
    <s v="Artisan Round Ring Poly Binders"/>
    <s v="Office Supplies"/>
    <s v="Small Box"/>
    <s v="Regular Air"/>
    <d v="2014-12-31T00:00:00"/>
    <n v="1.82"/>
    <n v="2.84"/>
    <n v="1.0199999999999998"/>
    <n v="27"/>
    <n v="76.679999999999993"/>
    <n v="0.03"/>
    <n v="2.3003999999999998"/>
    <n v="74.379599999999996"/>
    <n v="5.44"/>
    <n v="79.819599999999994"/>
  </r>
  <r>
    <s v="5732-1"/>
    <x v="333"/>
    <x v="2"/>
    <s v="Michael Oakman"/>
    <s v="8 Rankins Lane ,Melbourne"/>
    <s v="Melbourne"/>
    <x v="0"/>
    <x v="3"/>
    <x v="1"/>
    <s v="Not Specified"/>
    <s v="Apex Design Stainless Steel Bent Scissors"/>
    <s v="Office Supplies"/>
    <s v="Small Pack"/>
    <s v="Regular Air"/>
    <d v="2015-01-03T00:00:00"/>
    <n v="2.87"/>
    <n v="6.84"/>
    <n v="3.9699999999999998"/>
    <n v="35"/>
    <n v="239.4"/>
    <n v="0.01"/>
    <n v="2.3940000000000001"/>
    <n v="237.006"/>
    <n v="4.42"/>
    <n v="241.42599999999999"/>
  </r>
  <r>
    <s v="5734-1"/>
    <x v="334"/>
    <x v="2"/>
    <s v="Ellis Ballard"/>
    <s v="53-55 Liverpool St,Sydney"/>
    <s v="Sydney"/>
    <x v="1"/>
    <x v="1"/>
    <x v="8"/>
    <s v="Low"/>
    <s v="600 Series Non-Flip"/>
    <s v="Technology"/>
    <s v="Small Box"/>
    <s v="Regular Air"/>
    <d v="2015-01-04T00:00:00"/>
    <n v="19.78"/>
    <n v="45.99"/>
    <n v="26.21"/>
    <n v="50"/>
    <n v="2299.5"/>
    <n v="0"/>
    <n v="0"/>
    <n v="2299.5"/>
    <n v="4.99"/>
    <n v="2304.4899999999998"/>
  </r>
  <r>
    <s v="5736-1"/>
    <x v="334"/>
    <x v="2"/>
    <s v="Dave Hallsten"/>
    <s v="1 John St,Waterloo"/>
    <s v="Sydney"/>
    <x v="1"/>
    <x v="0"/>
    <x v="10"/>
    <s v="Medium"/>
    <s v="Col-Erase Pencils with Erasers"/>
    <s v="Office Supplies"/>
    <s v="Wrap Bag"/>
    <s v="Regular Air"/>
    <d v="2015-01-04T00:00:00"/>
    <n v="2.68"/>
    <n v="6.08"/>
    <n v="3.4"/>
    <n v="30"/>
    <n v="182.4"/>
    <n v="0.04"/>
    <n v="7.2960000000000003"/>
    <n v="175.10400000000001"/>
    <n v="1.17"/>
    <n v="176.274"/>
  </r>
  <r>
    <s v="5737-1"/>
    <x v="335"/>
    <x v="2"/>
    <s v="Barry Franz"/>
    <s v="65 Palmerston Street, Perth"/>
    <s v="Melbourne"/>
    <x v="0"/>
    <x v="1"/>
    <x v="0"/>
    <s v="Medium"/>
    <s v="Artisan Printable Repositionable Plastic Tabs"/>
    <s v="Office Supplies"/>
    <s v="Small Box"/>
    <s v="Regular Air"/>
    <d v="2015-01-09T00:00:00"/>
    <n v="5.33"/>
    <n v="8.6"/>
    <n v="3.2699999999999996"/>
    <n v="48"/>
    <n v="412.79999999999995"/>
    <n v="0.02"/>
    <n v="8.2559999999999985"/>
    <n v="404.54399999999998"/>
    <n v="6.19"/>
    <n v="410.73399999999998"/>
  </r>
  <r>
    <s v="5738-1"/>
    <x v="335"/>
    <x v="2"/>
    <s v="Sarah Brown"/>
    <s v="10 O'Connell St,Sydney"/>
    <s v="Sydney"/>
    <x v="1"/>
    <x v="2"/>
    <x v="9"/>
    <s v="Not Specified"/>
    <s v="Beekin 6 Outlet Metallic Surge Strip"/>
    <s v="Office Supplies"/>
    <s v="Small Box"/>
    <s v="Express Air"/>
    <d v="2015-01-09T00:00:00"/>
    <n v="4.46"/>
    <n v="10.89"/>
    <n v="6.4300000000000006"/>
    <n v="37"/>
    <n v="402.93"/>
    <n v="0"/>
    <n v="0"/>
    <n v="402.93"/>
    <n v="4.5"/>
    <n v="407.43"/>
  </r>
  <r>
    <s v="5740-1"/>
    <x v="336"/>
    <x v="2"/>
    <s v="Katrina Willman"/>
    <s v="120 Hardware St,Melbourne"/>
    <s v="Melbourne"/>
    <x v="0"/>
    <x v="2"/>
    <x v="0"/>
    <s v="High"/>
    <s v="Assorted Color Push Pins"/>
    <s v="Office Supplies"/>
    <s v="Wrap Bag"/>
    <s v="Regular Air"/>
    <d v="2015-01-11T00:00:00"/>
    <n v="0.87"/>
    <n v="1.81"/>
    <n v="0.94000000000000006"/>
    <n v="9"/>
    <n v="16.29"/>
    <n v="0.09"/>
    <n v="1.4661"/>
    <n v="14.823899999999998"/>
    <n v="0.75"/>
    <n v="15.573899999999998"/>
  </r>
  <r>
    <s v="5741-1"/>
    <x v="337"/>
    <x v="2"/>
    <s v="Max Jones"/>
    <s v="240-242 Johnston Street,Fitzroy"/>
    <s v="Melbourne"/>
    <x v="0"/>
    <x v="0"/>
    <x v="1"/>
    <s v="Medium"/>
    <s v="Artisan Flip-Chart Easel Binder, Black"/>
    <s v="Office Supplies"/>
    <s v="Small Box"/>
    <s v="Regular Air"/>
    <d v="2015-01-12T00:00:00"/>
    <n v="13.88"/>
    <n v="22.38"/>
    <n v="8.4999999999999982"/>
    <n v="50"/>
    <n v="1119"/>
    <n v="7.0000000000000007E-2"/>
    <n v="78.330000000000013"/>
    <n v="1040.67"/>
    <n v="15.1"/>
    <n v="1055.77"/>
  </r>
  <r>
    <s v="5742-1"/>
    <x v="337"/>
    <x v="2"/>
    <s v="Joy Smith"/>
    <s v="221 Barkly St,St Kilda"/>
    <s v="Melbourne"/>
    <x v="0"/>
    <x v="2"/>
    <x v="0"/>
    <s v="Low"/>
    <s v="Steady Liquid Accent Tank-Style Highlighters"/>
    <s v="Office Supplies"/>
    <s v="Wrap Bag"/>
    <s v="Regular Air"/>
    <d v="2015-01-10T00:00:00"/>
    <n v="1.31"/>
    <n v="2.84"/>
    <n v="1.5299999999999998"/>
    <n v="21"/>
    <n v="59.64"/>
    <n v="0"/>
    <n v="0"/>
    <n v="59.64"/>
    <n v="0.93"/>
    <n v="60.57"/>
  </r>
  <r>
    <s v="5743-1"/>
    <x v="338"/>
    <x v="2"/>
    <s v="Katherine Nockton"/>
    <s v="Crown Complex,Southbank"/>
    <s v="Melbourne"/>
    <x v="0"/>
    <x v="1"/>
    <x v="0"/>
    <s v="Not Specified"/>
    <s v="Laser DVD-RAM discs"/>
    <s v="Technology"/>
    <s v="Small Pack"/>
    <s v="Regular Air"/>
    <d v="2015-01-12T00:00:00"/>
    <n v="20.18"/>
    <n v="35.409999999999997"/>
    <n v="15.229999999999997"/>
    <n v="1"/>
    <n v="35.409999999999997"/>
    <n v="0"/>
    <n v="0"/>
    <n v="35.409999999999997"/>
    <n v="1.99"/>
    <n v="37.4"/>
  </r>
  <r>
    <s v="5745-1"/>
    <x v="338"/>
    <x v="2"/>
    <s v="Troy Blackwell"/>
    <s v="3/219 Canley Vale Road,Canley Heights"/>
    <s v="Sydney"/>
    <x v="1"/>
    <x v="0"/>
    <x v="11"/>
    <s v="Not Specified"/>
    <s v="Steady EarthWrite Recycled Pencils, Medium Soft, #2"/>
    <s v="Office Supplies"/>
    <s v="Wrap Bag"/>
    <s v="Regular Air"/>
    <d v="2015-01-13T00:00:00"/>
    <n v="0.9"/>
    <n v="2.1"/>
    <n v="1.2000000000000002"/>
    <n v="23"/>
    <n v="48.300000000000004"/>
    <n v="0.06"/>
    <n v="2.8980000000000001"/>
    <n v="45.402000000000001"/>
    <n v="0.7"/>
    <n v="46.102000000000004"/>
  </r>
  <r>
    <s v="5747-1"/>
    <x v="339"/>
    <x v="2"/>
    <s v="Jim Sink"/>
    <s v="Westfield Miranda, 600 Kingsway,Miranda"/>
    <s v="Sydney"/>
    <x v="1"/>
    <x v="1"/>
    <x v="12"/>
    <s v="Not Specified"/>
    <s v="Smiths Standard Envelopes"/>
    <s v="Office Supplies"/>
    <s v="Small Box"/>
    <s v="Regular Air"/>
    <d v="2015-01-14T00:00:00"/>
    <n v="3.52"/>
    <n v="5.68"/>
    <n v="2.1599999999999997"/>
    <n v="18"/>
    <n v="102.24"/>
    <n v="0.06"/>
    <n v="6.1343999999999994"/>
    <n v="96.105599999999995"/>
    <n v="1.39"/>
    <n v="97.495599999999996"/>
  </r>
  <r>
    <s v="5749-1"/>
    <x v="339"/>
    <x v="2"/>
    <s v="Jenna Caffey"/>
    <s v="470 Anzac Parade,Kingsford"/>
    <s v="Sydney"/>
    <x v="1"/>
    <x v="2"/>
    <x v="8"/>
    <s v="Critical"/>
    <s v="Wirebound Voice Message Log Book"/>
    <s v="Office Supplies"/>
    <s v="Wrap Bag"/>
    <s v="Regular Air"/>
    <d v="2015-01-13T00:00:00"/>
    <n v="2.9"/>
    <n v="4.76"/>
    <n v="1.8599999999999999"/>
    <n v="42"/>
    <n v="199.92"/>
    <n v="7.0000000000000007E-2"/>
    <n v="13.994400000000001"/>
    <n v="185.92559999999997"/>
    <n v="0.88"/>
    <n v="186.80559999999997"/>
  </r>
  <r>
    <s v="5750-1"/>
    <x v="340"/>
    <x v="2"/>
    <s v="Stephanie Ulpright"/>
    <s v="541 Church St ,Richmond"/>
    <s v="Melbourne"/>
    <x v="0"/>
    <x v="2"/>
    <x v="0"/>
    <s v="High"/>
    <s v="Apex Design Stainless Steel Bent Scissors"/>
    <s v="Office Supplies"/>
    <s v="Small Pack"/>
    <s v="Regular Air"/>
    <d v="2015-01-14T00:00:00"/>
    <n v="2.87"/>
    <n v="6.84"/>
    <n v="3.9699999999999998"/>
    <n v="26"/>
    <n v="177.84"/>
    <n v="0.08"/>
    <n v="14.2272"/>
    <n v="163.61279999999999"/>
    <n v="4.42"/>
    <n v="168.03279999999998"/>
  </r>
  <r>
    <s v="5752-1"/>
    <x v="340"/>
    <x v="2"/>
    <s v="Max Jones"/>
    <s v="240-242 Johnston Street,Fitzroy"/>
    <s v="Melbourne"/>
    <x v="0"/>
    <x v="0"/>
    <x v="1"/>
    <s v="Not Specified"/>
    <s v="Steady EarthWrite Recycled Pencils, Medium Soft, #2"/>
    <s v="Office Supplies"/>
    <s v="Wrap Bag"/>
    <s v="Regular Air"/>
    <d v="2015-01-15T00:00:00"/>
    <n v="0.9"/>
    <n v="2.1"/>
    <n v="1.2000000000000002"/>
    <n v="34"/>
    <n v="71.400000000000006"/>
    <n v="0.02"/>
    <n v="1.4280000000000002"/>
    <n v="69.972000000000008"/>
    <n v="0.7"/>
    <n v="70.672000000000011"/>
  </r>
  <r>
    <s v="5754-1"/>
    <x v="341"/>
    <x v="2"/>
    <s v="Maya Herman"/>
    <s v="273 George Street,Sydney"/>
    <s v="Sydney"/>
    <x v="1"/>
    <x v="1"/>
    <x v="2"/>
    <s v="Critical"/>
    <s v="Artisan Flip-Chart Easel Binder, Black"/>
    <s v="Office Supplies"/>
    <s v="Small Box"/>
    <s v="Regular Air"/>
    <d v="2015-01-15T00:00:00"/>
    <n v="13.88"/>
    <n v="22.38"/>
    <n v="8.4999999999999982"/>
    <n v="39"/>
    <n v="872.81999999999994"/>
    <n v="7.0000000000000007E-2"/>
    <n v="61.0974"/>
    <n v="811.72259999999994"/>
    <n v="15.1"/>
    <n v="826.82259999999997"/>
  </r>
  <r>
    <s v="5755-1"/>
    <x v="342"/>
    <x v="2"/>
    <s v="Clay Rozendal"/>
    <s v="8 Rankins Lane ,Melbourne"/>
    <s v="Melbourne"/>
    <x v="0"/>
    <x v="1"/>
    <x v="1"/>
    <s v="Critical"/>
    <s v="Artisan 474 Labels"/>
    <s v="Office Supplies"/>
    <s v="Small Box"/>
    <s v="Regular Air"/>
    <d v="2015-01-17T00:00:00"/>
    <n v="1.84"/>
    <n v="2.88"/>
    <n v="1.0399999999999998"/>
    <n v="27"/>
    <n v="77.759999999999991"/>
    <n v="0.06"/>
    <n v="4.6655999999999995"/>
    <n v="73.094399999999993"/>
    <n v="0.99"/>
    <n v="74.084399999999988"/>
  </r>
  <r>
    <s v="5757-1"/>
    <x v="343"/>
    <x v="2"/>
    <s v="Philip Brown"/>
    <s v="499-501 Lygon Street,Carlton North"/>
    <s v="Melbourne"/>
    <x v="0"/>
    <x v="1"/>
    <x v="0"/>
    <s v="High"/>
    <s v="Emerson Stylus 1520 Color Inkjet Printer"/>
    <s v="Technology"/>
    <s v="Jumbo Drum"/>
    <s v="Delivery Truck"/>
    <d v="2015-01-17T00:00:00"/>
    <n v="315.61"/>
    <n v="500.97"/>
    <n v="185.36"/>
    <n v="37"/>
    <n v="18535.89"/>
    <n v="0"/>
    <n v="0"/>
    <n v="18535.89"/>
    <n v="69.3"/>
    <n v="18605.189999999999"/>
  </r>
  <r>
    <s v="5760-1"/>
    <x v="344"/>
    <x v="2"/>
    <s v="Doug Jacobs"/>
    <s v="1/160 Anzac Parade,Kensington"/>
    <s v="Sydney"/>
    <x v="1"/>
    <x v="0"/>
    <x v="5"/>
    <s v="Medium"/>
    <s v="Multimedia Mailers"/>
    <s v="Office Supplies"/>
    <s v="Small Box"/>
    <s v="Express Air"/>
    <d v="2015-01-19T00:00:00"/>
    <n v="99.39"/>
    <n v="162.93"/>
    <n v="63.540000000000006"/>
    <n v="48"/>
    <n v="7820.64"/>
    <n v="0.04"/>
    <n v="312.82560000000001"/>
    <n v="7507.8144000000002"/>
    <n v="19.989999999999998"/>
    <n v="7527.8044"/>
  </r>
  <r>
    <s v="5762-1"/>
    <x v="345"/>
    <x v="2"/>
    <s v="Saphhira Shifley"/>
    <s v="Westfield Miranda, 600 Kingsway,Miranda"/>
    <s v="Sydney"/>
    <x v="1"/>
    <x v="2"/>
    <x v="12"/>
    <s v="Not Specified"/>
    <s v="Artisan Hi-Liter EverBold Pen Style Fluorescent Highlighters, 4/Pack"/>
    <s v="Office Supplies"/>
    <s v="Wrap Bag"/>
    <s v="Regular Air"/>
    <d v="2015-01-21T00:00:00"/>
    <n v="4.4800000000000004"/>
    <n v="8.14"/>
    <n v="3.66"/>
    <n v="23"/>
    <n v="187.22000000000003"/>
    <n v="7.0000000000000007E-2"/>
    <n v="13.105400000000003"/>
    <n v="174.11460000000002"/>
    <n v="3.12"/>
    <n v="177.23460000000003"/>
  </r>
  <r>
    <s v="5762-2"/>
    <x v="345"/>
    <x v="2"/>
    <s v="Saphhira Shifley"/>
    <s v="Westfield Miranda, 600 Kingsway,Miranda"/>
    <s v="Sydney"/>
    <x v="1"/>
    <x v="2"/>
    <x v="12"/>
    <s v="Not Specified"/>
    <s v="Smiths General Use 3-Ring Binders"/>
    <s v="Office Supplies"/>
    <s v="Small Box"/>
    <s v="Regular Air"/>
    <d v="2015-01-21T00:00:00"/>
    <n v="1.18"/>
    <n v="1.88"/>
    <n v="0.7"/>
    <n v="33"/>
    <n v="62.04"/>
    <n v="0.05"/>
    <n v="3.1020000000000003"/>
    <n v="58.938000000000002"/>
    <n v="1.49"/>
    <n v="60.428000000000004"/>
  </r>
  <r>
    <s v="5766-1"/>
    <x v="346"/>
    <x v="2"/>
    <s v="Jennifer Braxton"/>
    <s v="523 King St,Newtown"/>
    <s v="Sydney"/>
    <x v="1"/>
    <x v="3"/>
    <x v="9"/>
    <s v="High"/>
    <s v="Colored Envelopes"/>
    <s v="Office Supplies"/>
    <s v="Small Box"/>
    <s v="Regular Air"/>
    <d v="2015-01-23T00:00:00"/>
    <n v="2.25"/>
    <n v="3.69"/>
    <n v="1.44"/>
    <n v="13"/>
    <n v="47.97"/>
    <n v="0.05"/>
    <n v="2.3985000000000003"/>
    <n v="45.5715"/>
    <n v="2.5"/>
    <n v="48.0715"/>
  </r>
  <r>
    <s v="5768-1"/>
    <x v="347"/>
    <x v="2"/>
    <s v="Bill Donatelli"/>
    <s v="8 Orange Street, Perth"/>
    <s v="Perth"/>
    <x v="2"/>
    <x v="1"/>
    <x v="4"/>
    <s v="Critical"/>
    <s v="1726 Digital Answering Machine"/>
    <s v="Technology"/>
    <s v="Medium Box"/>
    <s v="Regular Air"/>
    <d v="2015-01-23T00:00:00"/>
    <n v="8.82"/>
    <n v="20.99"/>
    <n v="12.169999999999998"/>
    <n v="3"/>
    <n v="62.97"/>
    <n v="0.01"/>
    <n v="0.62970000000000004"/>
    <n v="62.340299999999999"/>
    <n v="4.8099999999999996"/>
    <n v="67.150300000000001"/>
  </r>
  <r>
    <s v="5768-2"/>
    <x v="347"/>
    <x v="2"/>
    <s v="Bill Donatelli"/>
    <s v="8 Orange Street, Perth"/>
    <s v="Perth"/>
    <x v="2"/>
    <x v="1"/>
    <x v="4"/>
    <s v="Critical"/>
    <s v="Artisan Flip-Chart Easel Binder, Black"/>
    <s v="Office Supplies"/>
    <s v="Small Box"/>
    <s v="Express Air"/>
    <d v="2015-01-22T00:00:00"/>
    <n v="13.88"/>
    <n v="22.38"/>
    <n v="8.4999999999999982"/>
    <n v="42"/>
    <n v="939.95999999999992"/>
    <n v="7.0000000000000007E-2"/>
    <n v="65.797200000000004"/>
    <n v="874.16279999999995"/>
    <n v="15.1"/>
    <n v="889.26279999999997"/>
  </r>
  <r>
    <s v="5768-2"/>
    <x v="347"/>
    <x v="2"/>
    <s v="Bill Donatelli"/>
    <s v="8 Orange Street, Perth"/>
    <s v="Perth"/>
    <x v="2"/>
    <x v="1"/>
    <x v="4"/>
    <s v="Critical"/>
    <s v="Beekin 105-Key Black Keyboard"/>
    <s v="Technology"/>
    <s v="Small Box"/>
    <s v="Regular Air"/>
    <d v="2015-01-24T00:00:00"/>
    <n v="6.39"/>
    <n v="19.98"/>
    <n v="13.59"/>
    <n v="45"/>
    <n v="899.1"/>
    <n v="0.06"/>
    <n v="53.945999999999998"/>
    <n v="845.154"/>
    <n v="4"/>
    <n v="849.154"/>
  </r>
  <r>
    <s v="5773-1"/>
    <x v="348"/>
    <x v="2"/>
    <s v="Christy Brittain"/>
    <s v="Shop 1, 186-190 Church Street,Parramatta;46a Macleay Street,Potts Point"/>
    <s v="Sydney"/>
    <x v="1"/>
    <x v="2"/>
    <x v="11"/>
    <s v="Not Specified"/>
    <s v="Message Book, One Form per Page"/>
    <s v="Office Supplies"/>
    <s v="Wrap Bag"/>
    <s v="Regular Air"/>
    <d v="2015-01-25T00:00:00"/>
    <n v="2.41"/>
    <n v="3.71"/>
    <n v="1.2999999999999998"/>
    <n v="14"/>
    <n v="51.94"/>
    <n v="0.09"/>
    <n v="4.6745999999999999"/>
    <n v="47.2654"/>
    <n v="1.93"/>
    <n v="49.195399999999999"/>
  </r>
  <r>
    <s v="5775-1"/>
    <x v="349"/>
    <x v="2"/>
    <s v="Darrin Sayre"/>
    <s v="Sydney Fish Market, Bank Street, Sydney"/>
    <s v="Sydney"/>
    <x v="1"/>
    <x v="2"/>
    <x v="4"/>
    <s v="Not Specified"/>
    <s v="OIC Thumb-Tacks"/>
    <s v="Office Supplies"/>
    <s v="Wrap Bag"/>
    <s v="Regular Air"/>
    <d v="2015-01-28T00:00:00"/>
    <n v="0.71"/>
    <n v="1.1399999999999999"/>
    <n v="0.42999999999999994"/>
    <n v="42"/>
    <n v="47.879999999999995"/>
    <n v="0.06"/>
    <n v="2.8727999999999998"/>
    <n v="45.007199999999997"/>
    <n v="0.7"/>
    <n v="45.7072"/>
  </r>
  <r>
    <s v="5777-1"/>
    <x v="350"/>
    <x v="2"/>
    <s v="Phillip Flathmann"/>
    <s v="Macquarie Centre Cnr Herring Road &amp; Waterloo Road,Macquarie Park"/>
    <s v="Sydney"/>
    <x v="1"/>
    <x v="3"/>
    <x v="3"/>
    <s v="Medium"/>
    <s v="Artisan 487 Labels"/>
    <s v="Office Supplies"/>
    <s v="Small Box"/>
    <s v="Regular Air"/>
    <d v="2015-01-29T00:00:00"/>
    <n v="2.29"/>
    <n v="3.69"/>
    <n v="1.4"/>
    <n v="4"/>
    <n v="14.76"/>
    <n v="0.01"/>
    <n v="0.14760000000000001"/>
    <n v="14.612399999999999"/>
    <n v="0.5"/>
    <n v="15.112399999999999"/>
  </r>
  <r>
    <s v="5778-1"/>
    <x v="351"/>
    <x v="2"/>
    <s v="Corinna Mitchell"/>
    <s v="27 Greenfield Parade,Bankstown"/>
    <s v="Sydney"/>
    <x v="1"/>
    <x v="1"/>
    <x v="3"/>
    <s v="Not Specified"/>
    <s v="Adesso Programmable 142-Key Keyboard"/>
    <s v="Technology"/>
    <s v="Small Box"/>
    <s v="Regular Air"/>
    <d v="2015-01-31T00:00:00"/>
    <n v="32.020000000000003"/>
    <n v="152.47999999999999"/>
    <n v="120.45999999999998"/>
    <n v="21"/>
    <n v="3202.08"/>
    <n v="0.03"/>
    <n v="96.062399999999997"/>
    <n v="3106.0176000000001"/>
    <n v="4"/>
    <n v="3110.0176000000001"/>
  </r>
  <r>
    <s v="5779-1"/>
    <x v="352"/>
    <x v="2"/>
    <s v="Carl Ludwig"/>
    <s v="1/173-179 Bronte Rd,Waverley"/>
    <s v="Sydney"/>
    <x v="1"/>
    <x v="1"/>
    <x v="2"/>
    <s v="High"/>
    <s v="Cando PC940 Copier"/>
    <s v="Technology"/>
    <s v="Jumbo Drum"/>
    <s v="Delivery Truck"/>
    <d v="2015-02-02T00:00:00"/>
    <n v="278.99"/>
    <n v="449.99"/>
    <n v="171"/>
    <n v="25"/>
    <n v="11249.75"/>
    <n v="0.01"/>
    <n v="112.4975"/>
    <n v="11137.252500000001"/>
    <n v="49"/>
    <n v="11186.252500000001"/>
  </r>
  <r>
    <s v="5781-1"/>
    <x v="353"/>
    <x v="2"/>
    <s v="Cari Schnelling"/>
    <s v="273 George Street,Sydney"/>
    <s v="Sydney"/>
    <x v="1"/>
    <x v="0"/>
    <x v="2"/>
    <s v="High"/>
    <s v="3Max Polarizing Task Lamp with Clamp Arm, Light Gray"/>
    <s v="Furniture"/>
    <s v="Large Box"/>
    <s v="Regular Air"/>
    <d v="2015-02-03T00:00:00"/>
    <n v="56.16"/>
    <n v="136.97999999999999"/>
    <n v="80.819999999999993"/>
    <n v="2"/>
    <n v="273.95999999999998"/>
    <n v="0.08"/>
    <n v="21.916799999999999"/>
    <n v="252.04319999999998"/>
    <n v="24.49"/>
    <n v="276.53319999999997"/>
  </r>
  <r>
    <s v="5782-1"/>
    <x v="353"/>
    <x v="2"/>
    <s v="Julia Dunbar"/>
    <s v="3/265 Stirling Street"/>
    <s v="Perth"/>
    <x v="2"/>
    <x v="2"/>
    <x v="4"/>
    <s v="Critical"/>
    <s v="Binding Machine Supplies"/>
    <s v="Office Supplies"/>
    <s v="Small Box"/>
    <s v="Regular Air"/>
    <d v="2015-02-03T00:00:00"/>
    <n v="18.38"/>
    <n v="29.17"/>
    <n v="10.790000000000003"/>
    <n v="43"/>
    <n v="1254.3100000000002"/>
    <n v="0.05"/>
    <n v="62.715500000000013"/>
    <n v="1191.5945000000002"/>
    <n v="6.27"/>
    <n v="1197.8645000000001"/>
  </r>
  <r>
    <s v="5784-1"/>
    <x v="354"/>
    <x v="2"/>
    <s v="Ionia McGrath"/>
    <s v="Westfield Parramatta,Parramatta"/>
    <s v="Sydney"/>
    <x v="1"/>
    <x v="3"/>
    <x v="7"/>
    <s v="High"/>
    <s v="1726 Digital Answering Machine"/>
    <s v="Technology"/>
    <s v="Medium Box"/>
    <s v="Regular Air"/>
    <d v="2015-02-06T00:00:00"/>
    <n v="8.82"/>
    <n v="20.99"/>
    <n v="12.169999999999998"/>
    <n v="23"/>
    <n v="482.77"/>
    <n v="0.1"/>
    <n v="48.277000000000001"/>
    <n v="434.49299999999999"/>
    <n v="4.8099999999999996"/>
    <n v="439.303"/>
  </r>
  <r>
    <s v="5786-1"/>
    <x v="354"/>
    <x v="2"/>
    <s v="Claire Good"/>
    <s v="7/370-374 Victoria Ave,Chatswood"/>
    <s v="Sydney"/>
    <x v="1"/>
    <x v="0"/>
    <x v="7"/>
    <s v="Medium"/>
    <s v="Artisan Hi-Liter Fluorescent Desk Style Markers"/>
    <s v="Office Supplies"/>
    <s v="Wrap Bag"/>
    <s v="Express Air"/>
    <d v="2015-02-03T00:00:00"/>
    <n v="1.76"/>
    <n v="3.38"/>
    <n v="1.6199999999999999"/>
    <n v="5"/>
    <n v="16.899999999999999"/>
    <n v="0.08"/>
    <n v="1.3519999999999999"/>
    <n v="15.547999999999998"/>
    <n v="0.85"/>
    <n v="16.398"/>
  </r>
  <r>
    <s v="5787-1"/>
    <x v="354"/>
    <x v="2"/>
    <s v="Tom Stivers"/>
    <s v="21 Wentworth St,Parramatta"/>
    <s v="Sydney"/>
    <x v="1"/>
    <x v="1"/>
    <x v="9"/>
    <s v="Low"/>
    <s v="Smiths SlimLine Pencil Sharpener"/>
    <s v="Office Supplies"/>
    <s v="Small Pack"/>
    <s v="Regular Air"/>
    <d v="2015-03-02T00:00:00"/>
    <n v="4.79"/>
    <n v="11.97"/>
    <n v="7.1800000000000006"/>
    <n v="17"/>
    <n v="203.49"/>
    <n v="0.03"/>
    <n v="6.1047000000000002"/>
    <n v="197.3853"/>
    <n v="5.81"/>
    <n v="203.1953"/>
  </r>
  <r>
    <s v="5788-1"/>
    <x v="355"/>
    <x v="2"/>
    <s v="Brad Thomas"/>
    <s v="152 Bunnerong Road,Eastgardens"/>
    <s v="Sydney"/>
    <x v="1"/>
    <x v="0"/>
    <x v="8"/>
    <s v="Medium"/>
    <s v="DrawIt Colored Pencils, 48-Color Set"/>
    <s v="Office Supplies"/>
    <s v="Wrap Bag"/>
    <s v="Regular Air"/>
    <d v="2015-02-06T00:00:00"/>
    <n v="21.56"/>
    <n v="36.549999999999997"/>
    <n v="14.989999999999998"/>
    <n v="34"/>
    <n v="1242.6999999999998"/>
    <n v="0.03"/>
    <n v="37.280999999999992"/>
    <n v="1205.4189999999999"/>
    <n v="13.89"/>
    <n v="1219.309"/>
  </r>
  <r>
    <s v="5790-1"/>
    <x v="355"/>
    <x v="2"/>
    <s v="David Smith"/>
    <s v="85-113 Dunning Ave,Roseberry"/>
    <s v="Sydney"/>
    <x v="1"/>
    <x v="3"/>
    <x v="11"/>
    <s v="Critical"/>
    <s v="Smiths Bulldog Clip"/>
    <s v="Office Supplies"/>
    <s v="Wrap Bag"/>
    <s v="Regular Air"/>
    <d v="2015-02-06T00:00:00"/>
    <n v="2.31"/>
    <n v="3.78"/>
    <n v="1.4699999999999998"/>
    <n v="34"/>
    <n v="128.51999999999998"/>
    <n v="0.03"/>
    <n v="3.8555999999999995"/>
    <n v="124.66439999999999"/>
    <n v="0.71"/>
    <n v="125.37439999999998"/>
  </r>
  <r>
    <s v="5791-1"/>
    <x v="356"/>
    <x v="2"/>
    <s v="Carlos Soltero"/>
    <s v="1/41B Elizabeth Bay Rd,Elizabeth Bay"/>
    <s v="Sydney"/>
    <x v="1"/>
    <x v="3"/>
    <x v="10"/>
    <s v="Medium"/>
    <s v="TechSavi Cordless Elite Duo"/>
    <s v="Technology"/>
    <s v="Small Box"/>
    <s v="Regular Air"/>
    <d v="2015-02-18T00:00:00"/>
    <n v="60.59"/>
    <n v="100.98"/>
    <n v="40.39"/>
    <n v="13"/>
    <n v="1312.74"/>
    <n v="0.04"/>
    <n v="52.509599999999999"/>
    <n v="1260.2303999999999"/>
    <n v="7.18"/>
    <n v="1267.4104"/>
  </r>
  <r>
    <s v="5793-1"/>
    <x v="357"/>
    <x v="2"/>
    <s v="Doug Bickford"/>
    <s v="221 Barkly St,St Kilda"/>
    <s v="Melbourne"/>
    <x v="0"/>
    <x v="3"/>
    <x v="0"/>
    <s v="Medium"/>
    <s v="Multimedia Mailers"/>
    <s v="Office Supplies"/>
    <s v="Small Box"/>
    <s v="Regular Air"/>
    <d v="2015-02-10T00:00:00"/>
    <n v="99.39"/>
    <n v="162.93"/>
    <n v="63.540000000000006"/>
    <n v="39"/>
    <n v="6354.27"/>
    <n v="0.03"/>
    <n v="190.62810000000002"/>
    <n v="6163.6419000000005"/>
    <n v="19.989999999999998"/>
    <n v="6183.6319000000003"/>
  </r>
  <r>
    <s v="5795-1"/>
    <x v="358"/>
    <x v="2"/>
    <s v="Linda Southworth"/>
    <s v="359 Crown Street,Surry Hills"/>
    <s v="Sydney"/>
    <x v="1"/>
    <x v="2"/>
    <x v="4"/>
    <s v="Low"/>
    <s v="Alto Memo Cubes"/>
    <s v="Office Supplies"/>
    <s v="Wrap Bag"/>
    <s v="Express Air"/>
    <d v="2015-02-16T00:00:00"/>
    <n v="3.32"/>
    <n v="5.18"/>
    <n v="1.8599999999999999"/>
    <n v="11"/>
    <n v="56.98"/>
    <n v="0.06"/>
    <n v="3.4187999999999996"/>
    <n v="53.561199999999999"/>
    <n v="2.04"/>
    <n v="55.601199999999999"/>
  </r>
  <r>
    <s v="5797-1"/>
    <x v="359"/>
    <x v="2"/>
    <s v="Michelle Moray"/>
    <s v="310 Wattle St,Ultimo"/>
    <s v="Sydney"/>
    <x v="1"/>
    <x v="1"/>
    <x v="9"/>
    <s v="Low"/>
    <s v="Apex Straight Scissors"/>
    <s v="Office Supplies"/>
    <s v="Small Pack"/>
    <s v="Regular Air"/>
    <d v="2015-02-12T00:00:00"/>
    <n v="5.19"/>
    <n v="12.98"/>
    <n v="7.79"/>
    <n v="50"/>
    <n v="649"/>
    <n v="0.08"/>
    <n v="51.92"/>
    <n v="597.08000000000004"/>
    <n v="3.14"/>
    <n v="600.22"/>
  </r>
  <r>
    <s v="5799-1"/>
    <x v="359"/>
    <x v="2"/>
    <s v="Dorris Love"/>
    <s v="359 Crown Street,Surry Hills"/>
    <s v="Sydney"/>
    <x v="1"/>
    <x v="0"/>
    <x v="4"/>
    <s v="Not Specified"/>
    <s v="UGen Ultra Professional Cordless Optical Suite"/>
    <s v="Technology"/>
    <s v="Small Box"/>
    <s v="Regular Air"/>
    <d v="2015-02-13T00:00:00"/>
    <n v="156.5"/>
    <n v="300.97000000000003"/>
    <n v="144.47000000000003"/>
    <n v="41"/>
    <n v="12339.77"/>
    <n v="0.1"/>
    <n v="1233.9770000000001"/>
    <n v="11105.793"/>
    <n v="7.18"/>
    <n v="11112.973"/>
  </r>
  <r>
    <s v="5800-1"/>
    <x v="360"/>
    <x v="2"/>
    <s v="Ralph Arnett"/>
    <s v="88 Oxford St,Woollahra"/>
    <s v="Sydney"/>
    <x v="1"/>
    <x v="2"/>
    <x v="10"/>
    <s v="Medium"/>
    <s v="Alto Parchment Paper, Assorted Colors"/>
    <s v="Office Supplies"/>
    <s v="Small Box"/>
    <s v="Express Air"/>
    <d v="2015-02-15T00:00:00"/>
    <n v="4.59"/>
    <n v="7.28"/>
    <n v="2.6900000000000004"/>
    <n v="5"/>
    <n v="36.4"/>
    <n v="0.05"/>
    <n v="1.82"/>
    <n v="34.58"/>
    <n v="11.15"/>
    <n v="45.73"/>
  </r>
  <r>
    <s v="5801-1"/>
    <x v="361"/>
    <x v="2"/>
    <s v="Jasper Cacioppo"/>
    <s v="14 Knebworth Avenue"/>
    <s v="Perth"/>
    <x v="2"/>
    <x v="0"/>
    <x v="13"/>
    <s v="Medium"/>
    <s v="Artisan Reinforcements for Hole-Punch Pages"/>
    <s v="Office Supplies"/>
    <s v="Small Box"/>
    <s v="Regular Air"/>
    <d v="2015-02-16T00:00:00"/>
    <n v="1.19"/>
    <n v="1.98"/>
    <n v="0.79"/>
    <n v="3"/>
    <n v="5.9399999999999995"/>
    <n v="0.05"/>
    <n v="0.29699999999999999"/>
    <n v="5.6429999999999998"/>
    <n v="4.7699999999999996"/>
    <n v="10.413"/>
  </r>
  <r>
    <s v="5802-1"/>
    <x v="362"/>
    <x v="2"/>
    <s v="Shahid Shariari"/>
    <s v="3/219 Canley Vale Road,Canley Heights"/>
    <s v="Sydney"/>
    <x v="1"/>
    <x v="1"/>
    <x v="11"/>
    <s v="Medium"/>
    <s v="Smiths SlimLine Pencil Sharpener"/>
    <s v="Office Supplies"/>
    <s v="Small Pack"/>
    <s v="Regular Air"/>
    <d v="2015-02-19T00:00:00"/>
    <n v="4.79"/>
    <n v="11.97"/>
    <n v="7.1800000000000006"/>
    <n v="30"/>
    <n v="359.1"/>
    <n v="0.08"/>
    <n v="28.728000000000002"/>
    <n v="330.37200000000001"/>
    <n v="5.81"/>
    <n v="336.18200000000002"/>
  </r>
  <r>
    <s v="5803-1"/>
    <x v="363"/>
    <x v="2"/>
    <s v="Jeremy Pistek"/>
    <s v="85-113 Dunning Ave,Roseberry"/>
    <s v="Sydney"/>
    <x v="1"/>
    <x v="1"/>
    <x v="11"/>
    <s v="High"/>
    <s v="Artisan Durable Binders"/>
    <s v="Office Supplies"/>
    <s v="Small Box"/>
    <s v="Regular Air"/>
    <d v="2015-02-20T00:00:00"/>
    <n v="1.84"/>
    <n v="2.88"/>
    <n v="1.0399999999999998"/>
    <n v="22"/>
    <n v="63.36"/>
    <n v="0.1"/>
    <n v="6.3360000000000003"/>
    <n v="57.024000000000001"/>
    <n v="1.49"/>
    <n v="58.514000000000003"/>
  </r>
  <r>
    <s v="5804-1"/>
    <x v="363"/>
    <x v="2"/>
    <s v="Sandra Glassco"/>
    <s v="224A Gertrude St,Fitzroy"/>
    <s v="Melbourne"/>
    <x v="0"/>
    <x v="0"/>
    <x v="1"/>
    <s v="High"/>
    <s v="Artisan Durable Poly Binders"/>
    <s v="Office Supplies"/>
    <s v="Small Box"/>
    <s v="Regular Air"/>
    <d v="2015-02-21T00:00:00"/>
    <n v="3.37"/>
    <n v="5.53"/>
    <n v="2.16"/>
    <n v="12"/>
    <n v="66.36"/>
    <n v="0.06"/>
    <n v="3.9815999999999998"/>
    <n v="62.378399999999999"/>
    <n v="6.98"/>
    <n v="69.358400000000003"/>
  </r>
  <r>
    <s v="5804-2"/>
    <x v="363"/>
    <x v="2"/>
    <s v="Sandra Glassco"/>
    <s v="224A Gertrude St,Fitzroy"/>
    <s v="Melbourne"/>
    <x v="0"/>
    <x v="0"/>
    <x v="1"/>
    <s v="High"/>
    <s v="Artisan Hi-Liter Pen Style Six-Color Fluorescent Set"/>
    <s v="Office Supplies"/>
    <s v="Wrap Bag"/>
    <s v="Regular Air"/>
    <d v="2015-02-19T00:00:00"/>
    <n v="2.16"/>
    <n v="3.85"/>
    <n v="1.69"/>
    <n v="12"/>
    <n v="46.2"/>
    <n v="0.1"/>
    <n v="4.62"/>
    <n v="41.580000000000005"/>
    <n v="0.7"/>
    <n v="42.280000000000008"/>
  </r>
  <r>
    <s v="5805-1"/>
    <x v="364"/>
    <x v="2"/>
    <s v="Brian Thompson"/>
    <s v="154 Castlereagh St,Sydney"/>
    <s v="Sydney"/>
    <x v="1"/>
    <x v="0"/>
    <x v="6"/>
    <s v="Critical"/>
    <s v="Security-Tint Envelopes"/>
    <s v="Office Supplies"/>
    <s v="Small Box"/>
    <s v="Regular Air"/>
    <d v="2015-02-26T00:00:00"/>
    <n v="4.8899999999999997"/>
    <n v="7.64"/>
    <n v="2.75"/>
    <n v="32"/>
    <n v="244.48"/>
    <n v="0.06"/>
    <n v="14.668799999999999"/>
    <n v="229.81119999999999"/>
    <n v="1.39"/>
    <n v="231.20119999999997"/>
  </r>
  <r>
    <s v="5806-1"/>
    <x v="365"/>
    <x v="2"/>
    <s v="Sylvia Foulston"/>
    <s v="101 Murray Street"/>
    <s v="Perth"/>
    <x v="2"/>
    <x v="1"/>
    <x v="8"/>
    <s v="Medium"/>
    <s v="Assorted Color Push Pins"/>
    <s v="Office Supplies"/>
    <s v="Wrap Bag"/>
    <s v="Regular Air"/>
    <d v="2015-02-25T00:00:00"/>
    <n v="0.87"/>
    <n v="1.81"/>
    <n v="0.94000000000000006"/>
    <n v="41"/>
    <n v="74.210000000000008"/>
    <n v="0.03"/>
    <n v="2.2263000000000002"/>
    <n v="71.983700000000013"/>
    <n v="0.75"/>
    <n v="72.733700000000013"/>
  </r>
  <r>
    <s v="5807-1"/>
    <x v="365"/>
    <x v="2"/>
    <s v="Ann Blume"/>
    <s v="33 Wellington Street, Perth"/>
    <s v="Melbourne"/>
    <x v="0"/>
    <x v="3"/>
    <x v="1"/>
    <s v="Critical"/>
    <s v="Artisan 487 Labels"/>
    <s v="Office Supplies"/>
    <s v="Small Box"/>
    <s v="Regular Air"/>
    <d v="2015-02-24T00:00:00"/>
    <n v="2.29"/>
    <n v="3.69"/>
    <n v="1.4"/>
    <n v="12"/>
    <n v="44.28"/>
    <n v="0.02"/>
    <n v="0.88560000000000005"/>
    <n v="43.394400000000005"/>
    <n v="0.5"/>
    <n v="43.894400000000005"/>
  </r>
  <r>
    <s v="5809-1"/>
    <x v="366"/>
    <x v="2"/>
    <s v="Roy French"/>
    <s v="78 Stanley St,Darlinghurst"/>
    <s v="Sydney"/>
    <x v="1"/>
    <x v="2"/>
    <x v="4"/>
    <s v="High"/>
    <s v="Artisan 474 Labels"/>
    <s v="Office Supplies"/>
    <s v="Small Box"/>
    <s v="Express Air"/>
    <d v="2015-02-28T00:00:00"/>
    <n v="1.84"/>
    <n v="2.88"/>
    <n v="1.0399999999999998"/>
    <n v="9"/>
    <n v="25.919999999999998"/>
    <n v="0"/>
    <n v="0"/>
    <n v="25.919999999999998"/>
    <n v="0.99"/>
    <n v="26.909999999999997"/>
  </r>
  <r>
    <s v="5811-1"/>
    <x v="367"/>
    <x v="2"/>
    <s v="Anne McFarland"/>
    <s v="101 Murray Street, Perth"/>
    <s v="Sydney"/>
    <x v="1"/>
    <x v="2"/>
    <x v="10"/>
    <s v="Low"/>
    <s v="TechSavi Access Keyboard"/>
    <s v="Technology"/>
    <s v="Small Box"/>
    <s v="Regular Air"/>
    <d v="2015-03-01T00:00:00"/>
    <n v="10.07"/>
    <n v="15.98"/>
    <n v="5.91"/>
    <n v="26"/>
    <n v="415.48"/>
    <n v="0.01"/>
    <n v="4.1547999999999998"/>
    <n v="411.3252"/>
    <n v="4"/>
    <n v="415.3252"/>
  </r>
  <r>
    <s v="5813-1"/>
    <x v="368"/>
    <x v="2"/>
    <s v="Sarah Bern"/>
    <s v="1-2/299 Sussex St,Sydney"/>
    <s v="Sydney"/>
    <x v="1"/>
    <x v="1"/>
    <x v="9"/>
    <s v="Medium"/>
    <s v="Artisan Hole Reinforcements"/>
    <s v="Office Supplies"/>
    <s v="Small Box"/>
    <s v="Express Air"/>
    <d v="2015-03-03T00:00:00"/>
    <n v="3.99"/>
    <n v="6.23"/>
    <n v="2.2400000000000002"/>
    <n v="4"/>
    <n v="24.92"/>
    <n v="0.1"/>
    <n v="2.4920000000000004"/>
    <n v="22.428000000000001"/>
    <n v="6.97"/>
    <n v="29.398"/>
  </r>
  <r>
    <s v="5814-1"/>
    <x v="368"/>
    <x v="2"/>
    <s v="Thomas Thornton"/>
    <s v="222 Barkly St,St Kilda"/>
    <s v="Melbourne"/>
    <x v="0"/>
    <x v="2"/>
    <x v="0"/>
    <s v="Critical"/>
    <s v="Steady Colorific Colored Pencils, 12/Box"/>
    <s v="Office Supplies"/>
    <s v="Wrap Bag"/>
    <s v="Regular Air"/>
    <d v="2015-03-04T00:00:00"/>
    <n v="1.3"/>
    <n v="2.88"/>
    <n v="1.5799999999999998"/>
    <n v="43"/>
    <n v="123.83999999999999"/>
    <n v="0.1"/>
    <n v="12.384"/>
    <n v="111.45599999999999"/>
    <n v="1.01"/>
    <n v="112.46599999999999"/>
  </r>
  <r>
    <s v="5815-1"/>
    <x v="369"/>
    <x v="2"/>
    <s v="Nicole Brennan"/>
    <s v="310 Wattle St,Ultimo"/>
    <s v="Sydney"/>
    <x v="1"/>
    <x v="0"/>
    <x v="9"/>
    <s v="High"/>
    <s v="Lumi Crayons"/>
    <s v="Office Supplies"/>
    <s v="Wrap Bag"/>
    <s v="Regular Air"/>
    <d v="2015-03-04T00:00:00"/>
    <n v="5.22"/>
    <n v="9.85"/>
    <n v="4.63"/>
    <n v="41"/>
    <n v="403.84999999999997"/>
    <n v="0.05"/>
    <n v="20.192499999999999"/>
    <n v="383.65749999999997"/>
    <n v="4.82"/>
    <n v="388.47749999999996"/>
  </r>
  <r>
    <s v="5816-1"/>
    <x v="370"/>
    <x v="2"/>
    <s v="Tracy Poddar"/>
    <s v="834 Bourke St,Waterloo"/>
    <s v="Sydney"/>
    <x v="1"/>
    <x v="1"/>
    <x v="10"/>
    <s v="High"/>
    <s v="Artisan Hi-Liter Pen Style Six-Color Fluorescent Set"/>
    <s v="Office Supplies"/>
    <s v="Wrap Bag"/>
    <s v="Regular Air"/>
    <d v="2015-03-06T00:00:00"/>
    <n v="2.16"/>
    <n v="3.85"/>
    <n v="1.69"/>
    <n v="4"/>
    <n v="15.4"/>
    <n v="0.09"/>
    <n v="1.3859999999999999"/>
    <n v="14.014000000000001"/>
    <n v="0.7"/>
    <n v="14.714"/>
  </r>
  <r>
    <s v="5818-1"/>
    <x v="371"/>
    <x v="2"/>
    <s v="Trudy Brown"/>
    <s v="180 High Street,Windsor"/>
    <s v="Melbourne"/>
    <x v="0"/>
    <x v="3"/>
    <x v="1"/>
    <s v="High"/>
    <s v="Artisan Printable Repositionable Plastic Tabs"/>
    <s v="Office Supplies"/>
    <s v="Small Box"/>
    <s v="Regular Air"/>
    <d v="2015-03-07T00:00:00"/>
    <n v="5.33"/>
    <n v="8.6"/>
    <n v="3.2699999999999996"/>
    <n v="2"/>
    <n v="17.2"/>
    <n v="0.05"/>
    <n v="0.86"/>
    <n v="16.34"/>
    <n v="6.19"/>
    <n v="22.53"/>
  </r>
  <r>
    <s v="5819-1"/>
    <x v="372"/>
    <x v="2"/>
    <s v="Anthony Garverick"/>
    <s v="10 Lake Street, Perth"/>
    <s v="Sydney"/>
    <x v="1"/>
    <x v="3"/>
    <x v="8"/>
    <s v="High"/>
    <s v="Steady Major Accent Highlighters"/>
    <s v="Office Supplies"/>
    <s v="Wrap Bag"/>
    <s v="Regular Air"/>
    <d v="2015-03-12T00:00:00"/>
    <n v="3.75"/>
    <n v="7.08"/>
    <n v="3.33"/>
    <n v="12"/>
    <n v="84.960000000000008"/>
    <n v="0.1"/>
    <n v="8.4960000000000004"/>
    <n v="76.464000000000013"/>
    <n v="2.35"/>
    <n v="78.814000000000007"/>
  </r>
  <r>
    <s v="5821-1"/>
    <x v="373"/>
    <x v="2"/>
    <s v="Susan Pistek"/>
    <s v="2a/285A Crown St,Surry Hills"/>
    <s v="Sydney"/>
    <x v="1"/>
    <x v="0"/>
    <x v="4"/>
    <s v="Critical"/>
    <s v="Artisan 481 Labels"/>
    <s v="Office Supplies"/>
    <s v="Small Box"/>
    <s v="Regular Air"/>
    <d v="2015-03-13T00:00:00"/>
    <n v="1.94"/>
    <n v="3.08"/>
    <n v="1.1400000000000001"/>
    <n v="4"/>
    <n v="12.32"/>
    <n v="0.03"/>
    <n v="0.36959999999999998"/>
    <n v="11.9504"/>
    <n v="0.99"/>
    <n v="12.9404"/>
  </r>
  <r>
    <s v="5822-1"/>
    <x v="374"/>
    <x v="2"/>
    <s v="Carlos Soltero"/>
    <s v="1/41B Elizabeth Bay Rd,Elizabeth Bay"/>
    <s v="Sydney"/>
    <x v="1"/>
    <x v="2"/>
    <x v="10"/>
    <s v="High"/>
    <s v="Self-Adhesive Ring Binder Labels"/>
    <s v="Office Supplies"/>
    <s v="Small Box"/>
    <s v="Regular Air"/>
    <d v="2015-03-17T00:00:00"/>
    <n v="2.1800000000000002"/>
    <n v="3.52"/>
    <n v="1.3399999999999999"/>
    <n v="49"/>
    <n v="172.48"/>
    <n v="0.08"/>
    <n v="13.798399999999999"/>
    <n v="158.6816"/>
    <n v="6.83"/>
    <n v="165.51160000000002"/>
  </r>
  <r>
    <s v="5824-1"/>
    <x v="375"/>
    <x v="2"/>
    <s v="Keith Dawkins"/>
    <s v="402 Argyle St,Moss Vale"/>
    <s v="Sydney"/>
    <x v="1"/>
    <x v="0"/>
    <x v="5"/>
    <s v="Not Specified"/>
    <s v="Emerson Stylus 1520 Color Inkjet Printer"/>
    <s v="Technology"/>
    <s v="Jumbo Drum"/>
    <s v="Delivery Truck"/>
    <d v="2015-03-17T00:00:00"/>
    <n v="315.61"/>
    <n v="500.97"/>
    <n v="185.36"/>
    <n v="3"/>
    <n v="1502.91"/>
    <n v="0.06"/>
    <n v="90.174599999999998"/>
    <n v="1412.7354"/>
    <n v="69.3"/>
    <n v="1482.0354"/>
  </r>
  <r>
    <s v="5826-1"/>
    <x v="375"/>
    <x v="2"/>
    <s v="Harold Pawlan"/>
    <s v="180 High Street,Windsor"/>
    <s v="Melbourne"/>
    <x v="0"/>
    <x v="3"/>
    <x v="1"/>
    <s v="High"/>
    <s v="Multi-Use Personal File Cart and Caster Set, Three Stacking Bins"/>
    <s v="Office Supplies"/>
    <s v="Small Box"/>
    <s v="Regular Air"/>
    <d v="2015-03-16T00:00:00"/>
    <n v="14.95"/>
    <n v="34.76"/>
    <n v="19.809999999999999"/>
    <n v="43"/>
    <n v="1494.6799999999998"/>
    <n v="0"/>
    <n v="0"/>
    <n v="1494.6799999999998"/>
    <n v="8.2200000000000006"/>
    <n v="1502.8999999999999"/>
  </r>
  <r>
    <s v="5829-1"/>
    <x v="376"/>
    <x v="2"/>
    <s v="Jonathan Howell"/>
    <s v="180 High Street,Windsor"/>
    <s v="Melbourne"/>
    <x v="0"/>
    <x v="2"/>
    <x v="1"/>
    <s v="Medium"/>
    <s v="Xit Blank Computer Paper"/>
    <s v="Office Supplies"/>
    <s v="Small Box"/>
    <s v="Regular Air"/>
    <d v="2015-03-17T00:00:00"/>
    <n v="12.39"/>
    <n v="19.98"/>
    <n v="7.59"/>
    <n v="32"/>
    <n v="639.36"/>
    <n v="0.05"/>
    <n v="31.968000000000004"/>
    <n v="607.39200000000005"/>
    <n v="5.77"/>
    <n v="613.16200000000003"/>
  </r>
  <r>
    <s v="5831-1"/>
    <x v="377"/>
    <x v="2"/>
    <s v="Erin Creighton"/>
    <s v="523 King St,Newtown"/>
    <s v="Sydney"/>
    <x v="1"/>
    <x v="1"/>
    <x v="9"/>
    <s v="Critical"/>
    <s v="Apex Design Stainless Steel Bent Scissors"/>
    <s v="Office Supplies"/>
    <s v="Small Pack"/>
    <s v="Regular Air"/>
    <d v="2015-03-21T00:00:00"/>
    <n v="2.87"/>
    <n v="6.84"/>
    <n v="3.9699999999999998"/>
    <n v="35"/>
    <n v="239.4"/>
    <n v="0.02"/>
    <n v="4.7880000000000003"/>
    <n v="234.61199999999999"/>
    <n v="4.42"/>
    <n v="239.03199999999998"/>
  </r>
  <r>
    <s v="5832-1"/>
    <x v="378"/>
    <x v="2"/>
    <s v="Sibella Parks"/>
    <s v="180 High Street,Windsor"/>
    <s v="Melbourne"/>
    <x v="0"/>
    <x v="3"/>
    <x v="1"/>
    <s v="Critical"/>
    <s v="Alto Keyboard-In-A-Box"/>
    <s v="Technology"/>
    <s v="Small Box"/>
    <s v="Express Air"/>
    <d v="2015-03-21T00:00:00"/>
    <n v="6.4"/>
    <n v="29.1"/>
    <n v="22.700000000000003"/>
    <n v="50"/>
    <n v="1455"/>
    <n v="0.09"/>
    <n v="130.94999999999999"/>
    <n v="1324.05"/>
    <n v="4"/>
    <n v="1328.05"/>
  </r>
  <r>
    <s v="5833-1"/>
    <x v="379"/>
    <x v="2"/>
    <s v="Thais Sissman"/>
    <s v="8 Orange Street"/>
    <s v="Perth"/>
    <x v="2"/>
    <x v="3"/>
    <x v="8"/>
    <s v="Low"/>
    <s v="Aluminum Document Frame"/>
    <s v="Furniture"/>
    <s v="Small Pack"/>
    <s v="Regular Air"/>
    <d v="2015-03-28T00:00:00"/>
    <n v="5.5"/>
    <n v="12.22"/>
    <n v="6.7200000000000006"/>
    <n v="5"/>
    <n v="61.1"/>
    <n v="0.04"/>
    <n v="2.444"/>
    <n v="58.655999999999999"/>
    <n v="2.85"/>
    <n v="61.506"/>
  </r>
  <r>
    <s v="5834-1"/>
    <x v="379"/>
    <x v="2"/>
    <s v="Tony Sayre"/>
    <s v="499-501 Lygon Street,Carlton North"/>
    <s v="Melbourne"/>
    <x v="0"/>
    <x v="3"/>
    <x v="0"/>
    <s v="Critical"/>
    <s v="Steady Major Accent Highlighters"/>
    <s v="Office Supplies"/>
    <s v="Wrap Bag"/>
    <s v="Regular Air"/>
    <d v="2015-03-22T00:00:00"/>
    <n v="3.75"/>
    <n v="7.08"/>
    <n v="3.33"/>
    <n v="31"/>
    <n v="219.48"/>
    <n v="0.01"/>
    <n v="2.1947999999999999"/>
    <n v="217.2852"/>
    <n v="2.35"/>
    <n v="219.6352"/>
  </r>
  <r>
    <s v="5835-1"/>
    <x v="380"/>
    <x v="2"/>
    <s v="Tom Ashbrook"/>
    <s v="Westfield Sydney,Sydney"/>
    <s v="Sydney"/>
    <x v="1"/>
    <x v="0"/>
    <x v="5"/>
    <s v="High"/>
    <s v="Alto Parchment Paper, Assorted Colors"/>
    <s v="Office Supplies"/>
    <s v="Small Box"/>
    <s v="Express Air"/>
    <d v="2015-03-23T00:00:00"/>
    <n v="4.59"/>
    <n v="7.28"/>
    <n v="2.6900000000000004"/>
    <n v="40"/>
    <n v="291.2"/>
    <n v="0.04"/>
    <n v="11.648"/>
    <n v="279.55199999999996"/>
    <n v="11.15"/>
    <n v="290.70199999999994"/>
  </r>
  <r>
    <s v="5837-1"/>
    <x v="381"/>
    <x v="2"/>
    <s v="Astrea Jones"/>
    <s v="3/265 Stirling Street, Perth"/>
    <s v="Sydney"/>
    <x v="1"/>
    <x v="1"/>
    <x v="2"/>
    <s v="Medium"/>
    <s v="Artisan Durable Poly Binders"/>
    <s v="Office Supplies"/>
    <s v="Small Box"/>
    <s v="Regular Air"/>
    <d v="2015-03-26T00:00:00"/>
    <n v="3.37"/>
    <n v="5.53"/>
    <n v="2.16"/>
    <n v="23"/>
    <n v="127.19000000000001"/>
    <n v="0.1"/>
    <n v="12.719000000000001"/>
    <n v="114.471"/>
    <n v="6.98"/>
    <n v="121.45100000000001"/>
  </r>
  <r>
    <s v="5838-1"/>
    <x v="381"/>
    <x v="2"/>
    <s v="Brad Norvell"/>
    <s v="120 Hardware St,Melbourne"/>
    <s v="Melbourne"/>
    <x v="0"/>
    <x v="1"/>
    <x v="0"/>
    <s v="Critical"/>
    <s v="Smiths Standard Envelopes"/>
    <s v="Office Supplies"/>
    <s v="Small Box"/>
    <s v="Regular Air"/>
    <d v="2015-03-25T00:00:00"/>
    <n v="3.52"/>
    <n v="5.68"/>
    <n v="2.1599999999999997"/>
    <n v="8"/>
    <n v="45.44"/>
    <n v="0.02"/>
    <n v="0.90879999999999994"/>
    <n v="44.531199999999998"/>
    <n v="1.39"/>
    <n v="45.921199999999999"/>
  </r>
  <r>
    <s v="5840-1"/>
    <x v="382"/>
    <x v="2"/>
    <s v="Ed Braxton"/>
    <s v="499-501 Lygon Street,Carlton North"/>
    <s v="Melbourne"/>
    <x v="0"/>
    <x v="0"/>
    <x v="0"/>
    <s v="Not Specified"/>
    <s v="1726 Digital Answering Machine"/>
    <s v="Technology"/>
    <s v="Medium Box"/>
    <s v="Regular Air"/>
    <d v="2015-03-27T00:00:00"/>
    <n v="8.82"/>
    <n v="20.99"/>
    <n v="12.169999999999998"/>
    <n v="45"/>
    <n v="944.55"/>
    <n v="0.03"/>
    <n v="28.336499999999997"/>
    <n v="916.21349999999995"/>
    <n v="4.8099999999999996"/>
    <n v="921.0234999999999"/>
  </r>
  <r>
    <s v="5841-1"/>
    <x v="382"/>
    <x v="2"/>
    <s v="Erin Creighton"/>
    <s v="523 King St,Newtown"/>
    <s v="Sydney"/>
    <x v="1"/>
    <x v="1"/>
    <x v="9"/>
    <s v="Not Specified"/>
    <s v="Pizazz Drawing Pencil Set"/>
    <s v="Office Supplies"/>
    <s v="Wrap Bag"/>
    <s v="Express Air"/>
    <d v="2015-03-27T00:00:00"/>
    <n v="1.53"/>
    <n v="2.78"/>
    <n v="1.2499999999999998"/>
    <n v="34"/>
    <n v="94.52"/>
    <n v="0"/>
    <n v="0"/>
    <n v="94.52"/>
    <n v="1.34"/>
    <n v="95.86"/>
  </r>
  <r>
    <s v="5842-1"/>
    <x v="383"/>
    <x v="2"/>
    <s v="Mike Kennedy"/>
    <s v="99 Lygon Street,East Brunswick"/>
    <s v="Melbourne"/>
    <x v="0"/>
    <x v="3"/>
    <x v="1"/>
    <s v="Medium"/>
    <s v="UGen Ultra Cordless Optical Suite"/>
    <s v="Technology"/>
    <s v="Small Box"/>
    <s v="Regular Air"/>
    <d v="2015-04-01T00:00:00"/>
    <n v="54.52"/>
    <n v="100.97"/>
    <n v="46.449999999999996"/>
    <n v="13"/>
    <n v="1312.61"/>
    <n v="0.06"/>
    <n v="78.756599999999992"/>
    <n v="1233.8534"/>
    <n v="7.18"/>
    <n v="1241.0334"/>
  </r>
  <r>
    <s v="5843-1"/>
    <x v="384"/>
    <x v="2"/>
    <s v="Valerie Mitchum"/>
    <s v="8/2 Edward Street"/>
    <s v="Perth"/>
    <x v="2"/>
    <x v="0"/>
    <x v="5"/>
    <s v="Medium"/>
    <s v="Cando S750 Color Inkjet Printer"/>
    <s v="Technology"/>
    <s v="Jumbo Drum"/>
    <s v="Delivery Truck"/>
    <d v="2015-04-05T00:00:00"/>
    <n v="75"/>
    <n v="120.97"/>
    <n v="45.97"/>
    <n v="38"/>
    <n v="4596.8599999999997"/>
    <n v="0.09"/>
    <n v="413.71739999999994"/>
    <n v="4183.1426000000001"/>
    <n v="26.3"/>
    <n v="4209.4426000000003"/>
  </r>
  <r>
    <s v="5845-1"/>
    <x v="384"/>
    <x v="2"/>
    <s v="Michael Paige"/>
    <s v="506 Swan Street,Richmond"/>
    <s v="Melbourne"/>
    <x v="0"/>
    <x v="3"/>
    <x v="1"/>
    <s v="High"/>
    <s v="Unpadded Memo Slips"/>
    <s v="Office Supplies"/>
    <s v="Wrap Bag"/>
    <s v="Regular Air"/>
    <d v="2015-04-05T00:00:00"/>
    <n v="2.59"/>
    <n v="3.98"/>
    <n v="1.3900000000000001"/>
    <n v="2"/>
    <n v="7.96"/>
    <n v="0.04"/>
    <n v="0.31840000000000002"/>
    <n v="7.6416000000000004"/>
    <n v="2.97"/>
    <n v="10.611600000000001"/>
  </r>
  <r>
    <s v="5847-1"/>
    <x v="385"/>
    <x v="2"/>
    <s v="Carol Triggs"/>
    <s v="15 Aberdeen Street"/>
    <s v="Perth"/>
    <x v="2"/>
    <x v="0"/>
    <x v="13"/>
    <s v="Critical"/>
    <s v="Artisan Durable Poly Binders"/>
    <s v="Office Supplies"/>
    <s v="Small Box"/>
    <s v="Regular Air"/>
    <d v="2015-04-09T00:00:00"/>
    <n v="3.37"/>
    <n v="5.53"/>
    <n v="2.16"/>
    <n v="9"/>
    <n v="49.77"/>
    <n v="0.09"/>
    <n v="4.4793000000000003"/>
    <n v="45.290700000000001"/>
    <n v="6.98"/>
    <n v="52.270700000000005"/>
  </r>
  <r>
    <s v="5848-1"/>
    <x v="385"/>
    <x v="2"/>
    <s v="Craig Molinari"/>
    <s v="Shop 1 797 Botany Rd,Rosebery"/>
    <s v="Sydney"/>
    <x v="1"/>
    <x v="3"/>
    <x v="4"/>
    <s v="Not Specified"/>
    <s v="Wirebound Message Book, 4 per Page"/>
    <s v="Office Supplies"/>
    <s v="Wrap Bag"/>
    <s v="Regular Air"/>
    <d v="2015-04-09T00:00:00"/>
    <n v="3.48"/>
    <n v="5.43"/>
    <n v="1.9499999999999997"/>
    <n v="13"/>
    <n v="70.59"/>
    <n v="0.02"/>
    <n v="1.4118000000000002"/>
    <n v="69.178200000000004"/>
    <n v="0.95"/>
    <n v="70.128200000000007"/>
  </r>
  <r>
    <s v="5850-1"/>
    <x v="386"/>
    <x v="2"/>
    <s v="Bradley Nguyen"/>
    <s v="Shop 1, 186-190 Church Street,Parramatta;46a Macleay Street,Potts Point"/>
    <s v="Sydney"/>
    <x v="1"/>
    <x v="2"/>
    <x v="11"/>
    <s v="High"/>
    <s v="Alto Six-Outlet Power Strip, 4 Cord Length"/>
    <s v="Office Supplies"/>
    <s v="Small Box"/>
    <s v="Regular Air"/>
    <d v="2015-04-13T00:00:00"/>
    <n v="3.53"/>
    <n v="8.6199999999999992"/>
    <n v="5.09"/>
    <n v="50"/>
    <n v="430.99999999999994"/>
    <n v="7.0000000000000007E-2"/>
    <n v="30.169999999999998"/>
    <n v="400.82999999999993"/>
    <n v="4.5"/>
    <n v="405.32999999999993"/>
  </r>
  <r>
    <s v="5852-1"/>
    <x v="386"/>
    <x v="2"/>
    <s v="Katrina Edelman"/>
    <s v="Westfield Miranda, 600 Kingsway,Miranda"/>
    <s v="Sydney"/>
    <x v="1"/>
    <x v="1"/>
    <x v="12"/>
    <s v="Critical"/>
    <s v="Pizazz Drawing Pencil Set"/>
    <s v="Office Supplies"/>
    <s v="Wrap Bag"/>
    <s v="Regular Air"/>
    <d v="2015-04-11T00:00:00"/>
    <n v="1.53"/>
    <n v="2.78"/>
    <n v="1.2499999999999998"/>
    <n v="19"/>
    <n v="52.819999999999993"/>
    <n v="0.06"/>
    <n v="3.1691999999999996"/>
    <n v="49.650799999999997"/>
    <n v="1.34"/>
    <n v="50.9908"/>
  </r>
  <r>
    <s v="5854-1"/>
    <x v="387"/>
    <x v="2"/>
    <s v="Anthony Rawles"/>
    <s v="10 Lake Street, Perth"/>
    <s v="Perth"/>
    <x v="2"/>
    <x v="3"/>
    <x v="11"/>
    <s v="Medium"/>
    <s v="TechSavi Access Keyboard"/>
    <s v="Technology"/>
    <s v="Small Box"/>
    <s v="Regular Air"/>
    <d v="2015-04-12T00:00:00"/>
    <n v="10.07"/>
    <n v="15.98"/>
    <n v="5.91"/>
    <n v="40"/>
    <n v="639.20000000000005"/>
    <n v="0.01"/>
    <n v="6.3920000000000003"/>
    <n v="632.80799999999999"/>
    <n v="4"/>
    <n v="636.80799999999999"/>
  </r>
  <r>
    <s v="5856-1"/>
    <x v="388"/>
    <x v="2"/>
    <s v="Alejandro Grove"/>
    <s v="155 Oxford Street,Darlinghurst"/>
    <s v="Sydney"/>
    <x v="1"/>
    <x v="1"/>
    <x v="6"/>
    <s v="High"/>
    <s v="Artisan Hi-Liter Pen Style Six-Color Fluorescent Set"/>
    <s v="Office Supplies"/>
    <s v="Wrap Bag"/>
    <s v="Regular Air"/>
    <d v="2015-04-14T00:00:00"/>
    <n v="2.16"/>
    <n v="3.85"/>
    <n v="1.69"/>
    <n v="42"/>
    <n v="161.70000000000002"/>
    <n v="0.01"/>
    <n v="1.6170000000000002"/>
    <n v="160.08300000000003"/>
    <n v="0.7"/>
    <n v="160.78300000000002"/>
  </r>
  <r>
    <s v="5857-1"/>
    <x v="389"/>
    <x v="2"/>
    <s v="Philip Brown"/>
    <s v="499-501 Lygon Street,Carlton North"/>
    <s v="Melbourne"/>
    <x v="0"/>
    <x v="1"/>
    <x v="0"/>
    <s v="Medium"/>
    <s v="Artisan Durable Poly Binders"/>
    <s v="Office Supplies"/>
    <s v="Small Box"/>
    <s v="Regular Air"/>
    <d v="2015-04-19T00:00:00"/>
    <n v="3.37"/>
    <n v="5.53"/>
    <n v="2.16"/>
    <n v="30"/>
    <n v="165.9"/>
    <n v="0.01"/>
    <n v="1.659"/>
    <n v="164.24100000000001"/>
    <n v="6.98"/>
    <n v="171.221"/>
  </r>
  <r>
    <s v="5859-1"/>
    <x v="389"/>
    <x v="2"/>
    <s v="Arthur Gainer"/>
    <s v="14/76 Newcastle Street, Perth"/>
    <s v="Melbourne"/>
    <x v="0"/>
    <x v="1"/>
    <x v="1"/>
    <s v="Medium"/>
    <s v="Artisan Durable Poly Binders"/>
    <s v="Office Supplies"/>
    <s v="Small Box"/>
    <s v="Regular Air"/>
    <d v="2015-04-19T00:00:00"/>
    <n v="3.37"/>
    <n v="5.53"/>
    <n v="2.16"/>
    <n v="27"/>
    <n v="149.31"/>
    <n v="0.04"/>
    <n v="5.9724000000000004"/>
    <n v="143.33760000000001"/>
    <n v="6.98"/>
    <n v="150.3176"/>
  </r>
  <r>
    <s v="5861-1"/>
    <x v="389"/>
    <x v="2"/>
    <s v="Trudy Schmidt"/>
    <s v="333-339 Enmore Rd,Marrickville"/>
    <s v="Sydney"/>
    <x v="1"/>
    <x v="3"/>
    <x v="12"/>
    <s v="Medium"/>
    <s v="Binder Posts"/>
    <s v="Office Supplies"/>
    <s v="Small Box"/>
    <s v="Regular Air"/>
    <d v="2015-04-18T00:00:00"/>
    <n v="3.5"/>
    <n v="5.74"/>
    <n v="2.2400000000000002"/>
    <n v="23"/>
    <n v="132.02000000000001"/>
    <n v="0.06"/>
    <n v="7.9212000000000007"/>
    <n v="124.09880000000001"/>
    <n v="5.01"/>
    <n v="129.1088"/>
  </r>
  <r>
    <s v="5863-1"/>
    <x v="390"/>
    <x v="2"/>
    <s v="Thais Sissman"/>
    <s v="8 Orange Street"/>
    <s v="Perth"/>
    <x v="2"/>
    <x v="1"/>
    <x v="8"/>
    <s v="Not Specified"/>
    <s v="Beekin 105-Key Black Keyboard"/>
    <s v="Technology"/>
    <s v="Small Box"/>
    <s v="Express Air"/>
    <d v="2015-04-19T00:00:00"/>
    <n v="6.39"/>
    <n v="19.98"/>
    <n v="13.59"/>
    <n v="6"/>
    <n v="119.88"/>
    <n v="0.08"/>
    <n v="9.5904000000000007"/>
    <n v="110.28959999999999"/>
    <n v="4"/>
    <n v="114.28959999999999"/>
  </r>
  <r>
    <s v="5865-1"/>
    <x v="391"/>
    <x v="2"/>
    <s v="Art Ferguson"/>
    <s v="14 Money Street, Perth"/>
    <s v="Sydney"/>
    <x v="1"/>
    <x v="1"/>
    <x v="11"/>
    <s v="High"/>
    <s v="Artisan Hi-Liter Smear-Safe Highlighters"/>
    <s v="Office Supplies"/>
    <s v="Wrap Bag"/>
    <s v="Express Air"/>
    <d v="2015-04-22T00:00:00"/>
    <n v="2.98"/>
    <n v="5.84"/>
    <n v="2.86"/>
    <n v="12"/>
    <n v="70.08"/>
    <n v="0.02"/>
    <n v="1.4016"/>
    <n v="68.678399999999996"/>
    <n v="0.83"/>
    <n v="69.508399999999995"/>
  </r>
  <r>
    <s v="5867-1"/>
    <x v="392"/>
    <x v="2"/>
    <s v="Deborah Brumfield"/>
    <s v="501 George St,Sydney"/>
    <s v="Sydney"/>
    <x v="1"/>
    <x v="3"/>
    <x v="6"/>
    <s v="High"/>
    <s v="HFX LaserJet 3310 Copier"/>
    <s v="Technology"/>
    <s v="Large Box"/>
    <s v="Regular Air"/>
    <d v="2015-04-23T00:00:00"/>
    <n v="377.99"/>
    <n v="599.99"/>
    <n v="222"/>
    <n v="50"/>
    <n v="29999.5"/>
    <n v="0.09"/>
    <n v="2699.9549999999999"/>
    <n v="27299.544999999998"/>
    <n v="24.49"/>
    <n v="27324.035"/>
  </r>
  <r>
    <s v="5868-1"/>
    <x v="393"/>
    <x v="2"/>
    <s v="Christopher Schild"/>
    <s v="4A Lyons St,Strathfield"/>
    <s v="Sydney"/>
    <x v="1"/>
    <x v="1"/>
    <x v="8"/>
    <s v="Low"/>
    <s v="Artisan Hi-Liter Fluorescent Desk Style Markers"/>
    <s v="Office Supplies"/>
    <s v="Wrap Bag"/>
    <s v="Regular Air"/>
    <d v="2015-04-24T00:00:00"/>
    <n v="1.76"/>
    <n v="3.38"/>
    <n v="1.6199999999999999"/>
    <n v="31"/>
    <n v="104.78"/>
    <n v="0.04"/>
    <n v="4.1912000000000003"/>
    <n v="100.58880000000001"/>
    <n v="0.85"/>
    <n v="101.4388"/>
  </r>
  <r>
    <s v="5869-1"/>
    <x v="394"/>
    <x v="2"/>
    <s v="Peter McVee"/>
    <s v="8 Rankins Lane ,Melbourne"/>
    <s v="Melbourne"/>
    <x v="0"/>
    <x v="3"/>
    <x v="1"/>
    <s v="Critical"/>
    <s v="Bagged Rubber Bands"/>
    <s v="Office Supplies"/>
    <s v="Wrap Bag"/>
    <s v="Regular Air"/>
    <d v="2015-04-26T00:00:00"/>
    <n v="0.24"/>
    <n v="1.26"/>
    <n v="1.02"/>
    <n v="35"/>
    <n v="44.1"/>
    <n v="0.1"/>
    <n v="4.41"/>
    <n v="39.69"/>
    <n v="0.7"/>
    <n v="40.39"/>
  </r>
  <r>
    <s v="5869-2"/>
    <x v="394"/>
    <x v="2"/>
    <s v="Peter McVee"/>
    <s v="8 Rankins Lane ,Melbourne"/>
    <s v="Melbourne"/>
    <x v="0"/>
    <x v="3"/>
    <x v="1"/>
    <s v="Critical"/>
    <s v="DrawIt Pizazz Watercolor Pencils, 10-Color Set with Brush"/>
    <s v="Office Supplies"/>
    <s v="Wrap Bag"/>
    <s v="Regular Air"/>
    <d v="2015-04-27T00:00:00"/>
    <n v="2.39"/>
    <n v="4.26"/>
    <n v="1.8699999999999997"/>
    <n v="8"/>
    <n v="34.08"/>
    <n v="0.1"/>
    <n v="3.4079999999999999"/>
    <n v="30.671999999999997"/>
    <n v="1.2"/>
    <n v="31.871999999999996"/>
  </r>
  <r>
    <s v="5870-1"/>
    <x v="394"/>
    <x v="2"/>
    <s v="Frank Carlisle"/>
    <s v="8 Rankins Lane ,Melbourne"/>
    <s v="Melbourne"/>
    <x v="0"/>
    <x v="3"/>
    <x v="1"/>
    <s v="Critical"/>
    <s v="Cando PC940 Copier"/>
    <s v="Technology"/>
    <s v="Large Box"/>
    <s v="Regular Air"/>
    <d v="2015-04-27T00:00:00"/>
    <n v="216"/>
    <n v="449.99"/>
    <n v="233.99"/>
    <n v="2"/>
    <n v="899.98"/>
    <n v="0.08"/>
    <n v="71.998400000000004"/>
    <n v="827.98160000000007"/>
    <n v="24.49"/>
    <n v="852.47160000000008"/>
  </r>
  <r>
    <s v="5871-1"/>
    <x v="395"/>
    <x v="2"/>
    <s v="Thomas Boland"/>
    <s v="18 Robinson Avenue"/>
    <s v="Perth"/>
    <x v="2"/>
    <x v="1"/>
    <x v="11"/>
    <s v="Critical"/>
    <s v="1726 Digital Answering Machine"/>
    <s v="Technology"/>
    <s v="Medium Box"/>
    <s v="Regular Air"/>
    <d v="2015-04-26T00:00:00"/>
    <n v="8.82"/>
    <n v="20.99"/>
    <n v="12.169999999999998"/>
    <n v="19"/>
    <n v="398.80999999999995"/>
    <n v="0.01"/>
    <n v="3.9880999999999998"/>
    <n v="394.82189999999997"/>
    <n v="4.8099999999999996"/>
    <n v="399.63189999999997"/>
  </r>
  <r>
    <s v="5872-1"/>
    <x v="395"/>
    <x v="2"/>
    <s v="Greg Tran"/>
    <s v="Crown Complex,Southbank"/>
    <s v="Melbourne"/>
    <x v="0"/>
    <x v="0"/>
    <x v="0"/>
    <s v="Critical"/>
    <s v="Artisan Flip-Chart Easel Binder, Black"/>
    <s v="Office Supplies"/>
    <s v="Small Box"/>
    <s v="Regular Air"/>
    <d v="2015-04-28T00:00:00"/>
    <n v="13.88"/>
    <n v="22.38"/>
    <n v="8.4999999999999982"/>
    <n v="6"/>
    <n v="134.28"/>
    <n v="0"/>
    <n v="0"/>
    <n v="134.28"/>
    <n v="15.1"/>
    <n v="149.38"/>
  </r>
  <r>
    <s v="5873-1"/>
    <x v="396"/>
    <x v="2"/>
    <s v="Dianna Arnett"/>
    <s v="99 Lygon Street,East Brunswick"/>
    <s v="Melbourne"/>
    <x v="0"/>
    <x v="0"/>
    <x v="1"/>
    <s v="Low"/>
    <s v="Artisan Hanging File Binders"/>
    <s v="Office Supplies"/>
    <s v="Small Box"/>
    <s v="Express Air"/>
    <d v="2015-04-30T00:00:00"/>
    <n v="3.65"/>
    <n v="5.98"/>
    <n v="2.3300000000000005"/>
    <n v="50"/>
    <n v="299"/>
    <n v="0.09"/>
    <n v="26.91"/>
    <n v="272.08999999999997"/>
    <n v="1.49"/>
    <n v="273.58"/>
  </r>
  <r>
    <s v="5875-1"/>
    <x v="396"/>
    <x v="2"/>
    <s v="Cindy Schnelling"/>
    <s v="240-242 Johnston Street,Fitzroy"/>
    <s v="Melbourne"/>
    <x v="0"/>
    <x v="1"/>
    <x v="1"/>
    <s v="Not Specified"/>
    <s v="Emerson Stylus 1520 Color Inkjet Printer"/>
    <s v="Technology"/>
    <s v="Jumbo Drum"/>
    <s v="Delivery Truck"/>
    <d v="2015-05-01T00:00:00"/>
    <n v="315.61"/>
    <n v="500.97"/>
    <n v="185.36"/>
    <n v="44"/>
    <n v="22042.68"/>
    <n v="0.09"/>
    <n v="1983.8411999999998"/>
    <n v="20058.838800000001"/>
    <n v="69.3"/>
    <n v="20128.138800000001"/>
  </r>
  <r>
    <s v="5877-1"/>
    <x v="397"/>
    <x v="2"/>
    <s v="Chuck Clark"/>
    <s v="101 Murray Street"/>
    <s v="Perth"/>
    <x v="2"/>
    <x v="1"/>
    <x v="8"/>
    <s v="Low"/>
    <s v="Artisan 474 Labels"/>
    <s v="Office Supplies"/>
    <s v="Small Box"/>
    <s v="Regular Air"/>
    <d v="2015-05-04T00:00:00"/>
    <n v="1.84"/>
    <n v="2.88"/>
    <n v="1.0399999999999998"/>
    <n v="29"/>
    <n v="83.52"/>
    <n v="0.03"/>
    <n v="2.5055999999999998"/>
    <n v="81.014399999999995"/>
    <n v="0.99"/>
    <n v="82.00439999999999"/>
  </r>
  <r>
    <s v="5879-1"/>
    <x v="398"/>
    <x v="2"/>
    <s v="Pauline Webber"/>
    <s v="499-501 Lygon Street,Carlton North"/>
    <s v="Melbourne"/>
    <x v="0"/>
    <x v="2"/>
    <x v="0"/>
    <s v="High"/>
    <s v="Artisan Poly Binder Pockets"/>
    <s v="Office Supplies"/>
    <s v="Small Box"/>
    <s v="Regular Air"/>
    <d v="2015-05-02T00:00:00"/>
    <n v="2.2599999999999998"/>
    <n v="3.58"/>
    <n v="1.3200000000000003"/>
    <n v="7"/>
    <n v="25.060000000000002"/>
    <n v="0.09"/>
    <n v="2.2554000000000003"/>
    <n v="22.804600000000001"/>
    <n v="5.47"/>
    <n v="28.2746"/>
  </r>
  <r>
    <s v="5881-1"/>
    <x v="399"/>
    <x v="2"/>
    <s v="Chad McGuire"/>
    <s v="73 MacLeay St,Potts Point"/>
    <s v="Sydney"/>
    <x v="1"/>
    <x v="3"/>
    <x v="5"/>
    <s v="Not Specified"/>
    <s v="Smiths File Caddy"/>
    <s v="Office Supplies"/>
    <s v="Small Box"/>
    <s v="Regular Air"/>
    <d v="2015-05-02T00:00:00"/>
    <n v="4.03"/>
    <n v="9.3800000000000008"/>
    <n v="5.3500000000000005"/>
    <n v="31"/>
    <n v="290.78000000000003"/>
    <n v="0.08"/>
    <n v="23.262400000000003"/>
    <n v="267.51760000000002"/>
    <n v="7.28"/>
    <n v="274.79759999999999"/>
  </r>
  <r>
    <s v="5882-1"/>
    <x v="400"/>
    <x v="2"/>
    <s v="Denny Blanton"/>
    <s v="105 Pitt St,Sydney"/>
    <s v="Sydney"/>
    <x v="1"/>
    <x v="0"/>
    <x v="10"/>
    <s v="Critical"/>
    <s v="Apex Elite Stainless Steel Scissors"/>
    <s v="Office Supplies"/>
    <s v="Small Pack"/>
    <s v="Regular Air"/>
    <d v="2015-05-03T00:00:00"/>
    <n v="3.42"/>
    <n v="8.34"/>
    <n v="4.92"/>
    <n v="21"/>
    <n v="175.14"/>
    <n v="0.03"/>
    <n v="5.2541999999999991"/>
    <n v="169.88579999999999"/>
    <n v="2.64"/>
    <n v="172.52579999999998"/>
  </r>
  <r>
    <s v="5884-1"/>
    <x v="401"/>
    <x v="2"/>
    <s v="Suzanne McNair"/>
    <s v="Crown Complex,Southbank"/>
    <s v="Melbourne"/>
    <x v="0"/>
    <x v="1"/>
    <x v="1"/>
    <s v="Critical"/>
    <s v="TechSavi Access Keyboard"/>
    <s v="Technology"/>
    <s v="Small Box"/>
    <s v="Regular Air"/>
    <d v="2015-05-05T00:00:00"/>
    <n v="10.07"/>
    <n v="15.98"/>
    <n v="5.91"/>
    <n v="26"/>
    <n v="415.48"/>
    <n v="0.03"/>
    <n v="12.464399999999999"/>
    <n v="403.01560000000001"/>
    <n v="4"/>
    <n v="407.01560000000001"/>
  </r>
  <r>
    <s v="5885-1"/>
    <x v="402"/>
    <x v="2"/>
    <s v="Guy Armstrong"/>
    <s v="6 Mary St,Newtown"/>
    <s v="Sydney"/>
    <x v="1"/>
    <x v="1"/>
    <x v="6"/>
    <s v="High"/>
    <s v="24 Capacity Maxi Data Binder Racks, Pearl"/>
    <s v="Office Supplies"/>
    <s v="Small Box"/>
    <s v="Regular Air"/>
    <d v="2015-05-05T00:00:00"/>
    <n v="84.22"/>
    <n v="210.55"/>
    <n v="126.33000000000001"/>
    <n v="18"/>
    <n v="3789.9"/>
    <n v="0.05"/>
    <n v="189.495"/>
    <n v="3600.4050000000002"/>
    <n v="9.99"/>
    <n v="3610.395"/>
  </r>
  <r>
    <s v="5886-1"/>
    <x v="403"/>
    <x v="2"/>
    <s v="Michelle Lonsdale"/>
    <s v="180 High Street,Windsor"/>
    <s v="Melbourne"/>
    <x v="0"/>
    <x v="0"/>
    <x v="1"/>
    <s v="Low"/>
    <s v="Artisan Flip-Chart Easel Binder, Black"/>
    <s v="Office Supplies"/>
    <s v="Small Box"/>
    <s v="Regular Air"/>
    <d v="2015-05-08T00:00:00"/>
    <n v="13.88"/>
    <n v="22.38"/>
    <n v="8.4999999999999982"/>
    <n v="45"/>
    <n v="1007.0999999999999"/>
    <n v="0.05"/>
    <n v="50.354999999999997"/>
    <n v="956.74499999999989"/>
    <n v="15.1"/>
    <n v="971.84499999999991"/>
  </r>
  <r>
    <s v="5887-1"/>
    <x v="404"/>
    <x v="2"/>
    <s v="Thomas Boland"/>
    <s v="18 Robinson Avenue"/>
    <s v="Perth"/>
    <x v="2"/>
    <x v="1"/>
    <x v="11"/>
    <s v="Not Specified"/>
    <s v="UGen Ultra Cordless Optical Suite"/>
    <s v="Technology"/>
    <s v="Small Box"/>
    <s v="Regular Air"/>
    <d v="2015-05-11T00:00:00"/>
    <n v="54.52"/>
    <n v="100.97"/>
    <n v="46.449999999999996"/>
    <n v="15"/>
    <n v="1514.55"/>
    <n v="0.1"/>
    <n v="151.45500000000001"/>
    <n v="1363.095"/>
    <n v="7.18"/>
    <n v="1370.2750000000001"/>
  </r>
  <r>
    <s v="5888-1"/>
    <x v="405"/>
    <x v="2"/>
    <s v="Bill Stewart"/>
    <s v="18 Robinson Avenue, Perth"/>
    <s v="Sydney"/>
    <x v="1"/>
    <x v="1"/>
    <x v="8"/>
    <s v="Medium"/>
    <s v="Apex Box Cutter Scissors"/>
    <s v="Office Supplies"/>
    <s v="Small Pack"/>
    <s v="Regular Air"/>
    <d v="2015-05-13T00:00:00"/>
    <n v="4.1900000000000004"/>
    <n v="10.23"/>
    <n v="6.04"/>
    <n v="46"/>
    <n v="470.58000000000004"/>
    <n v="0.05"/>
    <n v="23.529000000000003"/>
    <n v="447.05100000000004"/>
    <n v="4.68"/>
    <n v="451.73100000000005"/>
  </r>
  <r>
    <s v="5888-2"/>
    <x v="405"/>
    <x v="2"/>
    <s v="Bill Stewart"/>
    <s v="18 Robinson Avenue, Perth"/>
    <s v="Sydney"/>
    <x v="1"/>
    <x v="1"/>
    <x v="8"/>
    <s v="Medium"/>
    <s v="Artisan Hanging File Binders"/>
    <s v="Office Supplies"/>
    <s v="Small Box"/>
    <s v="Regular Air"/>
    <d v="2015-05-13T00:00:00"/>
    <n v="3.65"/>
    <n v="5.98"/>
    <n v="2.3300000000000005"/>
    <n v="4"/>
    <n v="23.92"/>
    <n v="7.0000000000000007E-2"/>
    <n v="1.6744000000000003"/>
    <n v="22.245600000000003"/>
    <n v="1.49"/>
    <n v="23.735600000000002"/>
  </r>
  <r>
    <s v="5891-1"/>
    <x v="406"/>
    <x v="2"/>
    <s v="Sean ODonnell"/>
    <s v="541 Church St ,Richmond"/>
    <s v="Melbourne"/>
    <x v="0"/>
    <x v="1"/>
    <x v="0"/>
    <s v="High"/>
    <s v="Adams &quot;While You Were Out&quot; Message Pads"/>
    <s v="Office Supplies"/>
    <s v="Wrap Bag"/>
    <s v="Regular Air"/>
    <d v="2015-05-14T00:00:00"/>
    <n v="1.88"/>
    <n v="3.14"/>
    <n v="1.2600000000000002"/>
    <n v="50"/>
    <n v="157"/>
    <n v="0"/>
    <n v="0"/>
    <n v="157"/>
    <n v="1.1399999999999999"/>
    <n v="158.13999999999999"/>
  </r>
  <r>
    <s v="5893-1"/>
    <x v="407"/>
    <x v="2"/>
    <s v="Ricardo Block"/>
    <s v="106 Ebley Street,Bondi Junction"/>
    <s v="Sydney"/>
    <x v="1"/>
    <x v="1"/>
    <x v="2"/>
    <s v="Medium"/>
    <s v="Bagged Rubber Bands"/>
    <s v="Office Supplies"/>
    <s v="Wrap Bag"/>
    <s v="Express Air"/>
    <d v="2015-05-14T00:00:00"/>
    <n v="0.24"/>
    <n v="1.26"/>
    <n v="1.02"/>
    <n v="35"/>
    <n v="44.1"/>
    <n v="0.06"/>
    <n v="2.6459999999999999"/>
    <n v="41.454000000000001"/>
    <n v="0.7"/>
    <n v="42.154000000000003"/>
  </r>
  <r>
    <s v="5894-1"/>
    <x v="407"/>
    <x v="2"/>
    <s v="Shui Tom"/>
    <s v="1 John Street,Waterloo"/>
    <s v="Sydney"/>
    <x v="1"/>
    <x v="0"/>
    <x v="10"/>
    <s v="High"/>
    <s v="Deluxe Rollaway Locking File with Drawer"/>
    <s v="Office Supplies"/>
    <s v="Small Box"/>
    <s v="Regular Air"/>
    <d v="2015-05-16T00:00:00"/>
    <n v="178.83"/>
    <n v="415.88"/>
    <n v="237.04999999999998"/>
    <n v="11"/>
    <n v="4574.68"/>
    <n v="0.06"/>
    <n v="274.48079999999999"/>
    <n v="4300.1992"/>
    <n v="11.37"/>
    <n v="4311.5691999999999"/>
  </r>
  <r>
    <s v="5896-1"/>
    <x v="408"/>
    <x v="2"/>
    <s v="Penelope Sewall"/>
    <s v="96 Liverpool St,Sydney"/>
    <s v="Sydney"/>
    <x v="1"/>
    <x v="0"/>
    <x v="6"/>
    <s v="High"/>
    <s v="Apex Straight Scissors"/>
    <s v="Office Supplies"/>
    <s v="Small Pack"/>
    <s v="Regular Air"/>
    <d v="2015-05-17T00:00:00"/>
    <n v="5.19"/>
    <n v="12.98"/>
    <n v="7.79"/>
    <n v="23"/>
    <n v="298.54000000000002"/>
    <n v="0.01"/>
    <n v="2.9854000000000003"/>
    <n v="295.55459999999999"/>
    <n v="3.14"/>
    <n v="298.69459999999998"/>
  </r>
  <r>
    <s v="5898-1"/>
    <x v="409"/>
    <x v="2"/>
    <s v="Frank Hawley"/>
    <s v="Shop 1 797 Botany Rd,Rosebery"/>
    <s v="Sydney"/>
    <x v="1"/>
    <x v="0"/>
    <x v="4"/>
    <s v="Not Specified"/>
    <s v="Xit Blank Computer Paper"/>
    <s v="Office Supplies"/>
    <s v="Small Box"/>
    <s v="Regular Air"/>
    <d v="2015-05-20T00:00:00"/>
    <n v="12.39"/>
    <n v="19.98"/>
    <n v="7.59"/>
    <n v="33"/>
    <n v="659.34"/>
    <n v="0.09"/>
    <n v="59.340600000000002"/>
    <n v="599.99940000000004"/>
    <n v="5.77"/>
    <n v="605.76940000000002"/>
  </r>
  <r>
    <s v="5899-1"/>
    <x v="410"/>
    <x v="2"/>
    <s v="Roy Collins"/>
    <s v="6 Brookman Street"/>
    <s v="Perth"/>
    <x v="2"/>
    <x v="1"/>
    <x v="5"/>
    <s v="Not Specified"/>
    <s v="TypeRight Side-Opening Peel &amp; Seel Expanding Envelopes"/>
    <s v="Office Supplies"/>
    <s v="Small Box"/>
    <s v="Regular Air"/>
    <d v="2015-05-20T00:00:00"/>
    <n v="54.29"/>
    <n v="90.48"/>
    <n v="36.190000000000005"/>
    <n v="11"/>
    <n v="995.28000000000009"/>
    <n v="0.04"/>
    <n v="39.811200000000007"/>
    <n v="955.4688000000001"/>
    <n v="19.989999999999998"/>
    <n v="975.45880000000011"/>
  </r>
  <r>
    <s v="5900-1"/>
    <x v="410"/>
    <x v="2"/>
    <s v="Sibella Parks"/>
    <s v="180 High Street,Windsor"/>
    <s v="Melbourne"/>
    <x v="0"/>
    <x v="3"/>
    <x v="1"/>
    <s v="Not Specified"/>
    <s v="Artisan Reinforcements for Hole-Punch Pages"/>
    <s v="Office Supplies"/>
    <s v="Small Box"/>
    <s v="Regular Air"/>
    <d v="2015-05-18T00:00:00"/>
    <n v="1.19"/>
    <n v="1.98"/>
    <n v="0.79"/>
    <n v="29"/>
    <n v="57.42"/>
    <n v="0.09"/>
    <n v="5.1677999999999997"/>
    <n v="52.252200000000002"/>
    <n v="4.7699999999999996"/>
    <n v="57.022199999999998"/>
  </r>
  <r>
    <s v="5902-1"/>
    <x v="410"/>
    <x v="2"/>
    <s v="Brian DeCherney"/>
    <s v="523 King St,Newtown"/>
    <s v="Sydney"/>
    <x v="1"/>
    <x v="1"/>
    <x v="9"/>
    <s v="Low"/>
    <s v="Laser DVD-RAM discs"/>
    <s v="Technology"/>
    <s v="Small Pack"/>
    <s v="Regular Air"/>
    <d v="2015-05-25T00:00:00"/>
    <n v="20.18"/>
    <n v="35.409999999999997"/>
    <n v="15.229999999999997"/>
    <n v="1"/>
    <n v="35.409999999999997"/>
    <n v="0.1"/>
    <n v="3.5409999999999999"/>
    <n v="31.868999999999996"/>
    <n v="1.99"/>
    <n v="33.858999999999995"/>
  </r>
  <r>
    <s v="5904-1"/>
    <x v="411"/>
    <x v="2"/>
    <s v="Carlos Meador"/>
    <s v="152 Bunnerong Road,Eastgardens"/>
    <s v="Sydney"/>
    <x v="1"/>
    <x v="1"/>
    <x v="8"/>
    <s v="Critical"/>
    <s v="Artisan Durable Binders"/>
    <s v="Office Supplies"/>
    <s v="Small Box"/>
    <s v="Regular Air"/>
    <d v="2015-05-20T00:00:00"/>
    <n v="1.84"/>
    <n v="2.88"/>
    <n v="1.0399999999999998"/>
    <n v="16"/>
    <n v="46.08"/>
    <n v="0.05"/>
    <n v="2.3039999999999998"/>
    <n v="43.775999999999996"/>
    <n v="1.49"/>
    <n v="45.265999999999998"/>
  </r>
  <r>
    <s v="5906-1"/>
    <x v="412"/>
    <x v="2"/>
    <s v="Mike Kennedy"/>
    <s v="99 Lygon Street,East Brunswick"/>
    <s v="Melbourne"/>
    <x v="0"/>
    <x v="1"/>
    <x v="1"/>
    <s v="High"/>
    <s v="Artisan Durable Binders"/>
    <s v="Office Supplies"/>
    <s v="Small Box"/>
    <s v="Regular Air"/>
    <d v="2015-05-23T00:00:00"/>
    <n v="1.84"/>
    <n v="2.88"/>
    <n v="1.0399999999999998"/>
    <n v="26"/>
    <n v="74.88"/>
    <n v="0.08"/>
    <n v="5.9904000000000002"/>
    <n v="68.889600000000002"/>
    <n v="1.49"/>
    <n v="70.379599999999996"/>
  </r>
  <r>
    <s v="5907-1"/>
    <x v="412"/>
    <x v="2"/>
    <s v="Allen Armold"/>
    <s v="101/12 Victoria Ave, Perth"/>
    <s v="Melbourne"/>
    <x v="0"/>
    <x v="0"/>
    <x v="1"/>
    <s v="Critical"/>
    <s v="Laser DVD-RAM discs"/>
    <s v="Technology"/>
    <s v="Small Pack"/>
    <s v="Regular Air"/>
    <d v="2015-05-22T00:00:00"/>
    <n v="20.18"/>
    <n v="35.409999999999997"/>
    <n v="15.229999999999997"/>
    <n v="49"/>
    <n v="1735.09"/>
    <n v="0.02"/>
    <n v="34.701799999999999"/>
    <n v="1700.3881999999999"/>
    <n v="1.99"/>
    <n v="1702.3781999999999"/>
  </r>
  <r>
    <s v="5908-1"/>
    <x v="412"/>
    <x v="2"/>
    <s v="Alan Shonely"/>
    <s v="Macquarie Centre Cnr Herring Road &amp; Waterloo Road,Macquarie Park"/>
    <s v="Sydney"/>
    <x v="1"/>
    <x v="3"/>
    <x v="3"/>
    <s v="Critical"/>
    <s v="UGen RF Keyboard"/>
    <s v="Technology"/>
    <s v="Small Box"/>
    <s v="Regular Air"/>
    <d v="2015-05-21T00:00:00"/>
    <n v="81.59"/>
    <n v="159.99"/>
    <n v="78.400000000000006"/>
    <n v="19"/>
    <n v="3039.8100000000004"/>
    <n v="0.1"/>
    <n v="303.98100000000005"/>
    <n v="2735.8290000000002"/>
    <n v="5.5"/>
    <n v="2741.3290000000002"/>
  </r>
  <r>
    <s v="5909-1"/>
    <x v="413"/>
    <x v="2"/>
    <s v="Thomas Boland"/>
    <s v="18 Robinson Avenue"/>
    <s v="Perth"/>
    <x v="2"/>
    <x v="1"/>
    <x v="11"/>
    <s v="Critical"/>
    <s v="Smiths Bulldog Clip"/>
    <s v="Office Supplies"/>
    <s v="Wrap Bag"/>
    <s v="Regular Air"/>
    <d v="2015-05-24T00:00:00"/>
    <n v="2.31"/>
    <n v="3.78"/>
    <n v="1.4699999999999998"/>
    <n v="19"/>
    <n v="71.819999999999993"/>
    <n v="0.03"/>
    <n v="2.1545999999999998"/>
    <n v="69.665399999999991"/>
    <n v="0.71"/>
    <n v="70.375399999999985"/>
  </r>
  <r>
    <s v="5911-1"/>
    <x v="414"/>
    <x v="2"/>
    <s v="Maurice Satty"/>
    <s v="188 Pitt Street,Sydney"/>
    <s v="Sydney"/>
    <x v="1"/>
    <x v="1"/>
    <x v="8"/>
    <s v="Medium"/>
    <s v="Steady EarthWrite Recycled Pencils, Medium Soft, #2"/>
    <s v="Office Supplies"/>
    <s v="Wrap Bag"/>
    <s v="Regular Air"/>
    <d v="2015-05-25T00:00:00"/>
    <n v="0.9"/>
    <n v="2.1"/>
    <n v="1.2000000000000002"/>
    <n v="17"/>
    <n v="35.700000000000003"/>
    <n v="0.09"/>
    <n v="3.2130000000000001"/>
    <n v="32.487000000000002"/>
    <n v="0.7"/>
    <n v="33.187000000000005"/>
  </r>
  <r>
    <s v="5913-1"/>
    <x v="414"/>
    <x v="2"/>
    <s v="Mike Gockenbach"/>
    <s v="180 High Street,Windsor"/>
    <s v="Melbourne"/>
    <x v="0"/>
    <x v="2"/>
    <x v="1"/>
    <s v="Low"/>
    <s v="Steady Major Accent Highlighters"/>
    <s v="Office Supplies"/>
    <s v="Wrap Bag"/>
    <s v="Regular Air"/>
    <d v="2015-05-28T00:00:00"/>
    <n v="3.75"/>
    <n v="7.08"/>
    <n v="3.33"/>
    <n v="49"/>
    <n v="346.92"/>
    <n v="0"/>
    <n v="0"/>
    <n v="346.92"/>
    <n v="2.35"/>
    <n v="349.27000000000004"/>
  </r>
  <r>
    <s v="5914-1"/>
    <x v="415"/>
    <x v="2"/>
    <s v="Patrick Ryan"/>
    <s v="Cnr Williams Road &amp; Lechlade Ave,South Yarra"/>
    <s v="Melbourne"/>
    <x v="0"/>
    <x v="1"/>
    <x v="0"/>
    <s v="Critical"/>
    <s v="12 Colored Short Pencils"/>
    <s v="Office Supplies"/>
    <s v="Wrap Bag"/>
    <s v="Regular Air"/>
    <d v="2015-05-28T00:00:00"/>
    <n v="1.0900000000000001"/>
    <n v="2.6"/>
    <n v="1.51"/>
    <n v="8"/>
    <n v="20.8"/>
    <n v="0.04"/>
    <n v="0.83200000000000007"/>
    <n v="19.968"/>
    <n v="2.4"/>
    <n v="22.367999999999999"/>
  </r>
  <r>
    <s v="5916-1"/>
    <x v="416"/>
    <x v="2"/>
    <s v="Jack OBriant"/>
    <s v="85-113 Dunning Ave,Rosebery"/>
    <s v="Sydney"/>
    <x v="1"/>
    <x v="3"/>
    <x v="11"/>
    <s v="Not Specified"/>
    <s v="Beekin 105-Key Black Keyboard"/>
    <s v="Technology"/>
    <s v="Small Box"/>
    <s v="Regular Air"/>
    <d v="2015-05-29T00:00:00"/>
    <n v="6.39"/>
    <n v="19.98"/>
    <n v="13.59"/>
    <n v="7"/>
    <n v="139.86000000000001"/>
    <n v="0.09"/>
    <n v="12.587400000000001"/>
    <n v="127.27260000000001"/>
    <n v="4"/>
    <n v="131.27260000000001"/>
  </r>
  <r>
    <s v="5917-1"/>
    <x v="417"/>
    <x v="2"/>
    <s v="Lynn Smith"/>
    <s v="61A Bay Road,Wollstonecraft"/>
    <s v="Sydney"/>
    <x v="1"/>
    <x v="1"/>
    <x v="6"/>
    <s v="Not Specified"/>
    <s v="12 Colored Short Pencils"/>
    <s v="Office Supplies"/>
    <s v="Wrap Bag"/>
    <s v="Express Air"/>
    <d v="2015-05-29T00:00:00"/>
    <n v="1.0900000000000001"/>
    <n v="2.6"/>
    <n v="1.51"/>
    <n v="42"/>
    <n v="109.2"/>
    <n v="0.05"/>
    <n v="5.4600000000000009"/>
    <n v="103.74000000000001"/>
    <n v="2.4"/>
    <n v="106.14000000000001"/>
  </r>
  <r>
    <s v="5919-1"/>
    <x v="418"/>
    <x v="2"/>
    <s v="Cindy Schnelling"/>
    <s v="240-242 Johnston Street,Fitzroy"/>
    <s v="Melbourne"/>
    <x v="0"/>
    <x v="1"/>
    <x v="1"/>
    <s v="High"/>
    <s v="Artisan 474 Labels"/>
    <s v="Office Supplies"/>
    <s v="Small Box"/>
    <s v="Regular Air"/>
    <d v="2015-05-31T00:00:00"/>
    <n v="1.84"/>
    <n v="2.88"/>
    <n v="1.0399999999999998"/>
    <n v="24"/>
    <n v="69.12"/>
    <n v="7.0000000000000007E-2"/>
    <n v="4.8384000000000009"/>
    <n v="64.281599999999997"/>
    <n v="0.99"/>
    <n v="65.271599999999992"/>
  </r>
  <r>
    <s v="5921-1"/>
    <x v="419"/>
    <x v="2"/>
    <s v="George Bell"/>
    <s v="499-501 Lygon Street,Carlton North"/>
    <s v="Melbourne"/>
    <x v="0"/>
    <x v="1"/>
    <x v="0"/>
    <s v="Not Specified"/>
    <s v="1726 Digital Answering Machine"/>
    <s v="Technology"/>
    <s v="Medium Box"/>
    <s v="Express Air"/>
    <d v="2015-06-02T00:00:00"/>
    <n v="8.82"/>
    <n v="20.99"/>
    <n v="12.169999999999998"/>
    <n v="18"/>
    <n v="377.82"/>
    <n v="0"/>
    <n v="0"/>
    <n v="377.82"/>
    <n v="4.8099999999999996"/>
    <n v="382.63"/>
  </r>
  <r>
    <s v="5923-1"/>
    <x v="419"/>
    <x v="2"/>
    <s v="Pete Armstrong"/>
    <s v="506 Swan Street,Richmond"/>
    <s v="Melbourne"/>
    <x v="0"/>
    <x v="2"/>
    <x v="1"/>
    <s v="Medium"/>
    <s v="Laser Neon Mac Format Diskettes, 10/Pack"/>
    <s v="Technology"/>
    <s v="Small Pack"/>
    <s v="Regular Air"/>
    <d v="2015-06-01T00:00:00"/>
    <n v="1.87"/>
    <n v="8.1199999999999992"/>
    <n v="6.2499999999999991"/>
    <n v="3"/>
    <n v="24.36"/>
    <n v="0.03"/>
    <n v="0.73080000000000001"/>
    <n v="23.629200000000001"/>
    <n v="2.83"/>
    <n v="26.459200000000003"/>
  </r>
  <r>
    <s v="5925-1"/>
    <x v="419"/>
    <x v="2"/>
    <s v="Lauren Leatherbury"/>
    <s v="Westfield 1 Anderson St,Chatswood"/>
    <s v="Sydney"/>
    <x v="1"/>
    <x v="0"/>
    <x v="3"/>
    <s v="Low"/>
    <s v="Multi-Use Personal File Cart and Caster Set, Three Stacking Bins"/>
    <s v="Office Supplies"/>
    <s v="Small Box"/>
    <s v="Regular Air"/>
    <d v="2015-06-05T00:00:00"/>
    <n v="14.95"/>
    <n v="34.76"/>
    <n v="19.809999999999999"/>
    <n v="43"/>
    <n v="1494.6799999999998"/>
    <n v="0.08"/>
    <n v="119.57439999999998"/>
    <n v="1375.1055999999999"/>
    <n v="8.2200000000000006"/>
    <n v="1383.3255999999999"/>
  </r>
  <r>
    <s v="5927-1"/>
    <x v="420"/>
    <x v="2"/>
    <s v="Nathan Mautz"/>
    <s v="412 Brunswick St,Fitzroy"/>
    <s v="Melbourne"/>
    <x v="0"/>
    <x v="1"/>
    <x v="1"/>
    <s v="Low"/>
    <s v="Apex Box Cutter Scissors"/>
    <s v="Office Supplies"/>
    <s v="Small Pack"/>
    <s v="Regular Air"/>
    <d v="2015-06-06T00:00:00"/>
    <n v="4.1900000000000004"/>
    <n v="10.23"/>
    <n v="6.04"/>
    <n v="35"/>
    <n v="358.05"/>
    <n v="0.01"/>
    <n v="3.5805000000000002"/>
    <n v="354.46950000000004"/>
    <n v="4.68"/>
    <n v="359.14950000000005"/>
  </r>
  <r>
    <s v="5928-1"/>
    <x v="421"/>
    <x v="2"/>
    <s v="Michael Chen"/>
    <s v="Shop 3/144 Waterloo Road,Greenacre"/>
    <s v="Sydney"/>
    <x v="1"/>
    <x v="2"/>
    <x v="6"/>
    <s v="Critical"/>
    <s v="300 Series Non-Flip"/>
    <s v="Technology"/>
    <s v="Small Box"/>
    <s v="Regular Air"/>
    <d v="2015-06-10T00:00:00"/>
    <n v="62.4"/>
    <n v="155.99"/>
    <n v="93.59"/>
    <n v="21"/>
    <n v="3275.79"/>
    <n v="0.08"/>
    <n v="262.06319999999999"/>
    <n v="3013.7267999999999"/>
    <n v="8.08"/>
    <n v="3021.8067999999998"/>
  </r>
  <r>
    <s v="5930-1"/>
    <x v="421"/>
    <x v="2"/>
    <s v="Jack OBriant"/>
    <s v="85-113 Dunning Ave,Rosebery"/>
    <s v="Sydney"/>
    <x v="1"/>
    <x v="0"/>
    <x v="11"/>
    <s v="Not Specified"/>
    <s v="HFX LaserJet 3310 Copier"/>
    <s v="Technology"/>
    <s v="Large Box"/>
    <s v="Regular Air"/>
    <d v="2015-06-09T00:00:00"/>
    <n v="377.99"/>
    <n v="599.99"/>
    <n v="222"/>
    <n v="41"/>
    <n v="24599.59"/>
    <n v="0.09"/>
    <n v="2213.9630999999999"/>
    <n v="22385.626899999999"/>
    <n v="24.49"/>
    <n v="22410.116900000001"/>
  </r>
  <r>
    <s v="5931-1"/>
    <x v="422"/>
    <x v="2"/>
    <s v="Alan Schoenberger"/>
    <s v="333-339 Enmore Rd,Marrickville"/>
    <s v="Sydney"/>
    <x v="1"/>
    <x v="1"/>
    <x v="12"/>
    <s v="Critical"/>
    <s v="Multimedia Mailers"/>
    <s v="Office Supplies"/>
    <s v="Small Box"/>
    <s v="Regular Air"/>
    <d v="2015-06-12T00:00:00"/>
    <n v="99.39"/>
    <n v="162.93"/>
    <n v="63.540000000000006"/>
    <n v="36"/>
    <n v="5865.4800000000005"/>
    <n v="0.09"/>
    <n v="527.89319999999998"/>
    <n v="5337.5868000000009"/>
    <n v="19.989999999999998"/>
    <n v="5357.5768000000007"/>
  </r>
  <r>
    <s v="5932-1"/>
    <x v="422"/>
    <x v="2"/>
    <s v="Liz MacKendrick"/>
    <s v="224A Gertrude St,Fitzroy"/>
    <s v="Melbourne"/>
    <x v="0"/>
    <x v="1"/>
    <x v="1"/>
    <s v="Low"/>
    <s v="Smiths Standard Envelopes"/>
    <s v="Office Supplies"/>
    <s v="Small Box"/>
    <s v="Regular Air"/>
    <d v="2015-06-14T00:00:00"/>
    <n v="3.52"/>
    <n v="5.68"/>
    <n v="2.1599999999999997"/>
    <n v="8"/>
    <n v="45.44"/>
    <n v="0.05"/>
    <n v="2.2719999999999998"/>
    <n v="43.167999999999999"/>
    <n v="1.39"/>
    <n v="44.558"/>
  </r>
  <r>
    <s v="5933-1"/>
    <x v="423"/>
    <x v="2"/>
    <s v="Tamara Chand"/>
    <s v="96 Liverpool St,Sydney"/>
    <s v="Sydney"/>
    <x v="1"/>
    <x v="2"/>
    <x v="6"/>
    <s v="Low"/>
    <s v="Apex Office Executive Series Stainless Steel Trimmers"/>
    <s v="Office Supplies"/>
    <s v="Small Pack"/>
    <s v="Regular Air"/>
    <d v="2015-06-11T00:00:00"/>
    <n v="3.51"/>
    <n v="8.57"/>
    <n v="5.0600000000000005"/>
    <n v="22"/>
    <n v="188.54000000000002"/>
    <n v="0.1"/>
    <n v="18.854000000000003"/>
    <n v="169.68600000000001"/>
    <n v="6.14"/>
    <n v="175.82599999999999"/>
  </r>
  <r>
    <s v="5935-1"/>
    <x v="423"/>
    <x v="2"/>
    <s v="Charles Crestani"/>
    <s v="Sydney Fish Market, Bank Street, Sydney"/>
    <s v="Sydney"/>
    <x v="1"/>
    <x v="2"/>
    <x v="4"/>
    <s v="High"/>
    <s v="Steady Pocket Accent Highlighters"/>
    <s v="Office Supplies"/>
    <s v="Wrap Bag"/>
    <s v="Express Air"/>
    <d v="2015-06-13T00:00:00"/>
    <n v="0.93"/>
    <n v="1.6"/>
    <n v="0.67"/>
    <n v="24"/>
    <n v="38.400000000000006"/>
    <n v="0.04"/>
    <n v="1.5360000000000003"/>
    <n v="36.864000000000004"/>
    <n v="1.29"/>
    <n v="38.154000000000003"/>
  </r>
  <r>
    <s v="5937-1"/>
    <x v="424"/>
    <x v="2"/>
    <s v="Rick Hansen"/>
    <s v="Macquarie Centre Cnr Herring Road &amp; Waterloo Road,Macquarie Park"/>
    <s v="Sydney"/>
    <x v="1"/>
    <x v="1"/>
    <x v="3"/>
    <s v="Not Specified"/>
    <s v="Aluminum Document Frame"/>
    <s v="Furniture"/>
    <s v="Small Pack"/>
    <s v="Regular Air"/>
    <d v="2015-06-16T00:00:00"/>
    <n v="5.5"/>
    <n v="12.22"/>
    <n v="6.7200000000000006"/>
    <n v="8"/>
    <n v="97.76"/>
    <n v="0.1"/>
    <n v="9.7760000000000016"/>
    <n v="87.984000000000009"/>
    <n v="2.85"/>
    <n v="90.834000000000003"/>
  </r>
  <r>
    <s v="5938-1"/>
    <x v="425"/>
    <x v="2"/>
    <s v="Annie Cyprus"/>
    <s v="101 Murray Street, Perth"/>
    <s v="Melbourne"/>
    <x v="0"/>
    <x v="0"/>
    <x v="1"/>
    <s v="High"/>
    <s v="Steady Liquid Accent Tank-Style Highlighters"/>
    <s v="Office Supplies"/>
    <s v="Wrap Bag"/>
    <s v="Regular Air"/>
    <d v="2015-06-15T00:00:00"/>
    <n v="1.31"/>
    <n v="2.84"/>
    <n v="1.5299999999999998"/>
    <n v="23"/>
    <n v="65.319999999999993"/>
    <n v="0.06"/>
    <n v="3.9191999999999996"/>
    <n v="61.400799999999997"/>
    <n v="0.93"/>
    <n v="62.330799999999996"/>
  </r>
  <r>
    <s v="5939-1"/>
    <x v="426"/>
    <x v="2"/>
    <s v="Richard Bierner"/>
    <s v="180 High Street,Windsor"/>
    <s v="Melbourne"/>
    <x v="0"/>
    <x v="3"/>
    <x v="1"/>
    <s v="Not Specified"/>
    <s v="Alto Parchment Paper, Assorted Colors"/>
    <s v="Office Supplies"/>
    <s v="Small Box"/>
    <s v="Regular Air"/>
    <d v="2015-06-22T00:00:00"/>
    <n v="4.59"/>
    <n v="7.28"/>
    <n v="2.6900000000000004"/>
    <n v="16"/>
    <n v="116.48"/>
    <n v="7.0000000000000007E-2"/>
    <n v="8.1536000000000008"/>
    <n v="108.32640000000001"/>
    <n v="11.15"/>
    <n v="119.47640000000001"/>
  </r>
  <r>
    <s v="5941-1"/>
    <x v="427"/>
    <x v="2"/>
    <s v="Erica Bern"/>
    <s v="10 O'Connell St,Sydney"/>
    <s v="Sydney"/>
    <x v="1"/>
    <x v="1"/>
    <x v="9"/>
    <s v="Medium"/>
    <s v="Colored Envelopes"/>
    <s v="Office Supplies"/>
    <s v="Small Box"/>
    <s v="Regular Air"/>
    <d v="2015-06-23T00:00:00"/>
    <n v="2.25"/>
    <n v="3.69"/>
    <n v="1.44"/>
    <n v="42"/>
    <n v="154.97999999999999"/>
    <n v="0.06"/>
    <n v="9.2987999999999982"/>
    <n v="145.68119999999999"/>
    <n v="2.5"/>
    <n v="148.18119999999999"/>
  </r>
  <r>
    <s v="5943-1"/>
    <x v="428"/>
    <x v="2"/>
    <s v="Denise Monton"/>
    <s v="2/797 Botany Rd,Rosebery"/>
    <s v="Sydney"/>
    <x v="1"/>
    <x v="0"/>
    <x v="6"/>
    <s v="Medium"/>
    <s v="12 Colored Short Pencils"/>
    <s v="Office Supplies"/>
    <s v="Wrap Bag"/>
    <s v="Regular Air"/>
    <d v="2015-06-25T00:00:00"/>
    <n v="1.0900000000000001"/>
    <n v="2.6"/>
    <n v="1.51"/>
    <n v="26"/>
    <n v="67.600000000000009"/>
    <n v="0.08"/>
    <n v="5.4080000000000004"/>
    <n v="62.192000000000007"/>
    <n v="2.4"/>
    <n v="64.592000000000013"/>
  </r>
  <r>
    <s v="5943-2"/>
    <x v="428"/>
    <x v="2"/>
    <s v="Denise Monton"/>
    <s v="2/797 Botany Rd,Rosebery"/>
    <s v="Sydney"/>
    <x v="1"/>
    <x v="0"/>
    <x v="6"/>
    <s v="Medium"/>
    <s v="TechSavi Cordless Navigator Duo"/>
    <s v="Technology"/>
    <s v="Small Box"/>
    <s v="Regular Air"/>
    <d v="2015-06-27T00:00:00"/>
    <n v="42.11"/>
    <n v="80.98"/>
    <n v="38.870000000000005"/>
    <n v="34"/>
    <n v="2753.32"/>
    <n v="0.02"/>
    <n v="55.066400000000002"/>
    <n v="2698.2536"/>
    <n v="7.18"/>
    <n v="2705.4335999999998"/>
  </r>
  <r>
    <s v="5944-1"/>
    <x v="428"/>
    <x v="2"/>
    <s v="Beth Paige"/>
    <s v="32/82 King Street, Perth"/>
    <s v="Sydney"/>
    <x v="1"/>
    <x v="2"/>
    <x v="8"/>
    <s v="High"/>
    <s v="Smiths General Use 3-Ring Binders"/>
    <s v="Office Supplies"/>
    <s v="Small Box"/>
    <s v="Express Air"/>
    <d v="2015-06-26T00:00:00"/>
    <n v="1.18"/>
    <n v="1.88"/>
    <n v="0.7"/>
    <n v="5"/>
    <n v="9.3999999999999986"/>
    <n v="0.08"/>
    <n v="0.75199999999999989"/>
    <n v="8.6479999999999979"/>
    <n v="1.49"/>
    <n v="10.137999999999998"/>
  </r>
  <r>
    <s v="5947-1"/>
    <x v="429"/>
    <x v="2"/>
    <s v="Stefania Perrino"/>
    <s v="180 High Street,Windsor"/>
    <s v="Melbourne"/>
    <x v="0"/>
    <x v="1"/>
    <x v="1"/>
    <s v="Medium"/>
    <s v="Artisan Hanging File Binders"/>
    <s v="Office Supplies"/>
    <s v="Small Box"/>
    <s v="Regular Air"/>
    <d v="2015-06-29T00:00:00"/>
    <n v="3.65"/>
    <n v="5.98"/>
    <n v="2.3300000000000005"/>
    <n v="50"/>
    <n v="299"/>
    <n v="0.02"/>
    <n v="5.98"/>
    <n v="293.02"/>
    <n v="1.49"/>
    <n v="294.51"/>
  </r>
  <r>
    <s v="5949-1"/>
    <x v="429"/>
    <x v="2"/>
    <s v="Arianne Irving"/>
    <s v="14 Money Street, Perth"/>
    <s v="Melbourne"/>
    <x v="0"/>
    <x v="1"/>
    <x v="1"/>
    <s v="High"/>
    <s v="Pizazz Drawing Pencil Set"/>
    <s v="Office Supplies"/>
    <s v="Wrap Bag"/>
    <s v="Regular Air"/>
    <d v="2015-06-27T00:00:00"/>
    <n v="1.53"/>
    <n v="2.78"/>
    <n v="1.2499999999999998"/>
    <n v="44"/>
    <n v="122.32"/>
    <n v="7.0000000000000007E-2"/>
    <n v="8.5624000000000002"/>
    <n v="113.7576"/>
    <n v="1.34"/>
    <n v="115.0976"/>
  </r>
  <r>
    <s v="5951-1"/>
    <x v="429"/>
    <x v="2"/>
    <s v="Lauren Leatherbury"/>
    <s v="Westfield 1 Anderson St,Chatswood"/>
    <s v="Sydney"/>
    <x v="1"/>
    <x v="1"/>
    <x v="3"/>
    <s v="Not Specified"/>
    <s v="Self-Adhesive Ring Binder Labels"/>
    <s v="Office Supplies"/>
    <s v="Small Box"/>
    <s v="Regular Air"/>
    <d v="2015-06-29T00:00:00"/>
    <n v="2.1800000000000002"/>
    <n v="3.52"/>
    <n v="1.3399999999999999"/>
    <n v="1"/>
    <n v="3.52"/>
    <n v="0.04"/>
    <n v="0.14080000000000001"/>
    <n v="3.3792"/>
    <n v="6.83"/>
    <n v="10.209199999999999"/>
  </r>
  <r>
    <s v="5952-1"/>
    <x v="430"/>
    <x v="2"/>
    <s v="Brian Dahlen"/>
    <s v="1-2/299 Sussex St,Sydney"/>
    <s v="Sydney"/>
    <x v="1"/>
    <x v="3"/>
    <x v="9"/>
    <s v="Medium"/>
    <s v="Artisan Binder Labels"/>
    <s v="Office Supplies"/>
    <s v="Small Box"/>
    <s v="Express Air"/>
    <d v="2015-06-30T00:00:00"/>
    <n v="2.4500000000000002"/>
    <n v="3.89"/>
    <n v="1.44"/>
    <n v="32"/>
    <n v="124.48"/>
    <n v="0.1"/>
    <n v="12.448"/>
    <n v="112.03200000000001"/>
    <n v="7.01"/>
    <n v="119.04200000000002"/>
  </r>
  <r>
    <s v="5955-1"/>
    <x v="430"/>
    <x v="2"/>
    <s v="Max Engle"/>
    <s v="501 George St,Sydney"/>
    <s v="Sydney"/>
    <x v="1"/>
    <x v="1"/>
    <x v="6"/>
    <s v="Not Specified"/>
    <s v="TechSavi Internet Navigator Keyboard"/>
    <s v="Technology"/>
    <s v="Small Box"/>
    <s v="Regular Air"/>
    <d v="2015-06-29T00:00:00"/>
    <n v="6.51"/>
    <n v="30.98"/>
    <n v="24.47"/>
    <n v="6"/>
    <n v="185.88"/>
    <n v="0.01"/>
    <n v="1.8588"/>
    <n v="184.02119999999999"/>
    <n v="6.5"/>
    <n v="190.52119999999999"/>
  </r>
  <r>
    <s v="5956-1"/>
    <x v="431"/>
    <x v="2"/>
    <s v="Michelle Huthwaite"/>
    <s v="155 Oxford Street,Darlinghurst"/>
    <s v="Sydney"/>
    <x v="1"/>
    <x v="0"/>
    <x v="6"/>
    <s v="Low"/>
    <s v="Artisan 474 Labels"/>
    <s v="Office Supplies"/>
    <s v="Small Box"/>
    <s v="Regular Air"/>
    <d v="2015-07-03T00:00:00"/>
    <n v="1.84"/>
    <n v="2.88"/>
    <n v="1.0399999999999998"/>
    <n v="49"/>
    <n v="141.12"/>
    <n v="0.01"/>
    <n v="1.4112"/>
    <n v="139.7088"/>
    <n v="0.99"/>
    <n v="140.69880000000001"/>
  </r>
  <r>
    <s v="5960-1"/>
    <x v="432"/>
    <x v="2"/>
    <s v="Karen Ferguson"/>
    <s v="1-2/299 Sussex St,Sydney"/>
    <s v="Sydney"/>
    <x v="1"/>
    <x v="0"/>
    <x v="9"/>
    <s v="Critical"/>
    <s v="PastelOcean Color Pencil Set"/>
    <s v="Office Supplies"/>
    <s v="Wrap Bag"/>
    <s v="Regular Air"/>
    <d v="2015-07-04T00:00:00"/>
    <n v="11.11"/>
    <n v="19.84"/>
    <n v="8.73"/>
    <n v="1"/>
    <n v="19.84"/>
    <n v="0.05"/>
    <n v="0.99199999999999999"/>
    <n v="18.847999999999999"/>
    <n v="4.0999999999999996"/>
    <n v="22.948"/>
  </r>
  <r>
    <s v="5962-1"/>
    <x v="433"/>
    <x v="2"/>
    <s v="Ralph Kennedy"/>
    <s v="53-55 Liverpool Street,Sydney"/>
    <s v="Sydney"/>
    <x v="1"/>
    <x v="1"/>
    <x v="8"/>
    <s v="Not Specified"/>
    <s v="3Max Polarizing Light Filter Sleeves"/>
    <s v="Furniture"/>
    <s v="Small Pack"/>
    <s v="Regular Air"/>
    <d v="2015-07-04T00:00:00"/>
    <n v="11.38"/>
    <n v="18.649999999999999"/>
    <n v="7.2699999999999978"/>
    <n v="44"/>
    <n v="820.59999999999991"/>
    <n v="0.03"/>
    <n v="24.617999999999995"/>
    <n v="795.98199999999997"/>
    <n v="3.77"/>
    <n v="799.75199999999995"/>
  </r>
  <r>
    <s v="5964-1"/>
    <x v="433"/>
    <x v="2"/>
    <s v="Patrick Ryan"/>
    <s v="Cnr Williams Road &amp; Lechlade Ave,South Yarra"/>
    <s v="Melbourne"/>
    <x v="0"/>
    <x v="1"/>
    <x v="0"/>
    <s v="High"/>
    <s v="Artisan Non-Stick Binders"/>
    <s v="Office Supplies"/>
    <s v="Small Box"/>
    <s v="Regular Air"/>
    <d v="2015-07-05T00:00:00"/>
    <n v="2.74"/>
    <n v="4.49"/>
    <n v="1.75"/>
    <n v="15"/>
    <n v="67.350000000000009"/>
    <n v="0.05"/>
    <n v="3.3675000000000006"/>
    <n v="63.982500000000009"/>
    <n v="1.49"/>
    <n v="65.472500000000011"/>
  </r>
  <r>
    <s v="5965-1"/>
    <x v="434"/>
    <x v="2"/>
    <s v="Larry Tron"/>
    <s v="4A Lyons St,Strathfield"/>
    <s v="Sydney"/>
    <x v="1"/>
    <x v="0"/>
    <x v="8"/>
    <s v="Critical"/>
    <s v="1726 Digital Answering Machine"/>
    <s v="Technology"/>
    <s v="Medium Box"/>
    <s v="Regular Air"/>
    <d v="2015-07-07T00:00:00"/>
    <n v="8.82"/>
    <n v="20.99"/>
    <n v="12.169999999999998"/>
    <n v="49"/>
    <n v="1028.51"/>
    <n v="0.06"/>
    <n v="61.710599999999999"/>
    <n v="966.79939999999999"/>
    <n v="4.8099999999999996"/>
    <n v="971.60939999999994"/>
  </r>
  <r>
    <s v="5967-1"/>
    <x v="435"/>
    <x v="2"/>
    <s v="Keith Dawkins"/>
    <s v="402 Argyle St,Moss Vale"/>
    <s v="Sydney"/>
    <x v="1"/>
    <x v="0"/>
    <x v="5"/>
    <s v="Not Specified"/>
    <s v="3Max Polarizing Task Lamp with Clamp Arm, Light Gray"/>
    <s v="Furniture"/>
    <s v="Large Box"/>
    <s v="Regular Air"/>
    <d v="2015-07-10T00:00:00"/>
    <n v="56.16"/>
    <n v="136.97999999999999"/>
    <n v="80.819999999999993"/>
    <n v="7"/>
    <n v="958.8599999999999"/>
    <n v="0.02"/>
    <n v="19.177199999999999"/>
    <n v="939.68279999999993"/>
    <n v="24.49"/>
    <n v="964.17279999999994"/>
  </r>
  <r>
    <s v="5968-1"/>
    <x v="436"/>
    <x v="2"/>
    <s v="Matthew Grinstein"/>
    <s v="105 Pitt St,Sydney"/>
    <s v="Sydney"/>
    <x v="1"/>
    <x v="3"/>
    <x v="10"/>
    <s v="Medium"/>
    <s v="Smiths Pushpins"/>
    <s v="Office Supplies"/>
    <s v="Wrap Bag"/>
    <s v="Regular Air"/>
    <d v="2015-07-13T00:00:00"/>
    <n v="0.94"/>
    <n v="1.88"/>
    <n v="0.94"/>
    <n v="22"/>
    <n v="41.36"/>
    <n v="7.0000000000000007E-2"/>
    <n v="2.8952000000000004"/>
    <n v="38.464799999999997"/>
    <n v="0.79"/>
    <n v="39.254799999999996"/>
  </r>
  <r>
    <s v="5969-1"/>
    <x v="437"/>
    <x v="2"/>
    <s v="Bryan Spruell"/>
    <s v="1 John Street,Waterloo"/>
    <s v="Sydney"/>
    <x v="1"/>
    <x v="0"/>
    <x v="10"/>
    <s v="Low"/>
    <s v="Brown Kraft Recycled Envelopes"/>
    <s v="Office Supplies"/>
    <s v="Small Box"/>
    <s v="Regular Air"/>
    <d v="2015-07-14T00:00:00"/>
    <n v="11.04"/>
    <n v="16.98"/>
    <n v="5.9400000000000013"/>
    <n v="1"/>
    <n v="16.98"/>
    <n v="0.03"/>
    <n v="0.50939999999999996"/>
    <n v="16.470600000000001"/>
    <n v="12.39"/>
    <n v="28.860600000000002"/>
  </r>
  <r>
    <s v="5971-1"/>
    <x v="438"/>
    <x v="2"/>
    <s v="Raymond Fair"/>
    <s v="188 Pitt Street,Sydney"/>
    <s v="Sydney"/>
    <x v="1"/>
    <x v="3"/>
    <x v="8"/>
    <s v="Low"/>
    <s v="Wirebound Message Book, 4 per Page"/>
    <s v="Office Supplies"/>
    <s v="Wrap Bag"/>
    <s v="Express Air"/>
    <d v="2015-07-19T00:00:00"/>
    <n v="3.48"/>
    <n v="5.43"/>
    <n v="1.9499999999999997"/>
    <n v="48"/>
    <n v="260.64"/>
    <n v="0.05"/>
    <n v="13.032"/>
    <n v="247.60799999999998"/>
    <n v="0.95"/>
    <n v="248.55799999999996"/>
  </r>
  <r>
    <s v="5973-1"/>
    <x v="439"/>
    <x v="2"/>
    <s v="Barry Gonzalez"/>
    <s v="1/20 Pendal Lane, Perth"/>
    <s v="Sydney"/>
    <x v="1"/>
    <x v="2"/>
    <x v="4"/>
    <s v="Low"/>
    <s v="Lumi Crayons"/>
    <s v="Office Supplies"/>
    <s v="Wrap Bag"/>
    <s v="Regular Air"/>
    <d v="2015-07-19T00:00:00"/>
    <n v="5.22"/>
    <n v="9.85"/>
    <n v="4.63"/>
    <n v="21"/>
    <n v="206.85"/>
    <n v="0.1"/>
    <n v="20.685000000000002"/>
    <n v="186.16499999999999"/>
    <n v="4.82"/>
    <n v="190.98499999999999"/>
  </r>
  <r>
    <s v="5974-1"/>
    <x v="440"/>
    <x v="2"/>
    <s v="Mike Kennedy"/>
    <s v="99 Lygon Street,East Brunswick"/>
    <s v="Melbourne"/>
    <x v="0"/>
    <x v="1"/>
    <x v="1"/>
    <s v="Low"/>
    <s v="Colored Push Pins"/>
    <s v="Office Supplies"/>
    <s v="Wrap Bag"/>
    <s v="Regular Air"/>
    <d v="2015-07-20T00:00:00"/>
    <n v="0.92"/>
    <n v="1.81"/>
    <n v="0.89"/>
    <n v="48"/>
    <n v="86.88"/>
    <n v="0.02"/>
    <n v="1.7376"/>
    <n v="85.142399999999995"/>
    <n v="1.56"/>
    <n v="86.702399999999997"/>
  </r>
  <r>
    <s v="5976-1"/>
    <x v="441"/>
    <x v="2"/>
    <s v="Barry Blumstein"/>
    <s v="3/265 Stirling Street, Perth"/>
    <s v="Sydney"/>
    <x v="1"/>
    <x v="3"/>
    <x v="6"/>
    <s v="High"/>
    <s v="Message Book, One Form per Page"/>
    <s v="Office Supplies"/>
    <s v="Wrap Bag"/>
    <s v="Regular Air"/>
    <d v="2015-07-17T00:00:00"/>
    <n v="2.41"/>
    <n v="3.71"/>
    <n v="1.2999999999999998"/>
    <n v="13"/>
    <n v="48.23"/>
    <n v="0.06"/>
    <n v="2.8937999999999997"/>
    <n v="45.336199999999998"/>
    <n v="1.93"/>
    <n v="47.266199999999998"/>
  </r>
  <r>
    <s v="5977-1"/>
    <x v="442"/>
    <x v="2"/>
    <s v="Cynthia Delaney"/>
    <s v="1/160 Anzac Parade,Kensington"/>
    <s v="Sydney"/>
    <x v="1"/>
    <x v="1"/>
    <x v="5"/>
    <s v="High"/>
    <s v="Apex Preferred Stainless Steel Scissors"/>
    <s v="Office Supplies"/>
    <s v="Small Pack"/>
    <s v="Regular Air"/>
    <d v="2015-07-20T00:00:00"/>
    <n v="2.5"/>
    <n v="5.68"/>
    <n v="3.1799999999999997"/>
    <n v="21"/>
    <n v="119.28"/>
    <n v="7.0000000000000007E-2"/>
    <n v="8.3496000000000006"/>
    <n v="110.93040000000001"/>
    <n v="3.6"/>
    <n v="114.5304"/>
  </r>
  <r>
    <s v="5978-1"/>
    <x v="442"/>
    <x v="2"/>
    <s v="Susan Vittorini"/>
    <s v="3 Carrington Road ,Box Hill"/>
    <s v="Melbourne"/>
    <x v="0"/>
    <x v="1"/>
    <x v="0"/>
    <s v="High"/>
    <s v="Artisan Poly Binder Pockets"/>
    <s v="Office Supplies"/>
    <s v="Small Box"/>
    <s v="Regular Air"/>
    <d v="2015-07-20T00:00:00"/>
    <n v="2.2599999999999998"/>
    <n v="3.58"/>
    <n v="1.3200000000000003"/>
    <n v="43"/>
    <n v="153.94"/>
    <n v="0.08"/>
    <n v="12.315200000000001"/>
    <n v="141.62479999999999"/>
    <n v="5.47"/>
    <n v="147.09479999999999"/>
  </r>
  <r>
    <s v="5980-1"/>
    <x v="443"/>
    <x v="2"/>
    <s v="Laura Armstrong"/>
    <s v="240-242 Johnston Street,Fitzroy"/>
    <s v="Melbourne"/>
    <x v="0"/>
    <x v="3"/>
    <x v="1"/>
    <s v="Medium"/>
    <s v="Binder Posts"/>
    <s v="Office Supplies"/>
    <s v="Small Box"/>
    <s v="Regular Air"/>
    <d v="2015-07-20T00:00:00"/>
    <n v="3.5"/>
    <n v="5.74"/>
    <n v="2.2400000000000002"/>
    <n v="41"/>
    <n v="235.34"/>
    <n v="0.08"/>
    <n v="18.827200000000001"/>
    <n v="216.5128"/>
    <n v="5.01"/>
    <n v="221.52279999999999"/>
  </r>
  <r>
    <s v="5982-1"/>
    <x v="444"/>
    <x v="2"/>
    <s v="Neil French"/>
    <s v="523 King St,Newtown"/>
    <s v="Sydney"/>
    <x v="1"/>
    <x v="2"/>
    <x v="9"/>
    <s v="Critical"/>
    <s v="Apex Forged Steel Scissors with Black Enamel Handles"/>
    <s v="Office Supplies"/>
    <s v="Small Pack"/>
    <s v="Regular Air"/>
    <d v="2015-07-23T00:00:00"/>
    <n v="4.0999999999999996"/>
    <n v="9.31"/>
    <n v="5.2100000000000009"/>
    <n v="26"/>
    <n v="242.06"/>
    <n v="0.06"/>
    <n v="14.5236"/>
    <n v="227.53640000000001"/>
    <n v="3.98"/>
    <n v="231.5164"/>
  </r>
  <r>
    <s v="5983-1"/>
    <x v="445"/>
    <x v="2"/>
    <s v="Magdelene Morse"/>
    <s v="53 Riley Street,Woolloomooloo"/>
    <s v="Sydney"/>
    <x v="1"/>
    <x v="0"/>
    <x v="8"/>
    <s v="Low"/>
    <s v="Adesso Programmable 142-Key Keyboard"/>
    <s v="Technology"/>
    <s v="Small Box"/>
    <s v="Regular Air"/>
    <d v="2015-07-30T00:00:00"/>
    <n v="32.020000000000003"/>
    <n v="152.47999999999999"/>
    <n v="120.45999999999998"/>
    <n v="14"/>
    <n v="2134.7199999999998"/>
    <n v="0.03"/>
    <n v="64.041599999999988"/>
    <n v="2070.6783999999998"/>
    <n v="4"/>
    <n v="2074.6783999999998"/>
  </r>
  <r>
    <s v="5984-1"/>
    <x v="445"/>
    <x v="2"/>
    <s v="Frank Atkinson"/>
    <s v="188 Pitt Street,Sydney"/>
    <s v="Sydney"/>
    <x v="1"/>
    <x v="1"/>
    <x v="8"/>
    <s v="Not Specified"/>
    <s v="Alto Memo Cubes"/>
    <s v="Office Supplies"/>
    <s v="Wrap Bag"/>
    <s v="Express Air"/>
    <d v="2015-07-24T00:00:00"/>
    <n v="3.32"/>
    <n v="5.18"/>
    <n v="1.8599999999999999"/>
    <n v="1"/>
    <n v="5.18"/>
    <n v="0"/>
    <n v="0"/>
    <n v="5.18"/>
    <n v="2.04"/>
    <n v="7.22"/>
  </r>
  <r>
    <s v="5985-1"/>
    <x v="445"/>
    <x v="2"/>
    <s v="Scott Cohen"/>
    <s v="240-242 Johnston Street,Fitzroy"/>
    <s v="Melbourne"/>
    <x v="0"/>
    <x v="2"/>
    <x v="1"/>
    <s v="Critical"/>
    <s v="Smiths General Use 3-Ring Binders"/>
    <s v="Office Supplies"/>
    <s v="Small Box"/>
    <s v="Regular Air"/>
    <d v="2015-07-24T00:00:00"/>
    <n v="1.18"/>
    <n v="1.88"/>
    <n v="0.7"/>
    <n v="8"/>
    <n v="15.04"/>
    <n v="0.05"/>
    <n v="0.752"/>
    <n v="14.287999999999998"/>
    <n v="1.49"/>
    <n v="15.777999999999999"/>
  </r>
  <r>
    <s v="5987-1"/>
    <x v="446"/>
    <x v="2"/>
    <s v="Christopher Conant"/>
    <s v="120 Hardware St,Melbourne"/>
    <s v="Melbourne"/>
    <x v="0"/>
    <x v="0"/>
    <x v="1"/>
    <s v="High"/>
    <s v="Artisan Reinforcements for Hole-Punch Pages"/>
    <s v="Office Supplies"/>
    <s v="Small Box"/>
    <s v="Regular Air"/>
    <d v="2015-07-26T00:00:00"/>
    <n v="1.19"/>
    <n v="1.98"/>
    <n v="0.79"/>
    <n v="21"/>
    <n v="41.58"/>
    <n v="0.01"/>
    <n v="0.4158"/>
    <n v="41.164200000000001"/>
    <n v="4.7699999999999996"/>
    <n v="45.934200000000004"/>
  </r>
  <r>
    <s v="5988-1"/>
    <x v="446"/>
    <x v="2"/>
    <s v="Fred Chung"/>
    <s v="81 MacLeay St,Potts Point"/>
    <s v="Sydney"/>
    <x v="1"/>
    <x v="1"/>
    <x v="6"/>
    <s v="High"/>
    <s v="Pizazz Colored Pencils"/>
    <s v="Office Supplies"/>
    <s v="Wrap Bag"/>
    <s v="Regular Air"/>
    <d v="2015-07-26T00:00:00"/>
    <n v="1.76"/>
    <n v="2.94"/>
    <n v="1.18"/>
    <n v="35"/>
    <n v="102.89999999999999"/>
    <n v="0.09"/>
    <n v="9.2609999999999992"/>
    <n v="93.638999999999996"/>
    <n v="0.81"/>
    <n v="94.448999999999998"/>
  </r>
  <r>
    <s v="5990-1"/>
    <x v="447"/>
    <x v="2"/>
    <s v="Annie Thurman"/>
    <s v="101 Murray Street, Perth"/>
    <s v="Melbourne"/>
    <x v="0"/>
    <x v="0"/>
    <x v="0"/>
    <s v="High"/>
    <s v="Adams &quot;While You Were Out&quot; Message Pads"/>
    <s v="Office Supplies"/>
    <s v="Wrap Bag"/>
    <s v="Express Air"/>
    <d v="2015-07-26T00:00:00"/>
    <n v="1.88"/>
    <n v="3.14"/>
    <n v="1.2600000000000002"/>
    <n v="43"/>
    <n v="135.02000000000001"/>
    <n v="7.0000000000000007E-2"/>
    <n v="9.4514000000000014"/>
    <n v="125.5686"/>
    <n v="1.1399999999999999"/>
    <n v="126.7086"/>
  </r>
  <r>
    <s v="5990-2"/>
    <x v="447"/>
    <x v="2"/>
    <s v="Annie Thurman"/>
    <s v="101 Murray Street, Perth"/>
    <s v="Melbourne"/>
    <x v="0"/>
    <x v="0"/>
    <x v="0"/>
    <s v="High"/>
    <s v="Barrel Sharpener"/>
    <s v="Office Supplies"/>
    <s v="Small Pack"/>
    <s v="Regular Air"/>
    <d v="2015-07-27T00:00:00"/>
    <n v="1.46"/>
    <n v="3.57"/>
    <n v="2.11"/>
    <n v="19"/>
    <n v="67.83"/>
    <n v="0.08"/>
    <n v="5.4264000000000001"/>
    <n v="62.403599999999997"/>
    <n v="4.17"/>
    <n v="66.573599999999999"/>
  </r>
  <r>
    <s v="5993-1"/>
    <x v="447"/>
    <x v="2"/>
    <s v="Greg Tran"/>
    <s v="Crown Complex,Southbank"/>
    <s v="Melbourne"/>
    <x v="0"/>
    <x v="0"/>
    <x v="0"/>
    <s v="Critical"/>
    <s v="Self-Adhesive Removable Labels"/>
    <s v="Office Supplies"/>
    <s v="Small Box"/>
    <s v="Regular Air"/>
    <d v="2015-07-28T00:00:00"/>
    <n v="1.98"/>
    <n v="3.15"/>
    <n v="1.17"/>
    <n v="17"/>
    <n v="53.55"/>
    <n v="0.05"/>
    <n v="2.6775000000000002"/>
    <n v="50.872499999999995"/>
    <n v="0.49"/>
    <n v="51.362499999999997"/>
  </r>
  <r>
    <s v="5994-1"/>
    <x v="448"/>
    <x v="2"/>
    <s v="Jack OBriant"/>
    <s v="85-113 Dunning Ave,Rosebery"/>
    <s v="Sydney"/>
    <x v="1"/>
    <x v="2"/>
    <x v="11"/>
    <s v="Medium"/>
    <s v="Alto Parchment Paper, Assorted Colors"/>
    <s v="Office Supplies"/>
    <s v="Small Box"/>
    <s v="Express Air"/>
    <d v="2015-07-27T00:00:00"/>
    <n v="4.59"/>
    <n v="7.28"/>
    <n v="2.6900000000000004"/>
    <n v="20"/>
    <n v="145.6"/>
    <n v="0.1"/>
    <n v="14.56"/>
    <n v="131.04"/>
    <n v="11.15"/>
    <n v="142.19"/>
  </r>
  <r>
    <s v="5996-1"/>
    <x v="448"/>
    <x v="2"/>
    <s v="Carl Jackson"/>
    <s v="6 Mary St,Newtown"/>
    <s v="Sydney"/>
    <x v="1"/>
    <x v="1"/>
    <x v="6"/>
    <s v="High"/>
    <s v="Angle-D Binders with Locking Rings, Label Holders"/>
    <s v="Office Supplies"/>
    <s v="Small Box"/>
    <s v="Regular Air"/>
    <d v="2015-07-26T00:00:00"/>
    <n v="4.53"/>
    <n v="7.3"/>
    <n v="2.7699999999999996"/>
    <n v="12"/>
    <n v="87.6"/>
    <n v="0.03"/>
    <n v="2.6279999999999997"/>
    <n v="84.971999999999994"/>
    <n v="7.72"/>
    <n v="92.691999999999993"/>
  </r>
  <r>
    <s v="5997-1"/>
    <x v="449"/>
    <x v="2"/>
    <s v="Michael Oakman"/>
    <s v="8 Rankins Lane ,Melbourne"/>
    <s v="Melbourne"/>
    <x v="0"/>
    <x v="3"/>
    <x v="1"/>
    <s v="Low"/>
    <s v="Binder Clips by OIC"/>
    <s v="Office Supplies"/>
    <s v="Wrap Bag"/>
    <s v="Express Air"/>
    <d v="2015-07-31T00:00:00"/>
    <n v="0.93"/>
    <n v="1.48"/>
    <n v="0.54999999999999993"/>
    <n v="37"/>
    <n v="54.76"/>
    <n v="0.04"/>
    <n v="2.1903999999999999"/>
    <n v="52.569600000000001"/>
    <n v="0.7"/>
    <n v="53.269600000000004"/>
  </r>
  <r>
    <s v="5997-2"/>
    <x v="449"/>
    <x v="2"/>
    <s v="Michael Oakman"/>
    <s v="8 Rankins Lane ,Melbourne"/>
    <s v="Melbourne"/>
    <x v="0"/>
    <x v="3"/>
    <x v="1"/>
    <s v="Low"/>
    <s v="PastelOcean Color Pencil Set"/>
    <s v="Office Supplies"/>
    <s v="Wrap Bag"/>
    <s v="Regular Air"/>
    <d v="2015-08-01T00:00:00"/>
    <n v="11.11"/>
    <n v="19.84"/>
    <n v="8.73"/>
    <n v="28"/>
    <n v="555.52"/>
    <n v="0.08"/>
    <n v="44.441600000000001"/>
    <n v="511.07839999999999"/>
    <n v="4.0999999999999996"/>
    <n v="515.17840000000001"/>
  </r>
  <r>
    <s v="6000-1"/>
    <x v="450"/>
    <x v="2"/>
    <s v="Jack Lebron"/>
    <s v="180 High Street,Windsor"/>
    <s v="Melbourne"/>
    <x v="0"/>
    <x v="1"/>
    <x v="1"/>
    <s v="High"/>
    <s v="Pizazz Drawing Pencil Set"/>
    <s v="Office Supplies"/>
    <s v="Wrap Bag"/>
    <s v="Regular Air"/>
    <d v="2015-07-31T00:00:00"/>
    <n v="1.53"/>
    <n v="2.78"/>
    <n v="1.2499999999999998"/>
    <n v="38"/>
    <n v="105.63999999999999"/>
    <n v="0.1"/>
    <n v="10.564"/>
    <n v="95.075999999999993"/>
    <n v="1.34"/>
    <n v="96.415999999999997"/>
  </r>
  <r>
    <s v="6001-1"/>
    <x v="450"/>
    <x v="2"/>
    <s v="Toby Grace"/>
    <s v="324A King St,Newtown"/>
    <s v="Sydney"/>
    <x v="1"/>
    <x v="0"/>
    <x v="11"/>
    <s v="Not Specified"/>
    <s v="TypeRight Side-Opening Peel &amp; Seel Expanding Envelopes"/>
    <s v="Office Supplies"/>
    <s v="Small Box"/>
    <s v="Regular Air"/>
    <d v="2015-07-30T00:00:00"/>
    <n v="54.29"/>
    <n v="90.48"/>
    <n v="36.190000000000005"/>
    <n v="15"/>
    <n v="1357.2"/>
    <n v="0.01"/>
    <n v="13.572000000000001"/>
    <n v="1343.6280000000002"/>
    <n v="19.989999999999998"/>
    <n v="1363.6180000000002"/>
  </r>
  <r>
    <s v="6002-1"/>
    <x v="451"/>
    <x v="2"/>
    <s v="Lycoris Saunders"/>
    <s v="501 George St,Sydney"/>
    <s v="Sydney"/>
    <x v="1"/>
    <x v="0"/>
    <x v="6"/>
    <s v="High"/>
    <s v="Artisan 487 Labels"/>
    <s v="Office Supplies"/>
    <s v="Small Box"/>
    <s v="Express Air"/>
    <d v="2015-07-31T00:00:00"/>
    <n v="2.29"/>
    <n v="3.69"/>
    <n v="1.4"/>
    <n v="48"/>
    <n v="177.12"/>
    <n v="0.1"/>
    <n v="17.712"/>
    <n v="159.40800000000002"/>
    <n v="0.5"/>
    <n v="159.90800000000002"/>
  </r>
  <r>
    <s v="6003-1"/>
    <x v="451"/>
    <x v="2"/>
    <s v="Julie Prescott"/>
    <s v="438 Victoria Avenue,Chatswood"/>
    <s v="Sydney"/>
    <x v="1"/>
    <x v="0"/>
    <x v="5"/>
    <s v="Medium"/>
    <s v="TechSavi Cordless Access Keyboard"/>
    <s v="Technology"/>
    <s v="Small Box"/>
    <s v="Express Air"/>
    <d v="2015-07-31T00:00:00"/>
    <n v="14.7"/>
    <n v="29.99"/>
    <n v="15.29"/>
    <n v="27"/>
    <n v="809.7299999999999"/>
    <n v="0.05"/>
    <n v="40.486499999999999"/>
    <n v="769.24349999999993"/>
    <n v="5.5"/>
    <n v="774.74349999999993"/>
  </r>
  <r>
    <s v="6005-1"/>
    <x v="452"/>
    <x v="2"/>
    <s v="Karl Brown"/>
    <s v="470 Anzac Parade,Kingsford"/>
    <s v="Sydney"/>
    <x v="1"/>
    <x v="0"/>
    <x v="8"/>
    <s v="Critical"/>
    <s v="TechSavi Cordless Navigator Duo"/>
    <s v="Technology"/>
    <s v="Small Box"/>
    <s v="Regular Air"/>
    <d v="2015-08-03T00:00:00"/>
    <n v="42.11"/>
    <n v="80.98"/>
    <n v="38.870000000000005"/>
    <n v="22"/>
    <n v="1781.5600000000002"/>
    <n v="0.1"/>
    <n v="178.15600000000003"/>
    <n v="1603.4040000000002"/>
    <n v="7.18"/>
    <n v="1610.5840000000003"/>
  </r>
  <r>
    <s v="6006-1"/>
    <x v="453"/>
    <x v="2"/>
    <s v="Nora Pelletier"/>
    <s v="5/250 Old Northern Road,Castle Hill"/>
    <s v="Sydney"/>
    <x v="1"/>
    <x v="0"/>
    <x v="3"/>
    <s v="Not Specified"/>
    <s v="Cando PC940 Copier"/>
    <s v="Technology"/>
    <s v="Large Box"/>
    <s v="Regular Air"/>
    <d v="2015-08-04T00:00:00"/>
    <n v="216"/>
    <n v="449.99"/>
    <n v="233.99"/>
    <n v="29"/>
    <n v="13049.710000000001"/>
    <n v="0"/>
    <n v="0"/>
    <n v="13049.710000000001"/>
    <n v="24.49"/>
    <n v="13074.2"/>
  </r>
  <r>
    <s v="6007-1"/>
    <x v="453"/>
    <x v="2"/>
    <s v="Tracy Collins"/>
    <s v="Crown Complex,Southbank"/>
    <s v="Melbourne"/>
    <x v="0"/>
    <x v="2"/>
    <x v="1"/>
    <s v="Not Specified"/>
    <s v="Xit Blank Computer Paper"/>
    <s v="Office Supplies"/>
    <s v="Small Box"/>
    <s v="Regular Air"/>
    <d v="2015-08-04T00:00:00"/>
    <n v="12.39"/>
    <n v="19.98"/>
    <n v="7.59"/>
    <n v="44"/>
    <n v="879.12"/>
    <n v="7.0000000000000007E-2"/>
    <n v="61.538400000000003"/>
    <n v="817.58159999999998"/>
    <n v="5.77"/>
    <n v="823.35159999999996"/>
  </r>
  <r>
    <s v="6009-1"/>
    <x v="454"/>
    <x v="2"/>
    <s v="Dave Hallsten"/>
    <s v="1 John St,Waterloo"/>
    <s v="Sydney"/>
    <x v="1"/>
    <x v="1"/>
    <x v="10"/>
    <s v="Low"/>
    <s v="Economy Binders"/>
    <s v="Office Supplies"/>
    <s v="Small Box"/>
    <s v="Regular Air"/>
    <d v="2015-08-08T00:00:00"/>
    <n v="1.33"/>
    <n v="2.08"/>
    <n v="0.75"/>
    <n v="20"/>
    <n v="41.6"/>
    <n v="0.1"/>
    <n v="4.16"/>
    <n v="37.44"/>
    <n v="1.49"/>
    <n v="38.93"/>
  </r>
  <r>
    <s v="6011-1"/>
    <x v="455"/>
    <x v="2"/>
    <s v="Astrea Jones"/>
    <s v="3/265 Stirling Street, Perth"/>
    <s v="Sydney"/>
    <x v="1"/>
    <x v="1"/>
    <x v="2"/>
    <s v="Critical"/>
    <s v="Unpadded Memo Slips"/>
    <s v="Office Supplies"/>
    <s v="Wrap Bag"/>
    <s v="Regular Air"/>
    <d v="2015-08-08T00:00:00"/>
    <n v="2.59"/>
    <n v="3.98"/>
    <n v="1.3900000000000001"/>
    <n v="16"/>
    <n v="63.68"/>
    <n v="0.09"/>
    <n v="5.7311999999999994"/>
    <n v="57.948799999999999"/>
    <n v="2.97"/>
    <n v="60.918799999999997"/>
  </r>
  <r>
    <s v="6012-1"/>
    <x v="456"/>
    <x v="2"/>
    <s v="Tanja Norvell"/>
    <s v="541 Church St,Richmond"/>
    <s v="Melbourne"/>
    <x v="0"/>
    <x v="1"/>
    <x v="0"/>
    <s v="High"/>
    <s v="Artisan Printable Repositionable Plastic Tabs"/>
    <s v="Office Supplies"/>
    <s v="Small Box"/>
    <s v="Express Air"/>
    <d v="2015-08-09T00:00:00"/>
    <n v="5.33"/>
    <n v="8.6"/>
    <n v="3.2699999999999996"/>
    <n v="15"/>
    <n v="129"/>
    <n v="0.04"/>
    <n v="5.16"/>
    <n v="123.84"/>
    <n v="6.19"/>
    <n v="130.03"/>
  </r>
  <r>
    <s v="6014-1"/>
    <x v="457"/>
    <x v="2"/>
    <s v="Nora Price"/>
    <s v="7 Khartoum Rd,Macquarie Park"/>
    <s v="Sydney"/>
    <x v="1"/>
    <x v="3"/>
    <x v="12"/>
    <s v="Not Specified"/>
    <s v="Alto 3-Hole Punch"/>
    <s v="Office Supplies"/>
    <s v="Small Box"/>
    <s v="Regular Air"/>
    <d v="2015-08-11T00:00:00"/>
    <n v="2.76"/>
    <n v="4.38"/>
    <n v="1.62"/>
    <n v="24"/>
    <n v="105.12"/>
    <n v="0.02"/>
    <n v="2.1024000000000003"/>
    <n v="103.0176"/>
    <n v="6.21"/>
    <n v="109.2276"/>
  </r>
  <r>
    <s v="6014-2"/>
    <x v="457"/>
    <x v="2"/>
    <s v="Nora Price"/>
    <s v="7 Khartoum Rd,Macquarie Park"/>
    <s v="Sydney"/>
    <x v="1"/>
    <x v="3"/>
    <x v="12"/>
    <s v="Not Specified"/>
    <s v="Apex Forged Steel Scissors with Black Enamel Handles"/>
    <s v="Office Supplies"/>
    <s v="Small Pack"/>
    <s v="Regular Air"/>
    <d v="2015-08-13T00:00:00"/>
    <n v="4.0999999999999996"/>
    <n v="9.31"/>
    <n v="5.2100000000000009"/>
    <n v="30"/>
    <n v="279.3"/>
    <n v="0.03"/>
    <n v="8.3789999999999996"/>
    <n v="270.92099999999999"/>
    <n v="3.98"/>
    <n v="274.90100000000001"/>
  </r>
  <r>
    <s v="6017-1"/>
    <x v="458"/>
    <x v="2"/>
    <s v="Raymond Book"/>
    <s v="Shop 1, 186-190 Church Street,Parramatta;46a Macleay Street,Potts Point"/>
    <s v="Sydney"/>
    <x v="1"/>
    <x v="2"/>
    <x v="11"/>
    <s v="High"/>
    <s v="HFX LaserJet 3310 Copier"/>
    <s v="Technology"/>
    <s v="Large Box"/>
    <s v="Regular Air"/>
    <d v="2015-08-12T00:00:00"/>
    <n v="377.99"/>
    <n v="599.99"/>
    <n v="222"/>
    <n v="46"/>
    <n v="27599.54"/>
    <n v="7.0000000000000007E-2"/>
    <n v="1931.9678000000004"/>
    <n v="25667.572200000002"/>
    <n v="24.49"/>
    <n v="25692.062200000004"/>
  </r>
  <r>
    <s v="6019-1"/>
    <x v="458"/>
    <x v="2"/>
    <s v="Christine Sundaresam"/>
    <s v="7 Khartoum Rd,Macquarie Park"/>
    <s v="Sydney"/>
    <x v="1"/>
    <x v="3"/>
    <x v="12"/>
    <s v="High"/>
    <s v="Pizazz Colored Pencils"/>
    <s v="Office Supplies"/>
    <s v="Wrap Bag"/>
    <s v="Regular Air"/>
    <d v="2015-08-14T00:00:00"/>
    <n v="1.76"/>
    <n v="2.94"/>
    <n v="1.18"/>
    <n v="39"/>
    <n v="114.66"/>
    <n v="0.04"/>
    <n v="4.5864000000000003"/>
    <n v="110.0736"/>
    <n v="0.81"/>
    <n v="110.8836"/>
  </r>
  <r>
    <s v="6021-1"/>
    <x v="458"/>
    <x v="2"/>
    <s v="Steve Carroll"/>
    <s v="Macquarie Centre Cnr Herring Road &amp; Waterloo Road,Macquarie Park"/>
    <s v="Sydney"/>
    <x v="1"/>
    <x v="2"/>
    <x v="3"/>
    <s v="High"/>
    <s v="TechSavi Access Keyboard"/>
    <s v="Technology"/>
    <s v="Small Box"/>
    <s v="Express Air"/>
    <d v="2015-08-12T00:00:00"/>
    <n v="10.07"/>
    <n v="15.98"/>
    <n v="5.91"/>
    <n v="7"/>
    <n v="111.86"/>
    <n v="0.04"/>
    <n v="4.4744000000000002"/>
    <n v="107.3856"/>
    <n v="4"/>
    <n v="111.3856"/>
  </r>
  <r>
    <s v="6023-1"/>
    <x v="459"/>
    <x v="2"/>
    <s v="Grant Carroll"/>
    <s v="10 O'Connell St,Sydney"/>
    <s v="Sydney"/>
    <x v="1"/>
    <x v="1"/>
    <x v="9"/>
    <s v="Not Specified"/>
    <s v="TechSavi Internet Navigator Keyboard"/>
    <s v="Technology"/>
    <s v="Small Box"/>
    <s v="Regular Air"/>
    <d v="2015-08-15T00:00:00"/>
    <n v="6.51"/>
    <n v="30.98"/>
    <n v="24.47"/>
    <n v="8"/>
    <n v="247.84"/>
    <n v="0.06"/>
    <n v="14.8704"/>
    <n v="232.96960000000001"/>
    <n v="6.5"/>
    <n v="239.46960000000001"/>
  </r>
  <r>
    <s v="6025-1"/>
    <x v="460"/>
    <x v="2"/>
    <s v="Nona Balk"/>
    <s v="120 Hardware St,Melbourne"/>
    <s v="Melbourne"/>
    <x v="0"/>
    <x v="1"/>
    <x v="1"/>
    <s v="Medium"/>
    <s v="Steady Major Accent Highlighters"/>
    <s v="Office Supplies"/>
    <s v="Wrap Bag"/>
    <s v="Regular Air"/>
    <d v="2015-08-16T00:00:00"/>
    <n v="3.75"/>
    <n v="7.08"/>
    <n v="3.33"/>
    <n v="48"/>
    <n v="339.84000000000003"/>
    <n v="0.03"/>
    <n v="10.1952"/>
    <n v="329.64480000000003"/>
    <n v="2.35"/>
    <n v="331.99480000000005"/>
  </r>
  <r>
    <s v="6027-1"/>
    <x v="461"/>
    <x v="2"/>
    <s v="Jim Kriz"/>
    <s v="85-113 Dunning Ave,Roseberry"/>
    <s v="Sydney"/>
    <x v="1"/>
    <x v="2"/>
    <x v="11"/>
    <s v="High"/>
    <s v="Binder Posts"/>
    <s v="Office Supplies"/>
    <s v="Small Box"/>
    <s v="Express Air"/>
    <d v="2015-08-17T00:00:00"/>
    <n v="3.5"/>
    <n v="5.74"/>
    <n v="2.2400000000000002"/>
    <n v="32"/>
    <n v="183.68"/>
    <n v="0.08"/>
    <n v="14.694400000000002"/>
    <n v="168.98560000000001"/>
    <n v="5.01"/>
    <n v="173.9956"/>
  </r>
  <r>
    <s v="6029-1"/>
    <x v="462"/>
    <x v="2"/>
    <s v="Nora Pelletier"/>
    <s v="5/250 Old Northern Road,Castle Hill"/>
    <s v="Sydney"/>
    <x v="1"/>
    <x v="0"/>
    <x v="3"/>
    <s v="Not Specified"/>
    <s v="Self-Adhesive Ring Binder Labels"/>
    <s v="Office Supplies"/>
    <s v="Small Box"/>
    <s v="Regular Air"/>
    <d v="2015-08-23T00:00:00"/>
    <n v="2.1800000000000002"/>
    <n v="3.52"/>
    <n v="1.3399999999999999"/>
    <n v="38"/>
    <n v="133.76"/>
    <n v="0.09"/>
    <n v="12.038399999999999"/>
    <n v="121.7216"/>
    <n v="6.83"/>
    <n v="128.55160000000001"/>
  </r>
  <r>
    <s v="6030-1"/>
    <x v="463"/>
    <x v="2"/>
    <s v="Bryan Spruell"/>
    <s v="1 John Street,Waterloo"/>
    <s v="Sydney"/>
    <x v="1"/>
    <x v="0"/>
    <x v="10"/>
    <s v="Low"/>
    <s v="TechSavi Access Keyboard"/>
    <s v="Technology"/>
    <s v="Small Box"/>
    <s v="Regular Air"/>
    <d v="2015-08-27T00:00:00"/>
    <n v="10.07"/>
    <n v="15.98"/>
    <n v="5.91"/>
    <n v="6"/>
    <n v="95.88"/>
    <n v="0.1"/>
    <n v="9.5879999999999992"/>
    <n v="86.292000000000002"/>
    <n v="4"/>
    <n v="90.292000000000002"/>
  </r>
  <r>
    <s v="6032-1"/>
    <x v="464"/>
    <x v="2"/>
    <s v="Fred McMath"/>
    <s v="10 Bligh St,Melbourne"/>
    <s v="Melbourne"/>
    <x v="0"/>
    <x v="3"/>
    <x v="0"/>
    <s v="Low"/>
    <s v="Alto Six-Outlet Power Strip, 4 Cord Length"/>
    <s v="Office Supplies"/>
    <s v="Small Box"/>
    <s v="Express Air"/>
    <d v="2015-08-30T00:00:00"/>
    <n v="3.53"/>
    <n v="8.6199999999999992"/>
    <n v="5.09"/>
    <n v="8"/>
    <n v="68.959999999999994"/>
    <n v="0"/>
    <n v="0"/>
    <n v="68.959999999999994"/>
    <n v="4.5"/>
    <n v="73.459999999999994"/>
  </r>
  <r>
    <s v="6034-1"/>
    <x v="465"/>
    <x v="2"/>
    <s v="Alejandro Ballentine"/>
    <s v="412 Brunswick St,Fitzroy"/>
    <s v="Melbourne"/>
    <x v="0"/>
    <x v="3"/>
    <x v="1"/>
    <s v="High"/>
    <s v="24 Capacity Maxi Data Binder Racks, Pearl"/>
    <s v="Office Supplies"/>
    <s v="Small Box"/>
    <s v="Express Air"/>
    <d v="2015-08-25T00:00:00"/>
    <n v="84.22"/>
    <n v="210.55"/>
    <n v="126.33000000000001"/>
    <n v="2"/>
    <n v="421.1"/>
    <n v="0.05"/>
    <n v="21.055000000000003"/>
    <n v="400.04500000000002"/>
    <n v="9.99"/>
    <n v="410.03500000000003"/>
  </r>
  <r>
    <s v="6036-1"/>
    <x v="465"/>
    <x v="2"/>
    <s v="Eleni McCrary"/>
    <s v="79 Elliott St,Balmain"/>
    <s v="Sydney"/>
    <x v="1"/>
    <x v="1"/>
    <x v="9"/>
    <s v="Low"/>
    <s v="Creator Anti Dust Chalk, 12/Pack"/>
    <s v="Office Supplies"/>
    <s v="Wrap Bag"/>
    <s v="Regular Air"/>
    <d v="2015-08-28T00:00:00"/>
    <n v="1.0900000000000001"/>
    <n v="1.82"/>
    <n v="0.73"/>
    <n v="42"/>
    <n v="76.44"/>
    <n v="0.08"/>
    <n v="6.1151999999999997"/>
    <n v="70.324799999999996"/>
    <n v="1"/>
    <n v="71.324799999999996"/>
  </r>
  <r>
    <s v="6037-1"/>
    <x v="465"/>
    <x v="2"/>
    <s v="Dan Campbell"/>
    <s v="1/173-179 Bronte Rd,Waverley"/>
    <s v="Sydney"/>
    <x v="1"/>
    <x v="3"/>
    <x v="2"/>
    <s v="Critical"/>
    <s v="Steady 52201 APSCO Electric Pencil Sharpener"/>
    <s v="Office Supplies"/>
    <s v="Small Pack"/>
    <s v="Regular Air"/>
    <d v="2015-08-26T00:00:00"/>
    <n v="16.8"/>
    <n v="40.97"/>
    <n v="24.169999999999998"/>
    <n v="28"/>
    <n v="1147.1599999999999"/>
    <n v="0.04"/>
    <n v="45.886399999999995"/>
    <n v="1101.2735999999998"/>
    <n v="8.99"/>
    <n v="1110.2635999999998"/>
  </r>
  <r>
    <s v="6038-1"/>
    <x v="466"/>
    <x v="2"/>
    <s v="Kelly Williams"/>
    <s v="499-501 Lygon Street,Carlton North"/>
    <s v="Melbourne"/>
    <x v="0"/>
    <x v="1"/>
    <x v="0"/>
    <s v="Medium"/>
    <s v="Airmail Envelopes"/>
    <s v="Office Supplies"/>
    <s v="Small Box"/>
    <s v="Regular Air"/>
    <d v="2015-08-28T00:00:00"/>
    <n v="52.04"/>
    <n v="83.93"/>
    <n v="31.890000000000008"/>
    <n v="3"/>
    <n v="251.79000000000002"/>
    <n v="0"/>
    <n v="0"/>
    <n v="251.79000000000002"/>
    <n v="19.989999999999998"/>
    <n v="271.78000000000003"/>
  </r>
  <r>
    <s v="6039-1"/>
    <x v="466"/>
    <x v="2"/>
    <s v="Edward Becker"/>
    <s v="501 George St,Sydney"/>
    <s v="Sydney"/>
    <x v="1"/>
    <x v="1"/>
    <x v="6"/>
    <s v="Not Specified"/>
    <s v="Artisan 487 Labels"/>
    <s v="Office Supplies"/>
    <s v="Small Box"/>
    <s v="Regular Air"/>
    <d v="2015-08-27T00:00:00"/>
    <n v="2.29"/>
    <n v="3.69"/>
    <n v="1.4"/>
    <n v="39"/>
    <n v="143.91"/>
    <n v="0.03"/>
    <n v="4.3172999999999995"/>
    <n v="139.59270000000001"/>
    <n v="0.5"/>
    <n v="140.09270000000001"/>
  </r>
  <r>
    <s v="6042-1"/>
    <x v="467"/>
    <x v="2"/>
    <s v="Phillip Flathmann"/>
    <s v="Macquarie Centre Cnr Herring Road &amp; Waterloo Road,Macquarie Park"/>
    <s v="Sydney"/>
    <x v="1"/>
    <x v="3"/>
    <x v="3"/>
    <s v="Critical"/>
    <s v="Artisan 481 Labels"/>
    <s v="Office Supplies"/>
    <s v="Small Box"/>
    <s v="Regular Air"/>
    <d v="2015-08-30T00:00:00"/>
    <n v="1.94"/>
    <n v="3.08"/>
    <n v="1.1400000000000001"/>
    <n v="6"/>
    <n v="18.48"/>
    <n v="0.02"/>
    <n v="0.36960000000000004"/>
    <n v="18.110400000000002"/>
    <n v="0.99"/>
    <n v="19.1004"/>
  </r>
  <r>
    <s v="6044-1"/>
    <x v="468"/>
    <x v="2"/>
    <s v="Maxwell Schwartz"/>
    <s v="3 Orwell St,Potts Point"/>
    <s v="Sydney"/>
    <x v="1"/>
    <x v="1"/>
    <x v="2"/>
    <s v="Medium"/>
    <s v="600 Series Flip"/>
    <s v="Technology"/>
    <s v="Small Box"/>
    <s v="Regular Air"/>
    <d v="2015-09-01T00:00:00"/>
    <n v="41.28"/>
    <n v="95.99"/>
    <n v="54.709999999999994"/>
    <n v="26"/>
    <n v="2495.7399999999998"/>
    <n v="0.02"/>
    <n v="49.9148"/>
    <n v="2445.8251999999998"/>
    <n v="8.99"/>
    <n v="2454.8151999999995"/>
  </r>
  <r>
    <s v="6046-1"/>
    <x v="469"/>
    <x v="2"/>
    <s v="Sally Knutson"/>
    <s v="32/82 King Street"/>
    <s v="Perth"/>
    <x v="2"/>
    <x v="2"/>
    <x v="11"/>
    <s v="Low"/>
    <s v="3Max Organizer Strips"/>
    <s v="Office Supplies"/>
    <s v="Small Box"/>
    <s v="Regular Air"/>
    <d v="2015-08-31T00:00:00"/>
    <n v="3.4"/>
    <n v="5.4"/>
    <n v="2.0000000000000004"/>
    <n v="14"/>
    <n v="75.600000000000009"/>
    <n v="0.02"/>
    <n v="1.5120000000000002"/>
    <n v="74.088000000000008"/>
    <n v="7.78"/>
    <n v="81.868000000000009"/>
  </r>
  <r>
    <s v="6048-1"/>
    <x v="469"/>
    <x v="2"/>
    <s v="Larry Hughes"/>
    <s v="541 Church St,Richmond"/>
    <s v="Melbourne"/>
    <x v="0"/>
    <x v="0"/>
    <x v="0"/>
    <s v="Critical"/>
    <s v="Beekin 6 Outlet Metallic Surge Strip"/>
    <s v="Office Supplies"/>
    <s v="Small Box"/>
    <s v="Regular Air"/>
    <d v="2015-09-01T00:00:00"/>
    <n v="4.46"/>
    <n v="10.89"/>
    <n v="6.4300000000000006"/>
    <n v="50"/>
    <n v="544.5"/>
    <n v="0.09"/>
    <n v="49.004999999999995"/>
    <n v="495.495"/>
    <n v="4.5"/>
    <n v="499.995"/>
  </r>
  <r>
    <s v="6050-1"/>
    <x v="470"/>
    <x v="2"/>
    <s v="Giulietta Baptist"/>
    <s v="Hoyts Entertainment Quarter 122 Lang Road,Moore Park"/>
    <s v="Sydney"/>
    <x v="1"/>
    <x v="0"/>
    <x v="8"/>
    <s v="Medium"/>
    <s v="TechSavi Cordless Elite Duo"/>
    <s v="Technology"/>
    <s v="Small Box"/>
    <s v="Regular Air"/>
    <d v="2015-09-05T00:00:00"/>
    <n v="60.59"/>
    <n v="100.98"/>
    <n v="40.39"/>
    <n v="9"/>
    <n v="908.82"/>
    <n v="0.1"/>
    <n v="90.882000000000005"/>
    <n v="817.9380000000001"/>
    <n v="7.18"/>
    <n v="825.11800000000005"/>
  </r>
  <r>
    <s v="6052-1"/>
    <x v="470"/>
    <x v="2"/>
    <s v="Cindy Stewart"/>
    <s v="1/173-179 Bronte Rd,Waverley"/>
    <s v="Sydney"/>
    <x v="1"/>
    <x v="1"/>
    <x v="2"/>
    <s v="Medium"/>
    <s v="UGen Ultra Professional Cordless Optical Suite"/>
    <s v="Technology"/>
    <s v="Small Box"/>
    <s v="Regular Air"/>
    <d v="2015-09-04T00:00:00"/>
    <n v="156.5"/>
    <n v="300.97000000000003"/>
    <n v="144.47000000000003"/>
    <n v="20"/>
    <n v="6019.4000000000005"/>
    <n v="0.05"/>
    <n v="300.97000000000003"/>
    <n v="5718.43"/>
    <n v="7.18"/>
    <n v="5725.6100000000006"/>
  </r>
  <r>
    <s v="6054-1"/>
    <x v="471"/>
    <x v="2"/>
    <s v="Grant Thornton"/>
    <s v="98 Holdsworth Street,Woollahra"/>
    <s v="Sydney"/>
    <x v="1"/>
    <x v="1"/>
    <x v="5"/>
    <s v="Low"/>
    <s v="Beekin 6 Outlet Metallic Surge Strip"/>
    <s v="Office Supplies"/>
    <s v="Small Box"/>
    <s v="Regular Air"/>
    <d v="2015-09-07T00:00:00"/>
    <n v="4.46"/>
    <n v="10.89"/>
    <n v="6.4300000000000006"/>
    <n v="3"/>
    <n v="32.67"/>
    <n v="0.08"/>
    <n v="2.6136000000000004"/>
    <n v="30.0564"/>
    <n v="4.5"/>
    <n v="34.556399999999996"/>
  </r>
  <r>
    <s v="6056-1"/>
    <x v="472"/>
    <x v="2"/>
    <s v="Victor Price"/>
    <s v="180 High Street,Windsor"/>
    <s v="Melbourne"/>
    <x v="0"/>
    <x v="2"/>
    <x v="1"/>
    <s v="Medium"/>
    <s v="Cando S750 Color Inkjet Printer"/>
    <s v="Technology"/>
    <s v="Jumbo Drum"/>
    <s v="Delivery Truck"/>
    <d v="2015-09-06T00:00:00"/>
    <n v="75"/>
    <n v="120.97"/>
    <n v="45.97"/>
    <n v="46"/>
    <n v="5564.62"/>
    <n v="7.0000000000000007E-2"/>
    <n v="389.52340000000004"/>
    <n v="5175.0965999999999"/>
    <n v="26.3"/>
    <n v="5201.3966"/>
  </r>
  <r>
    <s v="6057-1"/>
    <x v="473"/>
    <x v="2"/>
    <s v="Roy Collins"/>
    <s v="6 Brookman Street"/>
    <s v="Perth"/>
    <x v="2"/>
    <x v="1"/>
    <x v="5"/>
    <s v="Critical"/>
    <s v="TechSavi Cordless Elite Duo"/>
    <s v="Technology"/>
    <s v="Small Box"/>
    <s v="Regular Air"/>
    <d v="2015-09-07T00:00:00"/>
    <n v="60.59"/>
    <n v="100.98"/>
    <n v="40.39"/>
    <n v="44"/>
    <n v="4443.12"/>
    <n v="0.09"/>
    <n v="399.88079999999997"/>
    <n v="4043.2392"/>
    <n v="7.18"/>
    <n v="4050.4191999999998"/>
  </r>
  <r>
    <s v="6058-1"/>
    <x v="474"/>
    <x v="2"/>
    <s v="Naresj Patel"/>
    <s v="106 Ebley Street,Bondi Junction"/>
    <s v="Sydney"/>
    <x v="1"/>
    <x v="3"/>
    <x v="2"/>
    <s v="High"/>
    <s v="Smiths SlimLine Pencil Sharpener"/>
    <s v="Office Supplies"/>
    <s v="Small Pack"/>
    <s v="Regular Air"/>
    <d v="2015-09-09T00:00:00"/>
    <n v="4.79"/>
    <n v="11.97"/>
    <n v="7.1800000000000006"/>
    <n v="48"/>
    <n v="574.56000000000006"/>
    <n v="0.02"/>
    <n v="11.491200000000001"/>
    <n v="563.06880000000001"/>
    <n v="5.81"/>
    <n v="568.87879999999996"/>
  </r>
  <r>
    <s v="6059-1"/>
    <x v="475"/>
    <x v="2"/>
    <s v="Beth Thompson"/>
    <s v="101 Murray Street, Perth"/>
    <s v="Sydney"/>
    <x v="1"/>
    <x v="1"/>
    <x v="11"/>
    <s v="High"/>
    <s v="Alto Memo Cubes"/>
    <s v="Office Supplies"/>
    <s v="Wrap Bag"/>
    <s v="Regular Air"/>
    <d v="2015-09-10T00:00:00"/>
    <n v="3.32"/>
    <n v="5.18"/>
    <n v="1.8599999999999999"/>
    <n v="20"/>
    <n v="103.6"/>
    <n v="0.06"/>
    <n v="6.2159999999999993"/>
    <n v="97.384"/>
    <n v="2.04"/>
    <n v="99.424000000000007"/>
  </r>
  <r>
    <s v="6061-1"/>
    <x v="475"/>
    <x v="2"/>
    <s v="Laura Armstrong"/>
    <s v="240-242 Johnston Street,Fitzroy"/>
    <s v="Melbourne"/>
    <x v="0"/>
    <x v="3"/>
    <x v="1"/>
    <s v="High"/>
    <s v="Bagged Rubber Bands"/>
    <s v="Office Supplies"/>
    <s v="Wrap Bag"/>
    <s v="Regular Air"/>
    <d v="2015-09-10T00:00:00"/>
    <n v="0.24"/>
    <n v="1.26"/>
    <n v="1.02"/>
    <n v="31"/>
    <n v="39.06"/>
    <n v="0.06"/>
    <n v="2.3435999999999999"/>
    <n v="36.7164"/>
    <n v="0.7"/>
    <n v="37.416400000000003"/>
  </r>
  <r>
    <s v="6063-1"/>
    <x v="476"/>
    <x v="2"/>
    <s v="Luke Weiss"/>
    <s v="88 Oxford St,Woollahra"/>
    <s v="Sydney"/>
    <x v="1"/>
    <x v="1"/>
    <x v="10"/>
    <s v="Critical"/>
    <s v="Colored Envelopes"/>
    <s v="Office Supplies"/>
    <s v="Small Box"/>
    <s v="Express Air"/>
    <d v="2015-09-11T00:00:00"/>
    <n v="2.25"/>
    <n v="3.69"/>
    <n v="1.44"/>
    <n v="23"/>
    <n v="84.87"/>
    <n v="0.02"/>
    <n v="1.6974"/>
    <n v="83.172600000000003"/>
    <n v="2.5"/>
    <n v="85.672600000000003"/>
  </r>
  <r>
    <s v="6065-1"/>
    <x v="477"/>
    <x v="2"/>
    <s v="Cyra Reiten"/>
    <s v="Westfield 1 Anderson St,Chatswood"/>
    <s v="Sydney"/>
    <x v="1"/>
    <x v="2"/>
    <x v="3"/>
    <s v="Not Specified"/>
    <s v="Pizazz Colored Pencils"/>
    <s v="Office Supplies"/>
    <s v="Wrap Bag"/>
    <s v="Express Air"/>
    <d v="2015-09-11T00:00:00"/>
    <n v="1.76"/>
    <n v="2.94"/>
    <n v="1.18"/>
    <n v="47"/>
    <n v="138.18"/>
    <n v="0.04"/>
    <n v="5.5272000000000006"/>
    <n v="132.65280000000001"/>
    <n v="0.81"/>
    <n v="133.46280000000002"/>
  </r>
  <r>
    <s v="6066-1"/>
    <x v="478"/>
    <x v="2"/>
    <s v="Bobby Elias"/>
    <s v="37/59 Brewer Street, Perth"/>
    <s v="Melbourne"/>
    <x v="0"/>
    <x v="3"/>
    <x v="1"/>
    <s v="Not Specified"/>
    <s v="Assorted Color Push Pins"/>
    <s v="Office Supplies"/>
    <s v="Wrap Bag"/>
    <s v="Regular Air"/>
    <d v="2015-09-13T00:00:00"/>
    <n v="0.87"/>
    <n v="1.81"/>
    <n v="0.94000000000000006"/>
    <n v="6"/>
    <n v="10.86"/>
    <n v="7.0000000000000007E-2"/>
    <n v="0.76019999999999999"/>
    <n v="10.0998"/>
    <n v="0.75"/>
    <n v="10.8498"/>
  </r>
  <r>
    <s v="6067-1"/>
    <x v="479"/>
    <x v="2"/>
    <s v="Ricardo Emerson"/>
    <s v="Westfield Sydney,Sydney"/>
    <s v="Sydney"/>
    <x v="1"/>
    <x v="1"/>
    <x v="5"/>
    <s v="Critical"/>
    <s v="Binder Clips by OIC"/>
    <s v="Office Supplies"/>
    <s v="Wrap Bag"/>
    <s v="Regular Air"/>
    <d v="2015-09-17T00:00:00"/>
    <n v="0.93"/>
    <n v="1.48"/>
    <n v="0.54999999999999993"/>
    <n v="1"/>
    <n v="1.48"/>
    <n v="0.01"/>
    <n v="1.4800000000000001E-2"/>
    <n v="1.4652000000000001"/>
    <n v="0.7"/>
    <n v="2.1652"/>
  </r>
  <r>
    <s v="6068-1"/>
    <x v="480"/>
    <x v="2"/>
    <s v="Mitch Webber"/>
    <s v="Hoyts Entertainment Quarter 122 Lang Road,Moore Park"/>
    <s v="Sydney"/>
    <x v="1"/>
    <x v="1"/>
    <x v="8"/>
    <s v="Low"/>
    <s v="Apex Office Executive Series Stainless Steel Trimmers"/>
    <s v="Office Supplies"/>
    <s v="Small Pack"/>
    <s v="Express Air"/>
    <d v="2015-09-21T00:00:00"/>
    <n v="3.51"/>
    <n v="8.57"/>
    <n v="5.0600000000000005"/>
    <n v="49"/>
    <n v="419.93"/>
    <n v="0.01"/>
    <n v="4.1993"/>
    <n v="415.73070000000001"/>
    <n v="6.14"/>
    <n v="421.8707"/>
  </r>
  <r>
    <s v="6070-1"/>
    <x v="481"/>
    <x v="2"/>
    <s v="Naresj Patel"/>
    <s v="106 Ebley Street,Bondi Junction"/>
    <s v="Sydney"/>
    <x v="1"/>
    <x v="3"/>
    <x v="2"/>
    <s v="Not Specified"/>
    <s v="Smiths Gold Paper Clips"/>
    <s v="Office Supplies"/>
    <s v="Wrap Bag"/>
    <s v="Regular Air"/>
    <d v="2015-09-17T00:00:00"/>
    <n v="1.82"/>
    <n v="2.98"/>
    <n v="1.1599999999999999"/>
    <n v="3"/>
    <n v="8.94"/>
    <n v="0.04"/>
    <n v="0.35759999999999997"/>
    <n v="8.5823999999999998"/>
    <n v="1.58"/>
    <n v="10.1624"/>
  </r>
  <r>
    <s v="6071-1"/>
    <x v="482"/>
    <x v="2"/>
    <s v="Denise Leinenbach"/>
    <s v="8 Rankins Lane ,Melbourne"/>
    <s v="Melbourne"/>
    <x v="0"/>
    <x v="0"/>
    <x v="1"/>
    <s v="Not Specified"/>
    <s v="Artisan Legal 4-Ring Binder"/>
    <s v="Office Supplies"/>
    <s v="Small Box"/>
    <s v="Regular Air"/>
    <d v="2015-09-26T00:00:00"/>
    <n v="13.64"/>
    <n v="20.98"/>
    <n v="7.34"/>
    <n v="10"/>
    <n v="209.8"/>
    <n v="0.06"/>
    <n v="12.588000000000001"/>
    <n v="197.21200000000002"/>
    <n v="1.49"/>
    <n v="198.70200000000003"/>
  </r>
  <r>
    <s v="6072-1"/>
    <x v="482"/>
    <x v="2"/>
    <s v="Roy Phan"/>
    <s v="506 Swan Street,Richmond"/>
    <s v="Melbourne"/>
    <x v="0"/>
    <x v="1"/>
    <x v="1"/>
    <s v="Critical"/>
    <s v="Self-Adhesive Ring Binder Labels"/>
    <s v="Office Supplies"/>
    <s v="Small Box"/>
    <s v="Regular Air"/>
    <d v="2015-09-27T00:00:00"/>
    <n v="2.1800000000000002"/>
    <n v="3.52"/>
    <n v="1.3399999999999999"/>
    <n v="13"/>
    <n v="45.76"/>
    <n v="0.08"/>
    <n v="3.6608000000000001"/>
    <n v="42.099199999999996"/>
    <n v="6.83"/>
    <n v="48.929199999999994"/>
  </r>
  <r>
    <s v="6074-1"/>
    <x v="483"/>
    <x v="2"/>
    <s v="Yana Sorensen"/>
    <s v="53-55 Liverpool St,Sydney"/>
    <s v="Sydney"/>
    <x v="1"/>
    <x v="1"/>
    <x v="8"/>
    <s v="High"/>
    <s v="3Max Organizer Strips"/>
    <s v="Office Supplies"/>
    <s v="Small Box"/>
    <s v="Regular Air"/>
    <d v="2015-09-28T00:00:00"/>
    <n v="3.4"/>
    <n v="5.4"/>
    <n v="2.0000000000000004"/>
    <n v="10"/>
    <n v="54"/>
    <n v="0.04"/>
    <n v="2.16"/>
    <n v="51.84"/>
    <n v="7.78"/>
    <n v="59.620000000000005"/>
  </r>
  <r>
    <s v="6076-1"/>
    <x v="484"/>
    <x v="2"/>
    <s v="Anthony Johnson"/>
    <s v="10 Lake Street, Perth"/>
    <s v="Sydney"/>
    <x v="1"/>
    <x v="3"/>
    <x v="8"/>
    <s v="Not Specified"/>
    <s v="Xit Blank Computer Paper"/>
    <s v="Office Supplies"/>
    <s v="Small Box"/>
    <s v="Regular Air"/>
    <d v="2015-09-29T00:00:00"/>
    <n v="12.39"/>
    <n v="19.98"/>
    <n v="7.59"/>
    <n v="20"/>
    <n v="399.6"/>
    <n v="0.05"/>
    <n v="19.980000000000004"/>
    <n v="379.62"/>
    <n v="5.77"/>
    <n v="385.39"/>
  </r>
  <r>
    <s v="6077-1"/>
    <x v="484"/>
    <x v="2"/>
    <s v="Brad Norvell"/>
    <s v="120 Hardware St,Melbourne"/>
    <s v="Melbourne"/>
    <x v="0"/>
    <x v="1"/>
    <x v="0"/>
    <s v="Low"/>
    <s v="Xit Blank Computer Paper"/>
    <s v="Office Supplies"/>
    <s v="Small Box"/>
    <s v="Regular Air"/>
    <d v="2015-09-27T00:00:00"/>
    <n v="12.39"/>
    <n v="19.98"/>
    <n v="7.59"/>
    <n v="34"/>
    <n v="679.32"/>
    <n v="0.06"/>
    <n v="40.7592"/>
    <n v="638.56080000000009"/>
    <n v="5.77"/>
    <n v="644.33080000000007"/>
  </r>
  <r>
    <s v="6079-1"/>
    <x v="485"/>
    <x v="2"/>
    <s v="Maria Bertelson"/>
    <s v="188 Pitt Street,Sydney"/>
    <s v="Sydney"/>
    <x v="1"/>
    <x v="0"/>
    <x v="8"/>
    <s v="Not Specified"/>
    <s v="Steady Major Accent Highlighters"/>
    <s v="Office Supplies"/>
    <s v="Wrap Bag"/>
    <s v="Regular Air"/>
    <d v="2015-09-30T00:00:00"/>
    <n v="3.75"/>
    <n v="7.08"/>
    <n v="3.33"/>
    <n v="37"/>
    <n v="261.95999999999998"/>
    <n v="0.08"/>
    <n v="20.956799999999998"/>
    <n v="241.00319999999999"/>
    <n v="2.35"/>
    <n v="243.35319999999999"/>
  </r>
  <r>
    <s v="6081-1"/>
    <x v="486"/>
    <x v="2"/>
    <s v="Michael Oakman"/>
    <s v="8 Rankins Lane ,Melbourne"/>
    <s v="Melbourne"/>
    <x v="0"/>
    <x v="3"/>
    <x v="1"/>
    <s v="Medium"/>
    <s v="Binder Posts"/>
    <s v="Office Supplies"/>
    <s v="Small Box"/>
    <s v="Express Air"/>
    <d v="2015-09-30T00:00:00"/>
    <n v="3.5"/>
    <n v="5.74"/>
    <n v="2.2400000000000002"/>
    <n v="26"/>
    <n v="149.24"/>
    <n v="0.03"/>
    <n v="4.4771999999999998"/>
    <n v="144.7628"/>
    <n v="5.01"/>
    <n v="149.77279999999999"/>
  </r>
  <r>
    <s v="6083-1"/>
    <x v="487"/>
    <x v="2"/>
    <s v="Damala Kotsonis"/>
    <s v="Macquarie Centre Cnr Herring Road &amp; Waterloo Road,Macquarie Park"/>
    <s v="Sydney"/>
    <x v="1"/>
    <x v="1"/>
    <x v="3"/>
    <s v="Low"/>
    <s v="Artisan Hi-Liter Comfort Grip Fluorescent Highlighter, Yellow Ink"/>
    <s v="Office Supplies"/>
    <s v="Wrap Bag"/>
    <s v="Regular Air"/>
    <d v="2015-10-10T00:00:00"/>
    <n v="1.05"/>
    <n v="1.95"/>
    <n v="0.89999999999999991"/>
    <n v="4"/>
    <n v="7.8"/>
    <n v="0.09"/>
    <n v="0.70199999999999996"/>
    <n v="7.0979999999999999"/>
    <n v="1.63"/>
    <n v="8.7279999999999998"/>
  </r>
  <r>
    <s v="6085-1"/>
    <x v="488"/>
    <x v="2"/>
    <s v="Janet Lee"/>
    <s v="Hoyts Entertainment Quarter 122 Lang Road,Moore Park"/>
    <s v="Sydney"/>
    <x v="1"/>
    <x v="2"/>
    <x v="8"/>
    <s v="High"/>
    <s v="Emerson Stylus 1520 Color Inkjet Printer"/>
    <s v="Technology"/>
    <s v="Jumbo Drum"/>
    <s v="Delivery Truck"/>
    <d v="2015-10-11T00:00:00"/>
    <n v="315.61"/>
    <n v="500.97"/>
    <n v="185.36"/>
    <n v="25"/>
    <n v="12524.25"/>
    <n v="0.02"/>
    <n v="250.48500000000001"/>
    <n v="12273.764999999999"/>
    <n v="69.3"/>
    <n v="12343.064999999999"/>
  </r>
  <r>
    <s v="6086-1"/>
    <x v="489"/>
    <x v="2"/>
    <s v="Bobby Trafton"/>
    <s v="8/2 Edward Street, Perth"/>
    <s v="Sydney"/>
    <x v="1"/>
    <x v="1"/>
    <x v="11"/>
    <s v="High"/>
    <s v="Smiths General Use 3-Ring Binders"/>
    <s v="Office Supplies"/>
    <s v="Small Box"/>
    <s v="Regular Air"/>
    <d v="2015-10-14T00:00:00"/>
    <n v="1.18"/>
    <n v="1.88"/>
    <n v="0.7"/>
    <n v="29"/>
    <n v="54.519999999999996"/>
    <n v="0.1"/>
    <n v="5.452"/>
    <n v="49.067999999999998"/>
    <n v="1.49"/>
    <n v="50.558"/>
  </r>
  <r>
    <s v="6088-1"/>
    <x v="490"/>
    <x v="2"/>
    <s v="Clytie Kelty"/>
    <s v="8 Khartoum Rd,Macquarie Park"/>
    <s v="Sydney"/>
    <x v="1"/>
    <x v="3"/>
    <x v="13"/>
    <s v="Low"/>
    <s v="Cando PC940 Copier"/>
    <s v="Technology"/>
    <s v="Jumbo Drum"/>
    <s v="Delivery Truck"/>
    <d v="2015-10-15T00:00:00"/>
    <n v="278.99"/>
    <n v="449.99"/>
    <n v="171"/>
    <n v="47"/>
    <n v="21149.53"/>
    <n v="0.02"/>
    <n v="422.99059999999997"/>
    <n v="20726.539399999998"/>
    <n v="49"/>
    <n v="20775.539399999998"/>
  </r>
  <r>
    <s v="6090-1"/>
    <x v="491"/>
    <x v="2"/>
    <s v="Barbara Fisher"/>
    <s v="3/265 Stirling Street, Perth"/>
    <s v="Melbourne"/>
    <x v="0"/>
    <x v="3"/>
    <x v="1"/>
    <s v="Critical"/>
    <s v="3Max Organizer Strips"/>
    <s v="Office Supplies"/>
    <s v="Small Box"/>
    <s v="Regular Air"/>
    <d v="2015-10-16T00:00:00"/>
    <n v="3.4"/>
    <n v="5.4"/>
    <n v="2.0000000000000004"/>
    <n v="8"/>
    <n v="43.2"/>
    <n v="0"/>
    <n v="0"/>
    <n v="43.2"/>
    <n v="7.78"/>
    <n v="50.980000000000004"/>
  </r>
  <r>
    <s v="6094-1"/>
    <x v="492"/>
    <x v="2"/>
    <s v="Eva Jacobs"/>
    <s v="Westfield 1 Anderson St,Chatswood"/>
    <s v="Sydney"/>
    <x v="1"/>
    <x v="0"/>
    <x v="3"/>
    <s v="Low"/>
    <s v="Artisan Reinforcements for Hole-Punch Pages"/>
    <s v="Office Supplies"/>
    <s v="Small Box"/>
    <s v="Regular Air"/>
    <d v="2015-10-24T00:00:00"/>
    <n v="1.19"/>
    <n v="1.98"/>
    <n v="0.79"/>
    <n v="4"/>
    <n v="7.92"/>
    <n v="0.08"/>
    <n v="0.63360000000000005"/>
    <n v="7.2863999999999995"/>
    <n v="4.7699999999999996"/>
    <n v="12.0564"/>
  </r>
  <r>
    <s v="6095-1"/>
    <x v="493"/>
    <x v="2"/>
    <s v="Kelly Lampkin"/>
    <s v="310 Wattle St,Ultimo"/>
    <s v="Sydney"/>
    <x v="1"/>
    <x v="0"/>
    <x v="9"/>
    <s v="Medium"/>
    <s v="OIC Bulk Pack Metal Binder Clips"/>
    <s v="Office Supplies"/>
    <s v="Wrap Bag"/>
    <s v="Express Air"/>
    <d v="2015-10-23T00:00:00"/>
    <n v="2.13"/>
    <n v="3.49"/>
    <n v="1.3600000000000003"/>
    <n v="3"/>
    <n v="10.47"/>
    <n v="0.01"/>
    <n v="0.10470000000000002"/>
    <n v="10.365300000000001"/>
    <n v="0.76"/>
    <n v="11.125300000000001"/>
  </r>
  <r>
    <s v="6096-1"/>
    <x v="493"/>
    <x v="2"/>
    <s v="Sung Shariari"/>
    <s v="6/15 Cross Street,Double Bay"/>
    <s v="Sydney"/>
    <x v="1"/>
    <x v="1"/>
    <x v="2"/>
    <s v="High"/>
    <s v="Smiths General Use 3-Ring Binders"/>
    <s v="Office Supplies"/>
    <s v="Small Box"/>
    <s v="Regular Air"/>
    <d v="2015-10-23T00:00:00"/>
    <n v="1.18"/>
    <n v="1.88"/>
    <n v="0.7"/>
    <n v="6"/>
    <n v="11.28"/>
    <n v="7.0000000000000007E-2"/>
    <n v="0.78960000000000008"/>
    <n v="10.490399999999999"/>
    <n v="1.49"/>
    <n v="11.980399999999999"/>
  </r>
  <r>
    <s v="6098-1"/>
    <x v="494"/>
    <x v="2"/>
    <s v="Annie Thurman"/>
    <s v="101 Murray Street, Perth"/>
    <s v="Melbourne"/>
    <x v="0"/>
    <x v="2"/>
    <x v="0"/>
    <s v="Critical"/>
    <s v="Angle-D Binders with Locking Rings, Label Holders"/>
    <s v="Office Supplies"/>
    <s v="Small Box"/>
    <s v="Regular Air"/>
    <d v="2015-10-26T00:00:00"/>
    <n v="4.53"/>
    <n v="7.3"/>
    <n v="2.7699999999999996"/>
    <n v="34"/>
    <n v="248.2"/>
    <n v="0.03"/>
    <n v="7.4459999999999997"/>
    <n v="240.75399999999999"/>
    <n v="7.72"/>
    <n v="248.47399999999999"/>
  </r>
  <r>
    <s v="6099-1"/>
    <x v="494"/>
    <x v="2"/>
    <s v="Shahid Hopkins"/>
    <s v="438 Victoria Avenue,Chatswood"/>
    <s v="Sydney"/>
    <x v="1"/>
    <x v="3"/>
    <x v="5"/>
    <s v="High"/>
    <s v="Colored Envelopes"/>
    <s v="Office Supplies"/>
    <s v="Small Box"/>
    <s v="Regular Air"/>
    <d v="2015-10-26T00:00:00"/>
    <n v="2.25"/>
    <n v="3.69"/>
    <n v="1.44"/>
    <n v="47"/>
    <n v="173.43"/>
    <n v="0"/>
    <n v="0"/>
    <n v="173.43"/>
    <n v="2.5"/>
    <n v="175.93"/>
  </r>
  <r>
    <s v="6100-1"/>
    <x v="495"/>
    <x v="2"/>
    <s v="William Brown"/>
    <s v="3 Carrington Road ,Box Hill"/>
    <s v="Melbourne"/>
    <x v="0"/>
    <x v="1"/>
    <x v="0"/>
    <s v="Not Specified"/>
    <s v="HFX 6S Scientific Calculator"/>
    <s v="Technology"/>
    <s v="Medium Box"/>
    <s v="Regular Air"/>
    <d v="2015-10-30T00:00:00"/>
    <n v="7.92"/>
    <n v="12.99"/>
    <n v="5.07"/>
    <n v="46"/>
    <n v="597.54"/>
    <n v="0.01"/>
    <n v="5.9753999999999996"/>
    <n v="591.56459999999993"/>
    <n v="9.44"/>
    <n v="601.00459999999998"/>
  </r>
  <r>
    <s v="6102-1"/>
    <x v="496"/>
    <x v="2"/>
    <s v="Gary Zandusky"/>
    <s v="Shop 1, 186-190 Church Street,Parramatta;46a Macleay Street,Potts Point"/>
    <s v="Sydney"/>
    <x v="1"/>
    <x v="0"/>
    <x v="11"/>
    <s v="High"/>
    <s v="Deluxe Rollaway Locking File with Drawer"/>
    <s v="Office Supplies"/>
    <s v="Small Box"/>
    <s v="Regular Air"/>
    <d v="2015-10-31T00:00:00"/>
    <n v="178.83"/>
    <n v="415.88"/>
    <n v="237.04999999999998"/>
    <n v="21"/>
    <n v="8733.48"/>
    <n v="0.09"/>
    <n v="786.01319999999998"/>
    <n v="7947.4667999999992"/>
    <n v="11.37"/>
    <n v="7958.8367999999991"/>
  </r>
  <r>
    <s v="6103-1"/>
    <x v="496"/>
    <x v="2"/>
    <s v="Tamara Manning"/>
    <s v="184 King Street,Newtown"/>
    <s v="Sydney"/>
    <x v="1"/>
    <x v="1"/>
    <x v="10"/>
    <s v="High"/>
    <s v="UGen Ultra Professional Cordless Optical Suite"/>
    <s v="Technology"/>
    <s v="Small Box"/>
    <s v="Regular Air"/>
    <d v="2015-11-01T00:00:00"/>
    <n v="156.5"/>
    <n v="300.97000000000003"/>
    <n v="144.47000000000003"/>
    <n v="23"/>
    <n v="6922.31"/>
    <n v="0.06"/>
    <n v="415.33859999999999"/>
    <n v="6506.9714000000004"/>
    <n v="7.18"/>
    <n v="6514.1514000000006"/>
  </r>
  <r>
    <s v="6104-1"/>
    <x v="497"/>
    <x v="2"/>
    <s v="Bobby Trafton"/>
    <s v="8/2 Edward Street, Perth"/>
    <s v="Sydney"/>
    <x v="1"/>
    <x v="3"/>
    <x v="11"/>
    <s v="Low"/>
    <s v="DrawIt Pizazz Watercolor Pencils, 10-Color Set with Brush"/>
    <s v="Office Supplies"/>
    <s v="Wrap Bag"/>
    <s v="Regular Air"/>
    <d v="2015-11-03T00:00:00"/>
    <n v="2.39"/>
    <n v="4.26"/>
    <n v="1.8699999999999997"/>
    <n v="47"/>
    <n v="200.22"/>
    <n v="7.0000000000000007E-2"/>
    <n v="14.015400000000001"/>
    <n v="186.2046"/>
    <n v="1.2"/>
    <n v="187.40459999999999"/>
  </r>
  <r>
    <s v="6104-2"/>
    <x v="497"/>
    <x v="2"/>
    <s v="Bobby Trafton"/>
    <s v="8/2 Edward Street, Perth"/>
    <s v="Sydney"/>
    <x v="1"/>
    <x v="3"/>
    <x v="11"/>
    <s v="Low"/>
    <s v="Steady Colorific Colored Pencils, 12/Box"/>
    <s v="Office Supplies"/>
    <s v="Wrap Bag"/>
    <s v="Regular Air"/>
    <d v="2015-11-06T00:00:00"/>
    <n v="1.3"/>
    <n v="2.88"/>
    <n v="1.5799999999999998"/>
    <n v="17"/>
    <n v="48.96"/>
    <n v="0.09"/>
    <n v="4.4063999999999997"/>
    <n v="44.553600000000003"/>
    <n v="1.01"/>
    <n v="45.563600000000001"/>
  </r>
  <r>
    <s v="6108-1"/>
    <x v="498"/>
    <x v="2"/>
    <s v="Vivek Grady"/>
    <s v="99 Lygon Street,East Brunswick"/>
    <s v="Melbourne"/>
    <x v="0"/>
    <x v="1"/>
    <x v="1"/>
    <s v="High"/>
    <s v="TechSavi Cordless Access Keyboard"/>
    <s v="Technology"/>
    <s v="Small Box"/>
    <s v="Express Air"/>
    <d v="2015-11-06T00:00:00"/>
    <n v="14.7"/>
    <n v="29.99"/>
    <n v="15.29"/>
    <n v="20"/>
    <n v="599.79999999999995"/>
    <n v="0.04"/>
    <n v="23.991999999999997"/>
    <n v="575.80799999999999"/>
    <n v="5.5"/>
    <n v="581.30799999999999"/>
  </r>
  <r>
    <s v="6109-1"/>
    <x v="498"/>
    <x v="2"/>
    <s v="Mitch Gastineau"/>
    <s v="85-113 Dunning Ave,Rosebery"/>
    <s v="Sydney"/>
    <x v="1"/>
    <x v="3"/>
    <x v="11"/>
    <s v="Low"/>
    <s v="TypeRight Side-Opening Peel &amp; Seel Expanding Envelopes"/>
    <s v="Office Supplies"/>
    <s v="Small Box"/>
    <s v="Regular Air"/>
    <d v="2015-11-13T00:00:00"/>
    <n v="54.29"/>
    <n v="90.48"/>
    <n v="36.190000000000005"/>
    <n v="49"/>
    <n v="4433.5200000000004"/>
    <n v="0.05"/>
    <n v="221.67600000000004"/>
    <n v="4211.8440000000001"/>
    <n v="19.989999999999998"/>
    <n v="4231.8339999999998"/>
  </r>
  <r>
    <s v="6110-1"/>
    <x v="499"/>
    <x v="2"/>
    <s v="Cindy Schnelling"/>
    <s v="240-242 Johnston Street,Fitzroy"/>
    <s v="Melbourne"/>
    <x v="0"/>
    <x v="1"/>
    <x v="1"/>
    <s v="Critical"/>
    <s v="Steady Liquid Accent Highlighters"/>
    <s v="Office Supplies"/>
    <s v="Wrap Bag"/>
    <s v="Regular Air"/>
    <d v="2015-11-08T00:00:00"/>
    <n v="3.47"/>
    <n v="6.68"/>
    <n v="3.2099999999999995"/>
    <n v="12"/>
    <n v="80.16"/>
    <n v="0.06"/>
    <n v="4.8095999999999997"/>
    <n v="75.350399999999993"/>
    <n v="1.5"/>
    <n v="76.850399999999993"/>
  </r>
  <r>
    <s v="6112-1"/>
    <x v="500"/>
    <x v="2"/>
    <s v="Peter Fuller"/>
    <s v="Westfield Miranda, 600 Kingsway,Miranda"/>
    <s v="Sydney"/>
    <x v="1"/>
    <x v="1"/>
    <x v="12"/>
    <s v="Low"/>
    <s v="Binder Clips by OIC"/>
    <s v="Office Supplies"/>
    <s v="Wrap Bag"/>
    <s v="Regular Air"/>
    <d v="2015-11-14T00:00:00"/>
    <n v="0.93"/>
    <n v="1.48"/>
    <n v="0.54999999999999993"/>
    <n v="19"/>
    <n v="28.12"/>
    <n v="0"/>
    <n v="0"/>
    <n v="28.12"/>
    <n v="0.7"/>
    <n v="28.82"/>
  </r>
  <r>
    <s v="6113-1"/>
    <x v="500"/>
    <x v="2"/>
    <s v="Chuck Clark"/>
    <s v="101 Murray Street"/>
    <s v="Perth"/>
    <x v="2"/>
    <x v="1"/>
    <x v="8"/>
    <s v="Medium"/>
    <s v="Smiths File Caddy"/>
    <s v="Office Supplies"/>
    <s v="Small Box"/>
    <s v="Regular Air"/>
    <d v="2015-11-10T00:00:00"/>
    <n v="4.03"/>
    <n v="9.3800000000000008"/>
    <n v="5.3500000000000005"/>
    <n v="24"/>
    <n v="225.12"/>
    <n v="0.05"/>
    <n v="11.256"/>
    <n v="213.864"/>
    <n v="7.28"/>
    <n v="221.14400000000001"/>
  </r>
  <r>
    <s v="6114-1"/>
    <x v="501"/>
    <x v="2"/>
    <s v="Nora Price"/>
    <s v="7 Khartoum Rd,Macquarie Park"/>
    <s v="Sydney"/>
    <x v="1"/>
    <x v="0"/>
    <x v="12"/>
    <s v="High"/>
    <s v="Artisan 479 Labels"/>
    <s v="Office Supplies"/>
    <s v="Small Box"/>
    <s v="Regular Air"/>
    <d v="2015-11-13T00:00:00"/>
    <n v="1.59"/>
    <n v="2.61"/>
    <n v="1.0199999999999998"/>
    <n v="40"/>
    <n v="104.39999999999999"/>
    <n v="0.03"/>
    <n v="3.1319999999999997"/>
    <n v="101.26799999999999"/>
    <n v="0.5"/>
    <n v="101.76799999999999"/>
  </r>
  <r>
    <s v="6116-1"/>
    <x v="502"/>
    <x v="2"/>
    <s v="Michael Oakman"/>
    <s v="8 Rankins Lane ,Melbourne"/>
    <s v="Melbourne"/>
    <x v="0"/>
    <x v="3"/>
    <x v="1"/>
    <s v="Not Specified"/>
    <s v="Apex Box Cutter Scissors"/>
    <s v="Office Supplies"/>
    <s v="Small Pack"/>
    <s v="Regular Air"/>
    <d v="2015-11-14T00:00:00"/>
    <n v="4.1900000000000004"/>
    <n v="10.23"/>
    <n v="6.04"/>
    <n v="46"/>
    <n v="470.58000000000004"/>
    <n v="0.08"/>
    <n v="37.646400000000007"/>
    <n v="432.93360000000001"/>
    <n v="4.68"/>
    <n v="437.61360000000002"/>
  </r>
  <r>
    <s v="6118-1"/>
    <x v="503"/>
    <x v="2"/>
    <s v="Alan Hwang"/>
    <s v="223 Barkly St,St Kilda"/>
    <s v="Melbourne"/>
    <x v="0"/>
    <x v="1"/>
    <x v="0"/>
    <s v="Low"/>
    <s v="Smiths Bulk Pack Metal Binder Clips"/>
    <s v="Office Supplies"/>
    <s v="Wrap Bag"/>
    <s v="Regular Air"/>
    <d v="2015-11-24T00:00:00"/>
    <n v="3.95"/>
    <n v="6.08"/>
    <n v="2.13"/>
    <n v="41"/>
    <n v="249.28"/>
    <n v="0.03"/>
    <n v="7.4783999999999997"/>
    <n v="241.80160000000001"/>
    <n v="1.82"/>
    <n v="243.6216"/>
  </r>
  <r>
    <s v="6119-1"/>
    <x v="504"/>
    <x v="2"/>
    <s v="Jenna Caffey"/>
    <s v="470 Anzac Parade,Kingsford"/>
    <s v="Sydney"/>
    <x v="1"/>
    <x v="2"/>
    <x v="8"/>
    <s v="Critical"/>
    <s v="Smiths Pen Style Liquid Stix; Assorted (yellow, pink, green, blue, orange), 5/Pack"/>
    <s v="Office Supplies"/>
    <s v="Wrap Bag"/>
    <s v="Regular Air"/>
    <d v="2015-11-17T00:00:00"/>
    <n v="3.88"/>
    <n v="6.47"/>
    <n v="2.59"/>
    <n v="22"/>
    <n v="142.34"/>
    <n v="0.04"/>
    <n v="5.6936"/>
    <n v="136.6464"/>
    <n v="1.22"/>
    <n v="137.8664"/>
  </r>
  <r>
    <s v="6121-1"/>
    <x v="505"/>
    <x v="2"/>
    <s v="Beth Fritzler"/>
    <s v="32/82 King Street, Perth"/>
    <s v="Sydney"/>
    <x v="1"/>
    <x v="3"/>
    <x v="4"/>
    <s v="Critical"/>
    <s v="Apex Box Cutter Scissors"/>
    <s v="Office Supplies"/>
    <s v="Small Pack"/>
    <s v="Regular Air"/>
    <d v="2015-11-19T00:00:00"/>
    <n v="4.1900000000000004"/>
    <n v="10.23"/>
    <n v="6.04"/>
    <n v="16"/>
    <n v="163.68"/>
    <n v="0.02"/>
    <n v="3.2736000000000001"/>
    <n v="160.40640000000002"/>
    <n v="4.68"/>
    <n v="165.08640000000003"/>
  </r>
  <r>
    <s v="6123-1"/>
    <x v="505"/>
    <x v="2"/>
    <s v="Shahid Hopkins"/>
    <s v="438 Victoria Avenue,Chatswood"/>
    <s v="Sydney"/>
    <x v="1"/>
    <x v="3"/>
    <x v="5"/>
    <s v="Low"/>
    <s v="Beekin 6 Outlet Metallic Surge Strip"/>
    <s v="Office Supplies"/>
    <s v="Small Box"/>
    <s v="Regular Air"/>
    <d v="2015-11-24T00:00:00"/>
    <n v="4.46"/>
    <n v="10.89"/>
    <n v="6.4300000000000006"/>
    <n v="10"/>
    <n v="108.9"/>
    <n v="0.1"/>
    <n v="10.89"/>
    <n v="98.01"/>
    <n v="4.5"/>
    <n v="102.51"/>
  </r>
  <r>
    <s v="6124-1"/>
    <x v="506"/>
    <x v="2"/>
    <s v="Lycoris Saunders"/>
    <s v="501 George St,Sydney"/>
    <s v="Sydney"/>
    <x v="1"/>
    <x v="0"/>
    <x v="6"/>
    <s v="High"/>
    <s v="Artisan 481 Labels"/>
    <s v="Office Supplies"/>
    <s v="Small Box"/>
    <s v="Regular Air"/>
    <d v="2015-11-22T00:00:00"/>
    <n v="1.94"/>
    <n v="3.08"/>
    <n v="1.1400000000000001"/>
    <n v="11"/>
    <n v="33.880000000000003"/>
    <n v="0.09"/>
    <n v="3.0491999999999999"/>
    <n v="30.830800000000004"/>
    <n v="0.99"/>
    <n v="31.820800000000002"/>
  </r>
  <r>
    <s v="6125-1"/>
    <x v="507"/>
    <x v="2"/>
    <s v="Ellis Ballard"/>
    <s v="53-55 Liverpool St,Sydney"/>
    <s v="Sydney"/>
    <x v="1"/>
    <x v="1"/>
    <x v="8"/>
    <s v="Medium"/>
    <s v="Pizazz Drawing Pencil Set"/>
    <s v="Office Supplies"/>
    <s v="Wrap Bag"/>
    <s v="Regular Air"/>
    <d v="2015-11-23T00:00:00"/>
    <n v="1.53"/>
    <n v="2.78"/>
    <n v="1.2499999999999998"/>
    <n v="21"/>
    <n v="58.379999999999995"/>
    <n v="0.06"/>
    <n v="3.5027999999999997"/>
    <n v="54.877199999999995"/>
    <n v="1.34"/>
    <n v="56.217199999999998"/>
  </r>
  <r>
    <s v="6127-1"/>
    <x v="508"/>
    <x v="2"/>
    <s v="Henry Goldwyn"/>
    <s v="541 Church St,Richmond"/>
    <s v="Melbourne"/>
    <x v="0"/>
    <x v="3"/>
    <x v="0"/>
    <s v="Low"/>
    <s v="Adesso Programmable 142-Key Keyboard"/>
    <s v="Technology"/>
    <s v="Small Box"/>
    <s v="Regular Air"/>
    <d v="2015-11-24T00:00:00"/>
    <n v="39.64"/>
    <n v="152.47999999999999"/>
    <n v="112.83999999999999"/>
    <n v="17"/>
    <n v="2592.16"/>
    <n v="0.04"/>
    <n v="103.68639999999999"/>
    <n v="2488.4735999999998"/>
    <n v="6.5"/>
    <n v="2494.9735999999998"/>
  </r>
  <r>
    <s v="6128-1"/>
    <x v="509"/>
    <x v="2"/>
    <s v="Dennis Bolton"/>
    <s v="8 Quay Street,Haymarket"/>
    <s v="Sydney"/>
    <x v="1"/>
    <x v="3"/>
    <x v="2"/>
    <s v="Critical"/>
    <s v="Smiths Pen Style Liquid Stix; Assorted (yellow, pink, green, blue, orange), 5/Pack"/>
    <s v="Office Supplies"/>
    <s v="Wrap Bag"/>
    <s v="Regular Air"/>
    <d v="2015-11-30T00:00:00"/>
    <n v="3.88"/>
    <n v="6.47"/>
    <n v="2.59"/>
    <n v="16"/>
    <n v="103.52"/>
    <n v="0.01"/>
    <n v="1.0351999999999999"/>
    <n v="102.48479999999999"/>
    <n v="1.22"/>
    <n v="103.70479999999999"/>
  </r>
  <r>
    <s v="6130-1"/>
    <x v="510"/>
    <x v="2"/>
    <s v="Paul MacIntyre"/>
    <s v="60 Commercial Rd,Prahran"/>
    <s v="Melbourne"/>
    <x v="0"/>
    <x v="1"/>
    <x v="0"/>
    <s v="High"/>
    <s v="Artisan Arch Ring Binders"/>
    <s v="Office Supplies"/>
    <s v="Small Box"/>
    <s v="Regular Air"/>
    <d v="2015-12-01T00:00:00"/>
    <n v="36.020000000000003"/>
    <n v="58.1"/>
    <n v="22.08"/>
    <n v="27"/>
    <n v="1568.7"/>
    <n v="7.0000000000000007E-2"/>
    <n v="109.80900000000001"/>
    <n v="1458.8910000000001"/>
    <n v="1.49"/>
    <n v="1460.3810000000001"/>
  </r>
  <r>
    <s v="6132-1"/>
    <x v="510"/>
    <x v="2"/>
    <s v="Julie Creighton"/>
    <s v="22 Civic Rd,Auburn"/>
    <s v="Sydney"/>
    <x v="1"/>
    <x v="1"/>
    <x v="11"/>
    <s v="Not Specified"/>
    <s v="DrawIt Colored Pencils"/>
    <s v="Office Supplies"/>
    <s v="Wrap Bag"/>
    <s v="Regular Air"/>
    <d v="2015-12-01T00:00:00"/>
    <n v="4.37"/>
    <n v="9.11"/>
    <n v="4.7399999999999993"/>
    <n v="30"/>
    <n v="273.29999999999995"/>
    <n v="0.03"/>
    <n v="8.1989999999999981"/>
    <n v="265.10099999999994"/>
    <n v="2.25"/>
    <n v="267.35099999999994"/>
  </r>
  <r>
    <s v="6134-1"/>
    <x v="511"/>
    <x v="2"/>
    <s v="Lindsay Castell"/>
    <s v="Qantas Domestic Terminal,Mascot"/>
    <s v="Sydney"/>
    <x v="1"/>
    <x v="3"/>
    <x v="4"/>
    <s v="High"/>
    <s v="Artisan 474 Labels"/>
    <s v="Office Supplies"/>
    <s v="Small Box"/>
    <s v="Regular Air"/>
    <d v="2015-12-05T00:00:00"/>
    <n v="1.84"/>
    <n v="2.88"/>
    <n v="1.0399999999999998"/>
    <n v="28"/>
    <n v="80.64"/>
    <n v="0.1"/>
    <n v="8.0640000000000001"/>
    <n v="72.575999999999993"/>
    <n v="0.99"/>
    <n v="73.565999999999988"/>
  </r>
  <r>
    <s v="6135-1"/>
    <x v="512"/>
    <x v="2"/>
    <s v="Erin Creighton"/>
    <s v="523 King St,Newtown"/>
    <s v="Sydney"/>
    <x v="1"/>
    <x v="1"/>
    <x v="9"/>
    <s v="Low"/>
    <s v="Pizazz Drawing Pencil Set"/>
    <s v="Office Supplies"/>
    <s v="Wrap Bag"/>
    <s v="Regular Air"/>
    <d v="2015-12-08T00:00:00"/>
    <n v="1.17"/>
    <n v="2.78"/>
    <n v="1.6099999999999999"/>
    <n v="39"/>
    <n v="108.41999999999999"/>
    <n v="0.05"/>
    <n v="5.4209999999999994"/>
    <n v="102.999"/>
    <n v="1.2"/>
    <n v="104.199"/>
  </r>
  <r>
    <s v="6136-1"/>
    <x v="512"/>
    <x v="2"/>
    <s v="Dan Lawera"/>
    <s v="Macquarie Centre Cnr Herring Road &amp; Waterloo Road,Macquarie Park"/>
    <s v="Sydney"/>
    <x v="1"/>
    <x v="1"/>
    <x v="3"/>
    <s v="Not Specified"/>
    <s v="Smiths General Use 3-Ring Binders"/>
    <s v="Office Supplies"/>
    <s v="Small Box"/>
    <s v="Regular Air"/>
    <d v="2015-12-07T00:00:00"/>
    <n v="1.18"/>
    <n v="1.88"/>
    <n v="0.7"/>
    <n v="20"/>
    <n v="37.599999999999994"/>
    <n v="7.0000000000000007E-2"/>
    <n v="2.6319999999999997"/>
    <n v="34.967999999999996"/>
    <n v="1.49"/>
    <n v="36.457999999999998"/>
  </r>
  <r>
    <s v="6138-1"/>
    <x v="513"/>
    <x v="2"/>
    <s v="Valerie Dominguez"/>
    <s v="37/59 Brewer Street"/>
    <s v="Perth"/>
    <x v="2"/>
    <x v="1"/>
    <x v="8"/>
    <s v="Low"/>
    <s v="Smiths Metal Binder Clips"/>
    <s v="Office Supplies"/>
    <s v="Wrap Bag"/>
    <s v="Regular Air"/>
    <d v="2015-12-12T00:00:00"/>
    <n v="1.6"/>
    <n v="2.62"/>
    <n v="1.02"/>
    <n v="26"/>
    <n v="68.12"/>
    <n v="0.08"/>
    <n v="5.4496000000000002"/>
    <n v="62.670400000000001"/>
    <n v="0.8"/>
    <n v="63.470399999999998"/>
  </r>
  <r>
    <s v="6140-1"/>
    <x v="514"/>
    <x v="2"/>
    <s v="Craig Carroll"/>
    <s v="99 Lygon Street,East Brunswick"/>
    <s v="Melbourne"/>
    <x v="0"/>
    <x v="1"/>
    <x v="1"/>
    <s v="High"/>
    <s v="12 Colored Short Pencils"/>
    <s v="Office Supplies"/>
    <s v="Wrap Bag"/>
    <s v="Regular Air"/>
    <d v="2015-12-09T00:00:00"/>
    <n v="1.0900000000000001"/>
    <n v="2.6"/>
    <n v="1.51"/>
    <n v="14"/>
    <n v="36.4"/>
    <n v="0.08"/>
    <n v="2.9119999999999999"/>
    <n v="33.488"/>
    <n v="2.4"/>
    <n v="35.887999999999998"/>
  </r>
  <r>
    <s v="6141-1"/>
    <x v="514"/>
    <x v="2"/>
    <s v="Vivek Grady"/>
    <s v="99 Lygon Street,East Brunswick"/>
    <s v="Melbourne"/>
    <x v="0"/>
    <x v="0"/>
    <x v="1"/>
    <s v="Medium"/>
    <s v="Alliance Rubber Bands"/>
    <s v="Office Supplies"/>
    <s v="Wrap Bag"/>
    <s v="Express Air"/>
    <d v="2015-12-10T00:00:00"/>
    <n v="0.32"/>
    <n v="1.68"/>
    <n v="1.3599999999999999"/>
    <n v="6"/>
    <n v="10.08"/>
    <n v="0.05"/>
    <n v="0.504"/>
    <n v="9.5760000000000005"/>
    <n v="1.02"/>
    <n v="10.596"/>
  </r>
  <r>
    <s v="6143-1"/>
    <x v="515"/>
    <x v="2"/>
    <s v="Patrick OBrill"/>
    <s v="27/580 Hay Street"/>
    <s v="Perth"/>
    <x v="2"/>
    <x v="0"/>
    <x v="8"/>
    <s v="Critical"/>
    <s v="Beekin 105-Key Black Keyboard"/>
    <s v="Technology"/>
    <s v="Small Box"/>
    <s v="Express Air"/>
    <d v="2015-12-18T00:00:00"/>
    <n v="6.39"/>
    <n v="19.98"/>
    <n v="13.59"/>
    <n v="18"/>
    <n v="359.64"/>
    <n v="0.04"/>
    <n v="14.3856"/>
    <n v="345.25439999999998"/>
    <n v="4"/>
    <n v="349.25439999999998"/>
  </r>
  <r>
    <s v="6143-2"/>
    <x v="515"/>
    <x v="2"/>
    <s v="Patrick OBrill"/>
    <s v="27/580 Hay Street"/>
    <s v="Perth"/>
    <x v="2"/>
    <x v="0"/>
    <x v="8"/>
    <s v="Critical"/>
    <s v="Multi-Use Personal File Cart and Caster Set, Three Stacking Bins"/>
    <s v="Office Supplies"/>
    <s v="Small Box"/>
    <s v="Regular Air"/>
    <d v="2015-12-18T00:00:00"/>
    <n v="14.95"/>
    <n v="34.76"/>
    <n v="19.809999999999999"/>
    <n v="46"/>
    <n v="1598.9599999999998"/>
    <n v="0.09"/>
    <n v="143.90639999999999"/>
    <n v="1455.0535999999997"/>
    <n v="8.2200000000000006"/>
    <n v="1463.2735999999998"/>
  </r>
  <r>
    <s v="6144-1"/>
    <x v="515"/>
    <x v="2"/>
    <s v="Charles Crestani"/>
    <s v="Sydney Fish Market, Bank Street, Sydney"/>
    <s v="Sydney"/>
    <x v="1"/>
    <x v="2"/>
    <x v="4"/>
    <s v="Medium"/>
    <s v="Multimedia Mailers"/>
    <s v="Office Supplies"/>
    <s v="Small Box"/>
    <s v="Regular Air"/>
    <d v="2015-12-17T00:00:00"/>
    <n v="99.39"/>
    <n v="162.93"/>
    <n v="63.540000000000006"/>
    <n v="41"/>
    <n v="6680.13"/>
    <n v="0.01"/>
    <n v="66.801299999999998"/>
    <n v="6613.3287"/>
    <n v="19.989999999999998"/>
    <n v="6633.3186999999998"/>
  </r>
  <r>
    <s v="6146-1"/>
    <x v="516"/>
    <x v="2"/>
    <s v="Olvera Toch"/>
    <s v="3 Carrington Road ,Box Hill"/>
    <s v="Melbourne"/>
    <x v="0"/>
    <x v="0"/>
    <x v="0"/>
    <s v="Not Specified"/>
    <s v="Alto Memo Cubes"/>
    <s v="Office Supplies"/>
    <s v="Wrap Bag"/>
    <s v="Regular Air"/>
    <d v="2015-12-21T00:00:00"/>
    <n v="3.32"/>
    <n v="5.18"/>
    <n v="1.8599999999999999"/>
    <n v="25"/>
    <n v="129.5"/>
    <n v="0.1"/>
    <n v="12.950000000000001"/>
    <n v="116.55"/>
    <n v="2.04"/>
    <n v="118.59"/>
  </r>
  <r>
    <s v="6148-1"/>
    <x v="516"/>
    <x v="2"/>
    <s v="Lena Creighton"/>
    <s v="127 Liverpool St,Sydney"/>
    <s v="Sydney"/>
    <x v="1"/>
    <x v="1"/>
    <x v="6"/>
    <s v="Critical"/>
    <s v="Beekin 6 Outlet Metallic Surge Strip"/>
    <s v="Office Supplies"/>
    <s v="Small Box"/>
    <s v="Regular Air"/>
    <d v="2015-12-21T00:00:00"/>
    <n v="4.46"/>
    <n v="10.89"/>
    <n v="6.4300000000000006"/>
    <n v="30"/>
    <n v="326.70000000000005"/>
    <n v="0.08"/>
    <n v="26.136000000000003"/>
    <n v="300.56400000000002"/>
    <n v="4.5"/>
    <n v="305.06400000000002"/>
  </r>
  <r>
    <s v="6150-1"/>
    <x v="517"/>
    <x v="2"/>
    <s v="Carol Triggs"/>
    <s v="15 Aberdeen Street"/>
    <s v="Perth"/>
    <x v="2"/>
    <x v="0"/>
    <x v="13"/>
    <s v="Not Specified"/>
    <s v="600 Series Non-Flip"/>
    <s v="Technology"/>
    <s v="Small Box"/>
    <s v="Regular Air"/>
    <d v="2015-12-24T00:00:00"/>
    <n v="19.78"/>
    <n v="45.99"/>
    <n v="26.21"/>
    <n v="11"/>
    <n v="505.89000000000004"/>
    <n v="7.0000000000000007E-2"/>
    <n v="35.412300000000009"/>
    <n v="470.47770000000003"/>
    <n v="4.99"/>
    <n v="475.46770000000004"/>
  </r>
  <r>
    <s v="6151-1"/>
    <x v="518"/>
    <x v="2"/>
    <s v="Sarah Foster"/>
    <s v="Sydney Fish Market, Bank Street, Sydney"/>
    <s v="Sydney"/>
    <x v="1"/>
    <x v="1"/>
    <x v="4"/>
    <s v="Critical"/>
    <s v="Smiths General Use 3-Ring Binders"/>
    <s v="Office Supplies"/>
    <s v="Small Box"/>
    <s v="Regular Air"/>
    <d v="2015-12-26T00:00:00"/>
    <n v="1.18"/>
    <n v="1.88"/>
    <n v="0.7"/>
    <n v="39"/>
    <n v="73.319999999999993"/>
    <n v="7.0000000000000007E-2"/>
    <n v="5.1323999999999996"/>
    <n v="68.187599999999989"/>
    <n v="1.49"/>
    <n v="69.677599999999984"/>
  </r>
  <r>
    <s v="6152-1"/>
    <x v="519"/>
    <x v="2"/>
    <s v="Art Miller"/>
    <s v="14 Money Street, Perth"/>
    <s v="Sydney"/>
    <x v="1"/>
    <x v="1"/>
    <x v="2"/>
    <s v="Low"/>
    <s v="HFX LaserJet 3310 Copier"/>
    <s v="Technology"/>
    <s v="Large Box"/>
    <s v="Regular Air"/>
    <d v="2016-01-01T00:00:00"/>
    <n v="377.99"/>
    <n v="599.99"/>
    <n v="222"/>
    <n v="17"/>
    <n v="10199.83"/>
    <n v="0.08"/>
    <n v="815.9864"/>
    <n v="9383.8436000000002"/>
    <n v="24.49"/>
    <n v="9408.3335999999999"/>
  </r>
  <r>
    <s v="6154-1"/>
    <x v="519"/>
    <x v="2"/>
    <s v="Karl Brown"/>
    <s v="470 Anzac Parade,Kingsford"/>
    <s v="Sydney"/>
    <x v="1"/>
    <x v="1"/>
    <x v="8"/>
    <s v="High"/>
    <s v="Pizazz Dustless Chalk Sticks"/>
    <s v="Office Supplies"/>
    <s v="Wrap Bag"/>
    <s v="Regular Air"/>
    <d v="2015-12-26T00:00:00"/>
    <n v="1.0900000000000001"/>
    <n v="1.68"/>
    <n v="0.58999999999999986"/>
    <n v="24"/>
    <n v="40.32"/>
    <n v="0.05"/>
    <n v="2.016"/>
    <n v="38.304000000000002"/>
    <n v="1"/>
    <n v="39.304000000000002"/>
  </r>
  <r>
    <s v="6155-1"/>
    <x v="520"/>
    <x v="2"/>
    <s v="Gary McGarr"/>
    <s v="10 Bligh St,Melbourne"/>
    <s v="Melbourne"/>
    <x v="0"/>
    <x v="0"/>
    <x v="0"/>
    <s v="High"/>
    <s v="1726 Digital Answering Machine"/>
    <s v="Technology"/>
    <s v="Medium Box"/>
    <s v="Regular Air"/>
    <d v="2015-12-29T00:00:00"/>
    <n v="8.82"/>
    <n v="20.99"/>
    <n v="12.169999999999998"/>
    <n v="30"/>
    <n v="629.69999999999993"/>
    <n v="0.03"/>
    <n v="18.890999999999998"/>
    <n v="610.80899999999997"/>
    <n v="4.8099999999999996"/>
    <n v="615.61899999999991"/>
  </r>
  <r>
    <s v="6157-1"/>
    <x v="520"/>
    <x v="2"/>
    <s v="Ken Dana"/>
    <s v="73 York St,Sydney"/>
    <s v="Sydney"/>
    <x v="1"/>
    <x v="3"/>
    <x v="8"/>
    <s v="Critical"/>
    <s v="Smiths General Use 3-Ring Binders"/>
    <s v="Office Supplies"/>
    <s v="Small Box"/>
    <s v="Regular Air"/>
    <d v="2015-12-30T00:00:00"/>
    <n v="1.18"/>
    <n v="1.88"/>
    <n v="0.7"/>
    <n v="1"/>
    <n v="1.88"/>
    <n v="0.09"/>
    <n v="0.16919999999999999"/>
    <n v="1.7107999999999999"/>
    <n v="1.49"/>
    <n v="3.2008000000000001"/>
  </r>
  <r>
    <s v="6158-1"/>
    <x v="520"/>
    <x v="2"/>
    <s v="Sally Knutson"/>
    <s v="32/82 King Street"/>
    <s v="Perth"/>
    <x v="2"/>
    <x v="1"/>
    <x v="11"/>
    <s v="Low"/>
    <s v="Steady 52201 APSCO Electric Pencil Sharpener"/>
    <s v="Office Supplies"/>
    <s v="Small Pack"/>
    <s v="Express Air"/>
    <d v="2016-01-04T00:00:00"/>
    <n v="16.8"/>
    <n v="40.97"/>
    <n v="24.169999999999998"/>
    <n v="49"/>
    <n v="2007.53"/>
    <n v="0.1"/>
    <n v="200.75300000000001"/>
    <n v="1806.777"/>
    <n v="8.99"/>
    <n v="1815.7670000000001"/>
  </r>
  <r>
    <s v="6159-1"/>
    <x v="521"/>
    <x v="2"/>
    <s v="Matt Collister"/>
    <s v="1/20 Pendal Lane"/>
    <s v="Perth"/>
    <x v="2"/>
    <x v="0"/>
    <x v="5"/>
    <s v="High"/>
    <s v="Angle-D Binders with Locking Rings, Label Holders"/>
    <s v="Office Supplies"/>
    <s v="Small Box"/>
    <s v="Regular Air"/>
    <d v="2016-01-01T00:00:00"/>
    <n v="4.53"/>
    <n v="7.3"/>
    <n v="2.7699999999999996"/>
    <n v="38"/>
    <n v="277.39999999999998"/>
    <n v="0.05"/>
    <n v="13.87"/>
    <n v="263.52999999999997"/>
    <n v="7.72"/>
    <n v="271.25"/>
  </r>
  <r>
    <s v="6159-2"/>
    <x v="521"/>
    <x v="2"/>
    <s v="Matt Collister"/>
    <s v="1/20 Pendal Lane"/>
    <s v="Perth"/>
    <x v="2"/>
    <x v="0"/>
    <x v="5"/>
    <s v="Medium"/>
    <s v="Artisan 487 Labels"/>
    <s v="Office Supplies"/>
    <s v="Small Box"/>
    <s v="Regular Air"/>
    <d v="2016-01-01T00:00:00"/>
    <n v="2.29"/>
    <n v="3.69"/>
    <n v="1.4"/>
    <n v="41"/>
    <n v="151.29"/>
    <n v="0.01"/>
    <n v="1.5128999999999999"/>
    <n v="149.77709999999999"/>
    <n v="0.5"/>
    <n v="150.27709999999999"/>
  </r>
  <r>
    <s v="6159-2"/>
    <x v="521"/>
    <x v="2"/>
    <s v="Matt Collister"/>
    <s v="1/20 Pendal Lane"/>
    <s v="Perth"/>
    <x v="2"/>
    <x v="0"/>
    <x v="5"/>
    <s v="High"/>
    <s v="DrawIt Colored Pencils"/>
    <s v="Office Supplies"/>
    <s v="Wrap Bag"/>
    <s v="Express Air"/>
    <d v="2016-01-01T00:00:00"/>
    <n v="4.37"/>
    <n v="9.11"/>
    <n v="4.7399999999999993"/>
    <n v="21"/>
    <n v="191.31"/>
    <n v="0.03"/>
    <n v="5.7393000000000001"/>
    <n v="185.57069999999999"/>
    <n v="2.25"/>
    <n v="187.82069999999999"/>
  </r>
  <r>
    <s v="6165-1"/>
    <x v="522"/>
    <x v="3"/>
    <s v="Bart Folk"/>
    <s v="10/145 Newcastle Street, Perth"/>
    <s v="Sydney"/>
    <x v="1"/>
    <x v="1"/>
    <x v="12"/>
    <s v="Not Specified"/>
    <s v="TechSavi Cordless Access Keyboard"/>
    <s v="Technology"/>
    <s v="Small Box"/>
    <s v="Regular Air"/>
    <d v="2016-01-03T00:00:00"/>
    <n v="14.7"/>
    <n v="29.99"/>
    <n v="15.29"/>
    <n v="14"/>
    <n v="419.85999999999996"/>
    <n v="0.04"/>
    <n v="16.7944"/>
    <n v="403.06559999999996"/>
    <n v="5.5"/>
    <n v="408.56559999999996"/>
  </r>
  <r>
    <s v="6166-1"/>
    <x v="523"/>
    <x v="3"/>
    <s v="Lena Creighton"/>
    <s v="127 Liverpool St,Sydney"/>
    <s v="Sydney"/>
    <x v="1"/>
    <x v="0"/>
    <x v="6"/>
    <s v="High"/>
    <s v="Steady Liquid Accent Highlighters"/>
    <s v="Office Supplies"/>
    <s v="Wrap Bag"/>
    <s v="Regular Air"/>
    <d v="2016-01-11T00:00:00"/>
    <n v="3.47"/>
    <n v="6.68"/>
    <n v="3.2099999999999995"/>
    <n v="10"/>
    <n v="66.8"/>
    <n v="0.08"/>
    <n v="5.3440000000000003"/>
    <n v="61.455999999999996"/>
    <n v="1.5"/>
    <n v="62.955999999999996"/>
  </r>
  <r>
    <s v="6167-1"/>
    <x v="524"/>
    <x v="3"/>
    <s v="Dave Hallsten"/>
    <s v="1 John St,Waterloo"/>
    <s v="Sydney"/>
    <x v="1"/>
    <x v="0"/>
    <x v="10"/>
    <s v="High"/>
    <s v="Artisan Legal 4-Ring Binder"/>
    <s v="Office Supplies"/>
    <s v="Small Box"/>
    <s v="Regular Air"/>
    <d v="2016-01-14T00:00:00"/>
    <n v="13.64"/>
    <n v="20.98"/>
    <n v="7.34"/>
    <n v="34"/>
    <n v="713.32"/>
    <n v="7.0000000000000007E-2"/>
    <n v="49.932400000000008"/>
    <n v="663.38760000000002"/>
    <n v="1.49"/>
    <n v="664.87760000000003"/>
  </r>
  <r>
    <s v="6168-1"/>
    <x v="525"/>
    <x v="3"/>
    <s v="Art Foster"/>
    <s v="14 Money Street, Perth"/>
    <s v="Sydney"/>
    <x v="1"/>
    <x v="0"/>
    <x v="7"/>
    <s v="High"/>
    <s v="Laser Neon Mac Format Diskettes, 10/Pack"/>
    <s v="Technology"/>
    <s v="Small Pack"/>
    <s v="Regular Air"/>
    <d v="2016-01-18T00:00:00"/>
    <n v="1.87"/>
    <n v="8.1199999999999992"/>
    <n v="6.2499999999999991"/>
    <n v="47"/>
    <n v="381.64"/>
    <n v="7.0000000000000007E-2"/>
    <n v="26.7148"/>
    <n v="354.92519999999996"/>
    <n v="2.83"/>
    <n v="357.75519999999995"/>
  </r>
  <r>
    <s v="6169-1"/>
    <x v="525"/>
    <x v="3"/>
    <s v="Cyra Reiten"/>
    <s v="Westfield 1 Anderson St,Chatswood"/>
    <s v="Sydney"/>
    <x v="1"/>
    <x v="2"/>
    <x v="3"/>
    <s v="Medium"/>
    <s v="Laser Neon Mac Format Diskettes, 10/Pack"/>
    <s v="Technology"/>
    <s v="Small Pack"/>
    <s v="Regular Air"/>
    <d v="2016-01-17T00:00:00"/>
    <n v="1.87"/>
    <n v="8.1199999999999992"/>
    <n v="6.2499999999999991"/>
    <n v="36"/>
    <n v="292.32"/>
    <n v="0.1"/>
    <n v="29.231999999999999"/>
    <n v="263.08799999999997"/>
    <n v="2.83"/>
    <n v="265.91799999999995"/>
  </r>
  <r>
    <s v="6170-1"/>
    <x v="525"/>
    <x v="3"/>
    <s v="Maria Bertelson"/>
    <s v="188 Pitt Street,Sydney"/>
    <s v="Sydney"/>
    <x v="1"/>
    <x v="0"/>
    <x v="8"/>
    <s v="Medium"/>
    <s v="Smiths SlimLine Pencil Sharpener"/>
    <s v="Office Supplies"/>
    <s v="Small Pack"/>
    <s v="Regular Air"/>
    <d v="2016-01-19T00:00:00"/>
    <n v="4.79"/>
    <n v="11.97"/>
    <n v="7.1800000000000006"/>
    <n v="28"/>
    <n v="335.16"/>
    <n v="0.03"/>
    <n v="10.0548"/>
    <n v="325.10520000000002"/>
    <n v="5.81"/>
    <n v="330.91520000000003"/>
  </r>
  <r>
    <s v="6172-1"/>
    <x v="526"/>
    <x v="3"/>
    <s v="Nicole Brennan"/>
    <s v="310 Wattle St,Ultimo"/>
    <s v="Sydney"/>
    <x v="1"/>
    <x v="0"/>
    <x v="9"/>
    <s v="Not Specified"/>
    <s v="TechSavi Access Keyboard"/>
    <s v="Technology"/>
    <s v="Small Box"/>
    <s v="Regular Air"/>
    <d v="2016-01-20T00:00:00"/>
    <n v="8.31"/>
    <n v="15.98"/>
    <n v="7.67"/>
    <n v="4"/>
    <n v="63.92"/>
    <n v="0.09"/>
    <n v="5.7527999999999997"/>
    <n v="58.167200000000001"/>
    <n v="6.5"/>
    <n v="64.667200000000008"/>
  </r>
  <r>
    <s v="6174-1"/>
    <x v="527"/>
    <x v="3"/>
    <s v="Tamara Willingham"/>
    <s v="Sydney Fish Market, Bank Street, Sydney"/>
    <s v="Sydney"/>
    <x v="1"/>
    <x v="1"/>
    <x v="4"/>
    <s v="High"/>
    <s v="Beekin 6 Outlet Metallic Surge Strip"/>
    <s v="Office Supplies"/>
    <s v="Small Box"/>
    <s v="Regular Air"/>
    <d v="2016-01-19T00:00:00"/>
    <n v="4.46"/>
    <n v="10.89"/>
    <n v="6.4300000000000006"/>
    <n v="25"/>
    <n v="272.25"/>
    <n v="0.03"/>
    <n v="8.1675000000000004"/>
    <n v="264.08249999999998"/>
    <n v="4.5"/>
    <n v="268.58249999999998"/>
  </r>
  <r>
    <s v="6175-1"/>
    <x v="527"/>
    <x v="3"/>
    <s v="Sue Ann Reed"/>
    <s v="501 George St,Sydney"/>
    <s v="Sydney"/>
    <x v="1"/>
    <x v="2"/>
    <x v="6"/>
    <s v="Critical"/>
    <s v="Office Shears by Apex"/>
    <s v="Office Supplies"/>
    <s v="Small Pack"/>
    <s v="Regular Air"/>
    <d v="2016-01-19T00:00:00"/>
    <n v="0.94"/>
    <n v="2.08"/>
    <n v="1.1400000000000001"/>
    <n v="33"/>
    <n v="68.64"/>
    <n v="0.05"/>
    <n v="3.4320000000000004"/>
    <n v="65.207999999999998"/>
    <n v="2.56"/>
    <n v="67.768000000000001"/>
  </r>
  <r>
    <s v="6176-1"/>
    <x v="527"/>
    <x v="3"/>
    <s v="Justin MacKendrick"/>
    <s v="53-55 Liverpool Street,Sydney"/>
    <s v="Sydney"/>
    <x v="1"/>
    <x v="1"/>
    <x v="8"/>
    <s v="Critical"/>
    <s v="UGen Ultra Professional Cordless Optical Suite"/>
    <s v="Technology"/>
    <s v="Small Box"/>
    <s v="Regular Air"/>
    <d v="2016-01-19T00:00:00"/>
    <n v="156.5"/>
    <n v="300.97000000000003"/>
    <n v="144.47000000000003"/>
    <n v="43"/>
    <n v="12941.710000000001"/>
    <n v="0.08"/>
    <n v="1035.3368"/>
    <n v="11906.373200000002"/>
    <n v="7.18"/>
    <n v="11913.553200000002"/>
  </r>
  <r>
    <s v="6177-1"/>
    <x v="528"/>
    <x v="3"/>
    <s v="Joy Bell"/>
    <s v="Westfield Miranda, 600 Kingsway,Miranda"/>
    <s v="Sydney"/>
    <x v="1"/>
    <x v="0"/>
    <x v="12"/>
    <s v="Critical"/>
    <s v="Apex Straight Scissors"/>
    <s v="Office Supplies"/>
    <s v="Small Pack"/>
    <s v="Regular Air"/>
    <d v="2016-01-25T00:00:00"/>
    <n v="5.19"/>
    <n v="12.98"/>
    <n v="7.79"/>
    <n v="50"/>
    <n v="649"/>
    <n v="0.08"/>
    <n v="51.92"/>
    <n v="597.08000000000004"/>
    <n v="3.14"/>
    <n v="600.22"/>
  </r>
  <r>
    <s v="6179-1"/>
    <x v="529"/>
    <x v="3"/>
    <s v="Aleksandra Gannaway"/>
    <s v="508/130 Mounts Bay Road, Perth"/>
    <s v="Perth"/>
    <x v="2"/>
    <x v="1"/>
    <x v="8"/>
    <s v="High"/>
    <s v="Message Book, One Form per Page"/>
    <s v="Office Supplies"/>
    <s v="Wrap Bag"/>
    <s v="Express Air"/>
    <d v="2016-01-28T00:00:00"/>
    <n v="2.41"/>
    <n v="3.71"/>
    <n v="1.2999999999999998"/>
    <n v="16"/>
    <n v="59.36"/>
    <n v="0.1"/>
    <n v="5.9359999999999999"/>
    <n v="53.423999999999999"/>
    <n v="1.93"/>
    <n v="55.353999999999999"/>
  </r>
  <r>
    <s v="6181-1"/>
    <x v="530"/>
    <x v="3"/>
    <s v="Patrick ODonnell"/>
    <s v="21 Wentworth St,Parramatta"/>
    <s v="Sydney"/>
    <x v="1"/>
    <x v="0"/>
    <x v="9"/>
    <s v="Medium"/>
    <s v="Adesso Programmable 142-Key Keyboard"/>
    <s v="Technology"/>
    <s v="Small Box"/>
    <s v="Regular Air"/>
    <d v="2016-01-29T00:00:00"/>
    <n v="39.64"/>
    <n v="152.47999999999999"/>
    <n v="112.83999999999999"/>
    <n v="27"/>
    <n v="4116.96"/>
    <n v="0.1"/>
    <n v="411.69600000000003"/>
    <n v="3705.2640000000001"/>
    <n v="6.5"/>
    <n v="3711.7640000000001"/>
  </r>
  <r>
    <s v="6183-1"/>
    <x v="530"/>
    <x v="3"/>
    <s v="Noel Staavos"/>
    <s v="10/145 Newcastle Street"/>
    <s v="Perth"/>
    <x v="2"/>
    <x v="0"/>
    <x v="11"/>
    <s v="Critical"/>
    <s v="Unpadded Memo Slips"/>
    <s v="Office Supplies"/>
    <s v="Wrap Bag"/>
    <s v="Regular Air"/>
    <d v="2016-01-30T00:00:00"/>
    <n v="2.59"/>
    <n v="3.98"/>
    <n v="1.3900000000000001"/>
    <n v="41"/>
    <n v="163.18"/>
    <n v="0.1"/>
    <n v="16.318000000000001"/>
    <n v="146.86199999999999"/>
    <n v="2.97"/>
    <n v="149.83199999999999"/>
  </r>
  <r>
    <s v="6184-1"/>
    <x v="531"/>
    <x v="3"/>
    <s v="Bryan Spruell"/>
    <s v="1 John Street,Waterloo"/>
    <s v="Sydney"/>
    <x v="1"/>
    <x v="0"/>
    <x v="10"/>
    <s v="Not Specified"/>
    <s v="Pizazz Drawing Pencil Set"/>
    <s v="Office Supplies"/>
    <s v="Wrap Bag"/>
    <s v="Regular Air"/>
    <d v="2016-01-31T00:00:00"/>
    <n v="1.53"/>
    <n v="2.78"/>
    <n v="1.2499999999999998"/>
    <n v="38"/>
    <n v="105.63999999999999"/>
    <n v="0"/>
    <n v="0"/>
    <n v="105.63999999999999"/>
    <n v="1.34"/>
    <n v="106.97999999999999"/>
  </r>
  <r>
    <s v="6185-1"/>
    <x v="532"/>
    <x v="3"/>
    <s v="Patrick Gardner"/>
    <s v="224A Gertrude St,Fitzroy"/>
    <s v="Melbourne"/>
    <x v="0"/>
    <x v="2"/>
    <x v="1"/>
    <s v="High"/>
    <s v="Artisan Reinforcements for Hole-Punch Pages"/>
    <s v="Office Supplies"/>
    <s v="Small Box"/>
    <s v="Regular Air"/>
    <d v="2016-02-02T00:00:00"/>
    <n v="1.19"/>
    <n v="1.98"/>
    <n v="0.79"/>
    <n v="12"/>
    <n v="23.759999999999998"/>
    <n v="7.0000000000000007E-2"/>
    <n v="1.6632"/>
    <n v="22.096799999999998"/>
    <n v="4.7699999999999996"/>
    <n v="26.866799999999998"/>
  </r>
  <r>
    <s v="6186-1"/>
    <x v="533"/>
    <x v="3"/>
    <s v="Paul Knutson"/>
    <s v="1/173-179 Bronte Rd,Waverley"/>
    <s v="Sydney"/>
    <x v="1"/>
    <x v="1"/>
    <x v="2"/>
    <s v="Critical"/>
    <s v="Cando PC940 Copier"/>
    <s v="Technology"/>
    <s v="Jumbo Drum"/>
    <s v="Delivery Truck"/>
    <d v="2016-02-03T00:00:00"/>
    <n v="278.99"/>
    <n v="449.99"/>
    <n v="171"/>
    <n v="16"/>
    <n v="7199.84"/>
    <n v="0.09"/>
    <n v="647.98559999999998"/>
    <n v="6551.8544000000002"/>
    <n v="49"/>
    <n v="6600.8544000000002"/>
  </r>
  <r>
    <s v="6187-1"/>
    <x v="534"/>
    <x v="3"/>
    <s v="Darrin Martin"/>
    <s v="221 Barkly St,St Kilda"/>
    <s v="Melbourne"/>
    <x v="0"/>
    <x v="3"/>
    <x v="0"/>
    <s v="Low"/>
    <s v="Smiths Bulk Pack Metal Binder Clips"/>
    <s v="Office Supplies"/>
    <s v="Wrap Bag"/>
    <s v="Regular Air"/>
    <d v="2016-02-05T00:00:00"/>
    <n v="3.95"/>
    <n v="6.08"/>
    <n v="2.13"/>
    <n v="42"/>
    <n v="255.36"/>
    <n v="0.09"/>
    <n v="22.982400000000002"/>
    <n v="232.3776"/>
    <n v="1.82"/>
    <n v="234.19759999999999"/>
  </r>
  <r>
    <s v="6189-1"/>
    <x v="535"/>
    <x v="3"/>
    <s v="Cyma Kinney"/>
    <s v="10 Lake Street"/>
    <s v="Perth"/>
    <x v="2"/>
    <x v="3"/>
    <x v="4"/>
    <s v="Not Specified"/>
    <s v="Steady 52201 APSCO Electric Pencil Sharpener"/>
    <s v="Office Supplies"/>
    <s v="Small Pack"/>
    <s v="Express Air"/>
    <d v="2016-02-05T00:00:00"/>
    <n v="16.8"/>
    <n v="40.97"/>
    <n v="24.169999999999998"/>
    <n v="49"/>
    <n v="2007.53"/>
    <n v="0.04"/>
    <n v="80.301199999999994"/>
    <n v="1927.2287999999999"/>
    <n v="8.99"/>
    <n v="1936.2187999999999"/>
  </r>
  <r>
    <s v="6190-1"/>
    <x v="536"/>
    <x v="3"/>
    <s v="Ed Braxton"/>
    <s v="499-501 Lygon Street,Carlton North"/>
    <s v="Melbourne"/>
    <x v="0"/>
    <x v="0"/>
    <x v="0"/>
    <s v="Medium"/>
    <s v="DrawIt Colored Pencils, 48-Color Set"/>
    <s v="Office Supplies"/>
    <s v="Wrap Bag"/>
    <s v="Regular Air"/>
    <d v="2016-02-09T00:00:00"/>
    <n v="21.56"/>
    <n v="36.549999999999997"/>
    <n v="14.989999999999998"/>
    <n v="6"/>
    <n v="219.29999999999998"/>
    <n v="0.01"/>
    <n v="2.1930000000000001"/>
    <n v="217.10699999999997"/>
    <n v="13.89"/>
    <n v="230.99699999999996"/>
  </r>
  <r>
    <s v="6191-1"/>
    <x v="537"/>
    <x v="3"/>
    <s v="Roy Skaria"/>
    <s v="2/797 Botany Rd,Rosebery"/>
    <s v="Sydney"/>
    <x v="1"/>
    <x v="1"/>
    <x v="6"/>
    <s v="Low"/>
    <s v="Unpadded Memo Slips"/>
    <s v="Office Supplies"/>
    <s v="Wrap Bag"/>
    <s v="Regular Air"/>
    <d v="2016-02-14T00:00:00"/>
    <n v="2.59"/>
    <n v="3.98"/>
    <n v="1.3900000000000001"/>
    <n v="50"/>
    <n v="199"/>
    <n v="0.08"/>
    <n v="15.92"/>
    <n v="183.08"/>
    <n v="2.97"/>
    <n v="186.05"/>
  </r>
  <r>
    <s v="6193-1"/>
    <x v="538"/>
    <x v="3"/>
    <s v="Roy Skaria"/>
    <s v="2/797 Botany Rd,Rosebery"/>
    <s v="Sydney"/>
    <x v="1"/>
    <x v="1"/>
    <x v="6"/>
    <s v="Medium"/>
    <s v="PastelOcean Color Pencil Set"/>
    <s v="Office Supplies"/>
    <s v="Wrap Bag"/>
    <s v="Regular Air"/>
    <d v="2016-02-11T00:00:00"/>
    <n v="11.11"/>
    <n v="19.84"/>
    <n v="8.73"/>
    <n v="10"/>
    <n v="198.4"/>
    <n v="0.05"/>
    <n v="9.9200000000000017"/>
    <n v="188.48000000000002"/>
    <n v="4.0999999999999996"/>
    <n v="192.58"/>
  </r>
  <r>
    <s v="6194-1"/>
    <x v="539"/>
    <x v="3"/>
    <s v="Ralph Knight"/>
    <s v="5/63-71 Enmore Rd,Newtown"/>
    <s v="Sydney"/>
    <x v="1"/>
    <x v="2"/>
    <x v="10"/>
    <s v="Medium"/>
    <s v="600 Series Flip"/>
    <s v="Technology"/>
    <s v="Small Box"/>
    <s v="Regular Air"/>
    <d v="2016-02-13T00:00:00"/>
    <n v="41.28"/>
    <n v="95.99"/>
    <n v="54.709999999999994"/>
    <n v="14"/>
    <n v="1343.86"/>
    <n v="0.04"/>
    <n v="53.754399999999997"/>
    <n v="1290.1055999999999"/>
    <n v="8.99"/>
    <n v="1299.0955999999999"/>
  </r>
  <r>
    <s v="6196-1"/>
    <x v="539"/>
    <x v="3"/>
    <s v="Eva Jacobs"/>
    <s v="Westfield 1 Anderson St,Chatswood"/>
    <s v="Sydney"/>
    <x v="1"/>
    <x v="0"/>
    <x v="3"/>
    <s v="Low"/>
    <s v="Multimedia Mailers"/>
    <s v="Office Supplies"/>
    <s v="Small Box"/>
    <s v="Regular Air"/>
    <d v="2016-02-20T00:00:00"/>
    <n v="99.39"/>
    <n v="162.93"/>
    <n v="63.540000000000006"/>
    <n v="22"/>
    <n v="3584.46"/>
    <n v="7.0000000000000007E-2"/>
    <n v="250.91220000000001"/>
    <n v="3333.5477999999998"/>
    <n v="19.989999999999998"/>
    <n v="3353.5377999999996"/>
  </r>
  <r>
    <s v="6197-1"/>
    <x v="540"/>
    <x v="3"/>
    <s v="Alejandro Ballentine"/>
    <s v="412 Brunswick St,Fitzroy"/>
    <s v="Melbourne"/>
    <x v="0"/>
    <x v="3"/>
    <x v="1"/>
    <s v="Critical"/>
    <s v="Lumi Crayons"/>
    <s v="Office Supplies"/>
    <s v="Wrap Bag"/>
    <s v="Regular Air"/>
    <d v="2016-02-13T00:00:00"/>
    <n v="5.22"/>
    <n v="9.85"/>
    <n v="4.63"/>
    <n v="48"/>
    <n v="472.79999999999995"/>
    <n v="0.09"/>
    <n v="42.551999999999992"/>
    <n v="430.24799999999993"/>
    <n v="4.82"/>
    <n v="435.06799999999993"/>
  </r>
  <r>
    <s v="6197-2"/>
    <x v="540"/>
    <x v="3"/>
    <s v="Alejandro Ballentine"/>
    <s v="412 Brunswick St,Fitzroy"/>
    <s v="Melbourne"/>
    <x v="0"/>
    <x v="3"/>
    <x v="1"/>
    <s v="Critical"/>
    <s v="Pizazz Colored Pencils"/>
    <s v="Office Supplies"/>
    <s v="Wrap Bag"/>
    <s v="Regular Air"/>
    <d v="2016-02-13T00:00:00"/>
    <n v="1.76"/>
    <n v="2.94"/>
    <n v="1.18"/>
    <n v="18"/>
    <n v="52.92"/>
    <n v="0.01"/>
    <n v="0.5292"/>
    <n v="52.390799999999999"/>
    <n v="0.81"/>
    <n v="53.200800000000001"/>
  </r>
  <r>
    <s v="6201-1"/>
    <x v="541"/>
    <x v="3"/>
    <s v="Gary Hansen"/>
    <s v="273 George Street,Sydney"/>
    <s v="Sydney"/>
    <x v="1"/>
    <x v="2"/>
    <x v="2"/>
    <s v="High"/>
    <s v="Aluminum Document Frame"/>
    <s v="Furniture"/>
    <s v="Small Pack"/>
    <s v="Regular Air"/>
    <d v="2016-02-14T00:00:00"/>
    <n v="5.5"/>
    <n v="12.22"/>
    <n v="6.7200000000000006"/>
    <n v="10"/>
    <n v="122.2"/>
    <n v="0.1"/>
    <n v="12.22"/>
    <n v="109.98"/>
    <n v="2.85"/>
    <n v="112.83"/>
  </r>
  <r>
    <s v="6203-1"/>
    <x v="541"/>
    <x v="3"/>
    <s v="Scot Coram"/>
    <s v="2-4 College Street, Darlinghurst"/>
    <s v="Sydney"/>
    <x v="1"/>
    <x v="1"/>
    <x v="3"/>
    <s v="High"/>
    <s v="Apex Box Cutter Scissors"/>
    <s v="Office Supplies"/>
    <s v="Small Pack"/>
    <s v="Express Air"/>
    <d v="2016-02-16T00:00:00"/>
    <n v="4.1900000000000004"/>
    <n v="10.23"/>
    <n v="6.04"/>
    <n v="19"/>
    <n v="194.37"/>
    <n v="0.08"/>
    <n v="15.5496"/>
    <n v="178.82040000000001"/>
    <n v="4.68"/>
    <n v="183.50040000000001"/>
  </r>
  <r>
    <s v="6204-1"/>
    <x v="541"/>
    <x v="3"/>
    <s v="Pete Armstrong"/>
    <s v="506 Swan Street,Richmond"/>
    <s v="Melbourne"/>
    <x v="0"/>
    <x v="2"/>
    <x v="1"/>
    <s v="High"/>
    <s v="Wirebound Voice Message Log Book"/>
    <s v="Office Supplies"/>
    <s v="Wrap Bag"/>
    <s v="Regular Air"/>
    <d v="2016-02-16T00:00:00"/>
    <n v="2.9"/>
    <n v="4.76"/>
    <n v="1.8599999999999999"/>
    <n v="33"/>
    <n v="157.07999999999998"/>
    <n v="0.06"/>
    <n v="9.4247999999999994"/>
    <n v="147.65519999999998"/>
    <n v="0.88"/>
    <n v="148.53519999999997"/>
  </r>
  <r>
    <s v="6206-1"/>
    <x v="542"/>
    <x v="3"/>
    <s v="Dionis Lloyd"/>
    <s v="85-113 Dunning Ave,Rosebery"/>
    <s v="Sydney"/>
    <x v="1"/>
    <x v="3"/>
    <x v="11"/>
    <s v="Not Specified"/>
    <s v="Angle-D Binders with Locking Rings, Label Holders"/>
    <s v="Office Supplies"/>
    <s v="Small Box"/>
    <s v="Regular Air"/>
    <d v="2016-02-17T00:00:00"/>
    <n v="4.53"/>
    <n v="7.3"/>
    <n v="2.7699999999999996"/>
    <n v="36"/>
    <n v="262.8"/>
    <n v="0.1"/>
    <n v="26.28"/>
    <n v="236.52"/>
    <n v="7.72"/>
    <n v="244.24"/>
  </r>
  <r>
    <s v="6208-1"/>
    <x v="542"/>
    <x v="3"/>
    <s v="Don Jones"/>
    <s v="6-8 O'Connell Street,Newtown"/>
    <s v="Sydney"/>
    <x v="1"/>
    <x v="1"/>
    <x v="3"/>
    <s v="Low"/>
    <s v="Unpadded Memo Slips"/>
    <s v="Office Supplies"/>
    <s v="Wrap Bag"/>
    <s v="Regular Air"/>
    <d v="2016-02-21T00:00:00"/>
    <n v="2.59"/>
    <n v="3.98"/>
    <n v="1.3900000000000001"/>
    <n v="11"/>
    <n v="43.78"/>
    <n v="0.01"/>
    <n v="0.43780000000000002"/>
    <n v="43.342199999999998"/>
    <n v="2.97"/>
    <n v="46.312199999999997"/>
  </r>
  <r>
    <s v="6209-1"/>
    <x v="543"/>
    <x v="3"/>
    <s v="Tony Sayre"/>
    <s v="499-501 Lygon Street,Carlton North"/>
    <s v="Melbourne"/>
    <x v="0"/>
    <x v="0"/>
    <x v="0"/>
    <s v="Not Specified"/>
    <s v="Smiths Metal Binder Clips"/>
    <s v="Office Supplies"/>
    <s v="Wrap Bag"/>
    <s v="Regular Air"/>
    <d v="2016-02-18T00:00:00"/>
    <n v="1.6"/>
    <n v="2.62"/>
    <n v="1.02"/>
    <n v="48"/>
    <n v="125.76"/>
    <n v="0.1"/>
    <n v="12.576000000000001"/>
    <n v="113.184"/>
    <n v="0.8"/>
    <n v="113.98399999999999"/>
  </r>
  <r>
    <s v="6211-1"/>
    <x v="544"/>
    <x v="3"/>
    <s v="Andy Reiter"/>
    <s v="29 Wellington Street, Perth"/>
    <s v="Melbourne"/>
    <x v="0"/>
    <x v="1"/>
    <x v="0"/>
    <s v="Critical"/>
    <s v="TechSavi Cordless Access Keyboard"/>
    <s v="Technology"/>
    <s v="Small Box"/>
    <s v="Regular Air"/>
    <d v="2016-02-22T00:00:00"/>
    <n v="14.7"/>
    <n v="29.99"/>
    <n v="15.29"/>
    <n v="11"/>
    <n v="329.89"/>
    <n v="0.08"/>
    <n v="26.391199999999998"/>
    <n v="303.49879999999996"/>
    <n v="5.5"/>
    <n v="308.99879999999996"/>
  </r>
  <r>
    <s v="6213-1"/>
    <x v="545"/>
    <x v="3"/>
    <s v="Clay Cheatham"/>
    <s v="Macquarie Centre Cnr Herring Road &amp; Waterloo Road,Macquarie Park"/>
    <s v="Sydney"/>
    <x v="1"/>
    <x v="3"/>
    <x v="3"/>
    <s v="Not Specified"/>
    <s v="Cando PC940 Copier"/>
    <s v="Technology"/>
    <s v="Jumbo Drum"/>
    <s v="Delivery Truck"/>
    <d v="2016-02-23T00:00:00"/>
    <n v="278.99"/>
    <n v="449.99"/>
    <n v="171"/>
    <n v="38"/>
    <n v="17099.62"/>
    <n v="0.01"/>
    <n v="170.99619999999999"/>
    <n v="16928.623799999998"/>
    <n v="49"/>
    <n v="16977.623799999998"/>
  </r>
  <r>
    <s v="6214-1"/>
    <x v="546"/>
    <x v="3"/>
    <s v="Quincy Jones"/>
    <s v="Shop 3/144 Waterloo Road,Greenacre"/>
    <s v="Sydney"/>
    <x v="1"/>
    <x v="3"/>
    <x v="6"/>
    <s v="Medium"/>
    <s v="Smiths Colored Bar Computer Paper"/>
    <s v="Office Supplies"/>
    <s v="Small Box"/>
    <s v="Regular Air"/>
    <d v="2016-02-24T00:00:00"/>
    <n v="21.97"/>
    <n v="35.44"/>
    <n v="13.469999999999999"/>
    <n v="48"/>
    <n v="1701.12"/>
    <n v="0.08"/>
    <n v="136.08959999999999"/>
    <n v="1565.0303999999999"/>
    <n v="4.92"/>
    <n v="1569.9503999999999"/>
  </r>
  <r>
    <s v="6215-1"/>
    <x v="547"/>
    <x v="3"/>
    <s v="Linda Southworth"/>
    <s v="359 Crown Street,Surry Hills"/>
    <s v="Sydney"/>
    <x v="1"/>
    <x v="2"/>
    <x v="4"/>
    <s v="Low"/>
    <s v="Artisan Hi-Liter Smear-Safe Highlighters"/>
    <s v="Office Supplies"/>
    <s v="Wrap Bag"/>
    <s v="Regular Air"/>
    <d v="2016-03-04T00:00:00"/>
    <n v="2.98"/>
    <n v="5.84"/>
    <n v="2.86"/>
    <n v="19"/>
    <n v="110.96"/>
    <n v="0.01"/>
    <n v="1.1095999999999999"/>
    <n v="109.85039999999999"/>
    <n v="0.83"/>
    <n v="110.68039999999999"/>
  </r>
  <r>
    <s v="6217-1"/>
    <x v="548"/>
    <x v="3"/>
    <s v="Bill Donatelli"/>
    <s v="8 Orange Street, Perth"/>
    <s v="Perth"/>
    <x v="2"/>
    <x v="3"/>
    <x v="4"/>
    <s v="Medium"/>
    <s v="TypeRight Side-Opening Peel &amp; Seel Expanding Envelopes"/>
    <s v="Office Supplies"/>
    <s v="Small Box"/>
    <s v="Regular Air"/>
    <d v="2016-02-29T00:00:00"/>
    <n v="54.29"/>
    <n v="90.48"/>
    <n v="36.190000000000005"/>
    <n v="16"/>
    <n v="1447.68"/>
    <n v="0"/>
    <n v="0"/>
    <n v="1447.68"/>
    <n v="19.989999999999998"/>
    <n v="1467.67"/>
  </r>
  <r>
    <s v="6219-1"/>
    <x v="549"/>
    <x v="3"/>
    <s v="Steven Cartwright"/>
    <s v="523 King St,Newtown"/>
    <s v="Sydney"/>
    <x v="1"/>
    <x v="0"/>
    <x v="9"/>
    <s v="Low"/>
    <s v="Steady Pocket Accent Highlighters"/>
    <s v="Office Supplies"/>
    <s v="Wrap Bag"/>
    <s v="Regular Air"/>
    <d v="2016-03-09T00:00:00"/>
    <n v="0.93"/>
    <n v="1.6"/>
    <n v="0.67"/>
    <n v="43"/>
    <n v="68.8"/>
    <n v="0.01"/>
    <n v="0.68799999999999994"/>
    <n v="68.111999999999995"/>
    <n v="1.29"/>
    <n v="69.402000000000001"/>
  </r>
  <r>
    <s v="6220-1"/>
    <x v="550"/>
    <x v="3"/>
    <s v="Erica Smith"/>
    <s v="188 Pitt Street,Sydney"/>
    <s v="Sydney"/>
    <x v="1"/>
    <x v="3"/>
    <x v="8"/>
    <s v="Low"/>
    <s v="600 Series Flip"/>
    <s v="Technology"/>
    <s v="Small Box"/>
    <s v="Regular Air"/>
    <d v="2016-03-11T00:00:00"/>
    <n v="41.28"/>
    <n v="95.99"/>
    <n v="54.709999999999994"/>
    <n v="40"/>
    <n v="3839.6"/>
    <n v="0.05"/>
    <n v="191.98000000000002"/>
    <n v="3647.62"/>
    <n v="8.99"/>
    <n v="3656.6099999999997"/>
  </r>
  <r>
    <s v="6221-1"/>
    <x v="550"/>
    <x v="3"/>
    <s v="Robert Marley"/>
    <s v="211/25-29 Dixon St,Haymarket"/>
    <s v="Sydney"/>
    <x v="1"/>
    <x v="1"/>
    <x v="12"/>
    <s v="Not Specified"/>
    <s v="Artisan Hole Reinforcements"/>
    <s v="Office Supplies"/>
    <s v="Small Box"/>
    <s v="Express Air"/>
    <d v="2016-03-07T00:00:00"/>
    <n v="3.99"/>
    <n v="6.23"/>
    <n v="2.2400000000000002"/>
    <n v="33"/>
    <n v="205.59"/>
    <n v="0.08"/>
    <n v="16.447200000000002"/>
    <n v="189.14279999999999"/>
    <n v="6.97"/>
    <n v="196.11279999999999"/>
  </r>
  <r>
    <s v="6222-1"/>
    <x v="551"/>
    <x v="3"/>
    <s v="Rick Hansen"/>
    <s v="Macquarie Centre Cnr Herring Road &amp; Waterloo Road,Macquarie Park"/>
    <s v="Sydney"/>
    <x v="1"/>
    <x v="0"/>
    <x v="3"/>
    <s v="Medium"/>
    <s v="Steady 52201 APSCO Electric Pencil Sharpener"/>
    <s v="Office Supplies"/>
    <s v="Small Pack"/>
    <s v="Regular Air"/>
    <d v="2016-03-08T00:00:00"/>
    <n v="16.8"/>
    <n v="40.97"/>
    <n v="24.169999999999998"/>
    <n v="14"/>
    <n v="573.57999999999993"/>
    <n v="0"/>
    <n v="0"/>
    <n v="573.57999999999993"/>
    <n v="8.99"/>
    <n v="582.56999999999994"/>
  </r>
  <r>
    <s v="6223-1"/>
    <x v="552"/>
    <x v="3"/>
    <s v="Shirley Schmidt"/>
    <s v="60 Commercial Rd,Prahran"/>
    <s v="Melbourne"/>
    <x v="0"/>
    <x v="1"/>
    <x v="0"/>
    <s v="Medium"/>
    <s v="Beekin 105-Key Black Keyboard"/>
    <s v="Technology"/>
    <s v="Small Box"/>
    <s v="Regular Air"/>
    <d v="2016-03-10T00:00:00"/>
    <n v="6.39"/>
    <n v="19.98"/>
    <n v="13.59"/>
    <n v="39"/>
    <n v="779.22"/>
    <n v="0.05"/>
    <n v="38.961000000000006"/>
    <n v="740.25900000000001"/>
    <n v="4"/>
    <n v="744.25900000000001"/>
  </r>
  <r>
    <s v="6224-1"/>
    <x v="553"/>
    <x v="3"/>
    <s v="Brooke Gillingham"/>
    <s v="21 Wentworth St,Parramatta"/>
    <s v="Sydney"/>
    <x v="1"/>
    <x v="3"/>
    <x v="9"/>
    <s v="Medium"/>
    <s v="Multi-Use Personal File Cart and Caster Set, Three Stacking Bins"/>
    <s v="Office Supplies"/>
    <s v="Small Box"/>
    <s v="Regular Air"/>
    <d v="2016-03-13T00:00:00"/>
    <n v="14.95"/>
    <n v="34.76"/>
    <n v="19.809999999999999"/>
    <n v="27"/>
    <n v="938.52"/>
    <n v="0.1"/>
    <n v="93.852000000000004"/>
    <n v="844.66800000000001"/>
    <n v="8.2200000000000006"/>
    <n v="852.88800000000003"/>
  </r>
  <r>
    <s v="6225-1"/>
    <x v="554"/>
    <x v="3"/>
    <s v="Magdelene Morse"/>
    <s v="53 Riley Street,Woolloomooloo"/>
    <s v="Sydney"/>
    <x v="1"/>
    <x v="0"/>
    <x v="8"/>
    <s v="Medium"/>
    <s v="Smiths Pushpins"/>
    <s v="Office Supplies"/>
    <s v="Wrap Bag"/>
    <s v="Regular Air"/>
    <d v="2016-03-12T00:00:00"/>
    <n v="0.94"/>
    <n v="1.88"/>
    <n v="0.94"/>
    <n v="36"/>
    <n v="67.679999999999993"/>
    <n v="0.04"/>
    <n v="2.7071999999999998"/>
    <n v="64.972799999999992"/>
    <n v="0.79"/>
    <n v="65.762799999999999"/>
  </r>
  <r>
    <s v="6226-1"/>
    <x v="554"/>
    <x v="3"/>
    <s v="Andrew Allen"/>
    <s v="15 Aberdeen Street, Perth"/>
    <s v="Sydney"/>
    <x v="1"/>
    <x v="1"/>
    <x v="4"/>
    <s v="Low"/>
    <s v="Steady Pocket Accent Highlighters"/>
    <s v="Office Supplies"/>
    <s v="Wrap Bag"/>
    <s v="Regular Air"/>
    <d v="2016-03-17T00:00:00"/>
    <n v="0.93"/>
    <n v="1.6"/>
    <n v="0.67"/>
    <n v="40"/>
    <n v="64"/>
    <n v="0.01"/>
    <n v="0.64"/>
    <n v="63.36"/>
    <n v="1.29"/>
    <n v="64.650000000000006"/>
  </r>
  <r>
    <s v="6227-1"/>
    <x v="555"/>
    <x v="3"/>
    <s v="Sandra Flanagan"/>
    <s v="359 Crown Street,Surry Hills"/>
    <s v="Sydney"/>
    <x v="1"/>
    <x v="0"/>
    <x v="4"/>
    <s v="Low"/>
    <s v="Xit Blank Computer Paper"/>
    <s v="Office Supplies"/>
    <s v="Small Box"/>
    <s v="Regular Air"/>
    <d v="2016-03-18T00:00:00"/>
    <n v="12.39"/>
    <n v="19.98"/>
    <n v="7.59"/>
    <n v="47"/>
    <n v="939.06000000000006"/>
    <n v="0"/>
    <n v="0"/>
    <n v="939.06000000000006"/>
    <n v="5.77"/>
    <n v="944.83"/>
  </r>
  <r>
    <s v="6228-1"/>
    <x v="556"/>
    <x v="3"/>
    <s v="Natalie Webber"/>
    <s v="98-104 Parramatta Rd,Camperdown"/>
    <s v="Sydney"/>
    <x v="1"/>
    <x v="2"/>
    <x v="4"/>
    <s v="Critical"/>
    <s v="DrawIt Colored Pencils, 48-Color Set"/>
    <s v="Office Supplies"/>
    <s v="Wrap Bag"/>
    <s v="Regular Air"/>
    <d v="2016-03-19T00:00:00"/>
    <n v="21.56"/>
    <n v="36.549999999999997"/>
    <n v="14.989999999999998"/>
    <n v="2"/>
    <n v="73.099999999999994"/>
    <n v="0.03"/>
    <n v="2.1929999999999996"/>
    <n v="70.906999999999996"/>
    <n v="13.89"/>
    <n v="84.796999999999997"/>
  </r>
  <r>
    <s v="6228-1"/>
    <x v="556"/>
    <x v="3"/>
    <s v="Monica Federle"/>
    <s v="834 Bourke St,Waterloo"/>
    <s v="Sydney"/>
    <x v="1"/>
    <x v="1"/>
    <x v="10"/>
    <s v="Critical"/>
    <s v="Bagged Rubber Bands"/>
    <s v="Office Supplies"/>
    <s v="Wrap Bag"/>
    <s v="Regular Air"/>
    <d v="2016-03-20T00:00:00"/>
    <n v="0.24"/>
    <n v="1.26"/>
    <n v="1.02"/>
    <n v="47"/>
    <n v="59.22"/>
    <n v="7.0000000000000007E-2"/>
    <n v="4.1454000000000004"/>
    <n v="55.074599999999997"/>
    <n v="0.7"/>
    <n v="55.7746"/>
  </r>
  <r>
    <s v="6230-1"/>
    <x v="556"/>
    <x v="3"/>
    <s v="Carol Darley"/>
    <s v="Crown Complex,Southbank"/>
    <s v="Melbourne"/>
    <x v="0"/>
    <x v="3"/>
    <x v="0"/>
    <s v="Medium"/>
    <s v="Laser Neon Mac Format Diskettes, 10/Pack"/>
    <s v="Technology"/>
    <s v="Small Pack"/>
    <s v="Express Air"/>
    <d v="2016-03-18T00:00:00"/>
    <n v="1.87"/>
    <n v="8.1199999999999992"/>
    <n v="6.2499999999999991"/>
    <n v="37"/>
    <n v="300.44"/>
    <n v="0.01"/>
    <n v="3.0044"/>
    <n v="297.43560000000002"/>
    <n v="2.83"/>
    <n v="300.26560000000001"/>
  </r>
  <r>
    <s v="6231-1"/>
    <x v="557"/>
    <x v="3"/>
    <s v="Robert Marley"/>
    <s v="211/25-29 Dixon St,Haymarket"/>
    <s v="Sydney"/>
    <x v="1"/>
    <x v="1"/>
    <x v="12"/>
    <s v="Low"/>
    <s v="Artisan File Folder Labels"/>
    <s v="Office Supplies"/>
    <s v="Small Box"/>
    <s v="Regular Air"/>
    <d v="2016-03-23T00:00:00"/>
    <n v="1.84"/>
    <n v="2.88"/>
    <n v="1.0399999999999998"/>
    <n v="18"/>
    <n v="51.839999999999996"/>
    <n v="0.02"/>
    <n v="1.0367999999999999"/>
    <n v="50.803199999999997"/>
    <n v="5.33"/>
    <n v="56.133199999999995"/>
  </r>
  <r>
    <s v="6232-1"/>
    <x v="557"/>
    <x v="3"/>
    <s v="MaryBeth Skach"/>
    <s v="499-501 Lygon Street,Carlton North"/>
    <s v="Melbourne"/>
    <x v="0"/>
    <x v="0"/>
    <x v="0"/>
    <s v="High"/>
    <s v="Steady Major Accent Highlighters"/>
    <s v="Office Supplies"/>
    <s v="Wrap Bag"/>
    <s v="Regular Air"/>
    <d v="2016-03-18T00:00:00"/>
    <n v="3.75"/>
    <n v="7.08"/>
    <n v="3.33"/>
    <n v="16"/>
    <n v="113.28"/>
    <n v="0.02"/>
    <n v="2.2656000000000001"/>
    <n v="111.01439999999999"/>
    <n v="2.35"/>
    <n v="113.36439999999999"/>
  </r>
  <r>
    <s v="6234-1"/>
    <x v="558"/>
    <x v="3"/>
    <s v="Michael Kennedy"/>
    <s v="3 Orwell St,Potts Point"/>
    <s v="Sydney"/>
    <x v="1"/>
    <x v="1"/>
    <x v="2"/>
    <s v="Not Specified"/>
    <s v="Wirebound Voice Message Log Book"/>
    <s v="Office Supplies"/>
    <s v="Wrap Bag"/>
    <s v="Regular Air"/>
    <d v="2016-03-22T00:00:00"/>
    <n v="2.9"/>
    <n v="4.76"/>
    <n v="1.8599999999999999"/>
    <n v="23"/>
    <n v="109.47999999999999"/>
    <n v="0.05"/>
    <n v="5.4740000000000002"/>
    <n v="104.00599999999999"/>
    <n v="0.88"/>
    <n v="104.88599999999998"/>
  </r>
  <r>
    <s v="6235-1"/>
    <x v="559"/>
    <x v="3"/>
    <s v="Deanra Eno"/>
    <s v="412 Brunswick St,Fitzroy"/>
    <s v="Melbourne"/>
    <x v="0"/>
    <x v="1"/>
    <x v="1"/>
    <s v="Medium"/>
    <s v="1726 Digital Answering Machine"/>
    <s v="Technology"/>
    <s v="Medium Box"/>
    <s v="Regular Air"/>
    <d v="2016-03-22T00:00:00"/>
    <n v="8.82"/>
    <n v="20.99"/>
    <n v="12.169999999999998"/>
    <n v="2"/>
    <n v="41.98"/>
    <n v="7.0000000000000007E-2"/>
    <n v="2.9386000000000001"/>
    <n v="39.041399999999996"/>
    <n v="4.8099999999999996"/>
    <n v="43.851399999999998"/>
  </r>
  <r>
    <s v="6237-1"/>
    <x v="560"/>
    <x v="3"/>
    <s v="Toby Knight"/>
    <s v="Crown Complex,Southbank"/>
    <s v="Melbourne"/>
    <x v="0"/>
    <x v="1"/>
    <x v="1"/>
    <s v="Not Specified"/>
    <s v="Smiths Bulldog Clip"/>
    <s v="Office Supplies"/>
    <s v="Wrap Bag"/>
    <s v="Regular Air"/>
    <d v="2016-03-25T00:00:00"/>
    <n v="2.31"/>
    <n v="3.78"/>
    <n v="1.4699999999999998"/>
    <n v="28"/>
    <n v="105.83999999999999"/>
    <n v="0"/>
    <n v="0"/>
    <n v="105.83999999999999"/>
    <n v="0.71"/>
    <n v="106.54999999999998"/>
  </r>
  <r>
    <s v="6238-1"/>
    <x v="561"/>
    <x v="3"/>
    <s v="Nick Crebassa"/>
    <s v="2a/285A Crown St,Surry Hills"/>
    <s v="Sydney"/>
    <x v="1"/>
    <x v="1"/>
    <x v="4"/>
    <s v="Low"/>
    <s v="Apex Preferred Stainless Steel Scissors"/>
    <s v="Office Supplies"/>
    <s v="Small Pack"/>
    <s v="Regular Air"/>
    <d v="2016-03-28T00:00:00"/>
    <n v="2.5"/>
    <n v="5.68"/>
    <n v="3.1799999999999997"/>
    <n v="45"/>
    <n v="255.6"/>
    <n v="0.01"/>
    <n v="2.556"/>
    <n v="253.04399999999998"/>
    <n v="3.6"/>
    <n v="256.64400000000001"/>
  </r>
  <r>
    <s v="6240-1"/>
    <x v="561"/>
    <x v="3"/>
    <s v="Cyma Kinney"/>
    <s v="10 Lake Street"/>
    <s v="Perth"/>
    <x v="2"/>
    <x v="3"/>
    <x v="4"/>
    <s v="Critical"/>
    <s v="Artisan 479 Labels"/>
    <s v="Office Supplies"/>
    <s v="Small Box"/>
    <s v="Regular Air"/>
    <d v="2016-03-28T00:00:00"/>
    <n v="1.59"/>
    <n v="2.61"/>
    <n v="1.0199999999999998"/>
    <n v="8"/>
    <n v="20.88"/>
    <n v="0.02"/>
    <n v="0.41759999999999997"/>
    <n v="20.462399999999999"/>
    <n v="0.5"/>
    <n v="20.962399999999999"/>
  </r>
  <r>
    <s v="6242-1"/>
    <x v="562"/>
    <x v="3"/>
    <s v="Craig Leslie"/>
    <s v="10 Bligh St,Melbourne"/>
    <s v="Melbourne"/>
    <x v="0"/>
    <x v="2"/>
    <x v="1"/>
    <s v="High"/>
    <s v="Cando PC940 Copier"/>
    <s v="Technology"/>
    <s v="Large Box"/>
    <s v="Regular Air"/>
    <d v="2016-03-28T00:00:00"/>
    <n v="216"/>
    <n v="449.99"/>
    <n v="233.99"/>
    <n v="49"/>
    <n v="22049.510000000002"/>
    <n v="0.06"/>
    <n v="1322.9706000000001"/>
    <n v="20726.539400000001"/>
    <n v="24.49"/>
    <n v="20751.029400000003"/>
  </r>
  <r>
    <s v="6243-1"/>
    <x v="562"/>
    <x v="3"/>
    <s v="Deirdre Greer"/>
    <s v="33/4 Barangaroo Avenue,Sydney"/>
    <s v="Sydney"/>
    <x v="1"/>
    <x v="0"/>
    <x v="5"/>
    <s v="Low"/>
    <s v="Cando S750 Color Inkjet Printer"/>
    <s v="Technology"/>
    <s v="Jumbo Drum"/>
    <s v="Delivery Truck"/>
    <d v="2016-04-03T00:00:00"/>
    <n v="75"/>
    <n v="120.97"/>
    <n v="45.97"/>
    <n v="42"/>
    <n v="5080.74"/>
    <n v="0"/>
    <n v="0"/>
    <n v="5080.74"/>
    <n v="26.3"/>
    <n v="5107.04"/>
  </r>
  <r>
    <s v="6244-1"/>
    <x v="563"/>
    <x v="3"/>
    <s v="Sung Shariari"/>
    <s v="6/15 Cross Street,Double Bay"/>
    <s v="Sydney"/>
    <x v="1"/>
    <x v="1"/>
    <x v="2"/>
    <s v="Critical"/>
    <s v="Apex Straight Scissors"/>
    <s v="Office Supplies"/>
    <s v="Small Pack"/>
    <s v="Regular Air"/>
    <d v="2016-03-30T00:00:00"/>
    <n v="5.19"/>
    <n v="12.98"/>
    <n v="7.79"/>
    <n v="45"/>
    <n v="584.1"/>
    <n v="0.05"/>
    <n v="29.205000000000002"/>
    <n v="554.89499999999998"/>
    <n v="3.14"/>
    <n v="558.03499999999997"/>
  </r>
  <r>
    <s v="6246-1"/>
    <x v="563"/>
    <x v="3"/>
    <s v="Alan Dominguez"/>
    <s v="60 Commercial Rd,Prahran"/>
    <s v="Melbourne"/>
    <x v="0"/>
    <x v="1"/>
    <x v="0"/>
    <s v="Low"/>
    <s v="Artisan 481 Labels"/>
    <s v="Office Supplies"/>
    <s v="Small Box"/>
    <s v="Regular Air"/>
    <d v="2016-03-31T00:00:00"/>
    <n v="1.94"/>
    <n v="3.08"/>
    <n v="1.1400000000000001"/>
    <n v="42"/>
    <n v="129.36000000000001"/>
    <n v="0.09"/>
    <n v="11.6424"/>
    <n v="117.71760000000002"/>
    <n v="0.99"/>
    <n v="118.70760000000001"/>
  </r>
  <r>
    <s v="6248-1"/>
    <x v="564"/>
    <x v="3"/>
    <s v="Ruben Dartt"/>
    <s v="188 Pitt Street,Sydney"/>
    <s v="Sydney"/>
    <x v="1"/>
    <x v="1"/>
    <x v="8"/>
    <s v="Not Specified"/>
    <s v="Office Shears by Apex"/>
    <s v="Office Supplies"/>
    <s v="Small Pack"/>
    <s v="Regular Air"/>
    <d v="2016-03-31T00:00:00"/>
    <n v="0.94"/>
    <n v="2.08"/>
    <n v="1.1400000000000001"/>
    <n v="2"/>
    <n v="4.16"/>
    <n v="0.01"/>
    <n v="4.1600000000000005E-2"/>
    <n v="4.1184000000000003"/>
    <n v="2.56"/>
    <n v="6.6783999999999999"/>
  </r>
  <r>
    <s v="6250-1"/>
    <x v="565"/>
    <x v="3"/>
    <s v="Hunter Glantz"/>
    <s v="152 Bunnerong Road,Eastgardens"/>
    <s v="Sydney"/>
    <x v="1"/>
    <x v="1"/>
    <x v="8"/>
    <s v="Low"/>
    <s v="Artisan Flip-Chart Easel Binder, Black"/>
    <s v="Office Supplies"/>
    <s v="Small Box"/>
    <s v="Regular Air"/>
    <d v="2016-04-10T00:00:00"/>
    <n v="13.88"/>
    <n v="22.38"/>
    <n v="8.4999999999999982"/>
    <n v="16"/>
    <n v="358.08"/>
    <n v="0.09"/>
    <n v="32.227199999999996"/>
    <n v="325.8528"/>
    <n v="15.1"/>
    <n v="340.95280000000002"/>
  </r>
  <r>
    <s v="6252-1"/>
    <x v="566"/>
    <x v="3"/>
    <s v="Christina Vanderzanden"/>
    <s v="188 Pitt Street,Sydney"/>
    <s v="Sydney"/>
    <x v="1"/>
    <x v="3"/>
    <x v="8"/>
    <s v="Low"/>
    <s v="Bagged Rubber Bands"/>
    <s v="Office Supplies"/>
    <s v="Wrap Bag"/>
    <s v="Express Air"/>
    <d v="2016-04-03T00:00:00"/>
    <n v="0.24"/>
    <n v="1.26"/>
    <n v="1.02"/>
    <n v="40"/>
    <n v="50.4"/>
    <n v="0.04"/>
    <n v="2.016"/>
    <n v="48.384"/>
    <n v="0.7"/>
    <n v="49.084000000000003"/>
  </r>
  <r>
    <s v="6254-1"/>
    <x v="567"/>
    <x v="3"/>
    <s v="Adrian Shami"/>
    <s v="Sydney Fish Market, Bank Street, Sydney"/>
    <s v="Sydney"/>
    <x v="1"/>
    <x v="2"/>
    <x v="4"/>
    <s v="Low"/>
    <s v="Apex Forged Steel Scissors with Black Enamel Handles"/>
    <s v="Office Supplies"/>
    <s v="Small Pack"/>
    <s v="Regular Air"/>
    <d v="2016-04-11T00:00:00"/>
    <n v="4.0999999999999996"/>
    <n v="9.31"/>
    <n v="5.2100000000000009"/>
    <n v="35"/>
    <n v="325.85000000000002"/>
    <n v="0.05"/>
    <n v="16.2925"/>
    <n v="309.5575"/>
    <n v="3.98"/>
    <n v="313.53750000000002"/>
  </r>
  <r>
    <s v="6256-1"/>
    <x v="568"/>
    <x v="3"/>
    <s v="Emily Grady"/>
    <s v="14 Money Street"/>
    <s v="Perth"/>
    <x v="2"/>
    <x v="0"/>
    <x v="4"/>
    <s v="Not Specified"/>
    <s v="Pizazz Drawing Pencil Set"/>
    <s v="Office Supplies"/>
    <s v="Wrap Bag"/>
    <s v="Regular Air"/>
    <d v="2016-04-08T00:00:00"/>
    <n v="1.53"/>
    <n v="2.78"/>
    <n v="1.2499999999999998"/>
    <n v="10"/>
    <n v="27.799999999999997"/>
    <n v="0.01"/>
    <n v="0.27799999999999997"/>
    <n v="27.521999999999998"/>
    <n v="1.34"/>
    <n v="28.861999999999998"/>
  </r>
  <r>
    <s v="6257-1"/>
    <x v="569"/>
    <x v="3"/>
    <s v="Tom Stivers"/>
    <s v="21 Wentworth St,Parramatta"/>
    <s v="Sydney"/>
    <x v="1"/>
    <x v="3"/>
    <x v="9"/>
    <s v="Critical"/>
    <s v="Beekin 105-Key Black Keyboard"/>
    <s v="Technology"/>
    <s v="Small Box"/>
    <s v="Regular Air"/>
    <d v="2016-04-12T00:00:00"/>
    <n v="6.39"/>
    <n v="19.98"/>
    <n v="13.59"/>
    <n v="35"/>
    <n v="699.30000000000007"/>
    <n v="0.1"/>
    <n v="69.930000000000007"/>
    <n v="629.37000000000012"/>
    <n v="4"/>
    <n v="633.37000000000012"/>
  </r>
  <r>
    <s v="6258-1"/>
    <x v="570"/>
    <x v="3"/>
    <s v="Barry Weirich"/>
    <s v="1/20 Pendal Lane, Perth"/>
    <s v="Sydney"/>
    <x v="1"/>
    <x v="1"/>
    <x v="10"/>
    <s v="Not Specified"/>
    <s v="Artisan Hole Reinforcements"/>
    <s v="Office Supplies"/>
    <s v="Small Box"/>
    <s v="Regular Air"/>
    <d v="2016-04-13T00:00:00"/>
    <n v="3.99"/>
    <n v="6.23"/>
    <n v="2.2400000000000002"/>
    <n v="21"/>
    <n v="130.83000000000001"/>
    <n v="0.05"/>
    <n v="6.541500000000001"/>
    <n v="124.28850000000001"/>
    <n v="6.97"/>
    <n v="131.25850000000003"/>
  </r>
  <r>
    <s v="6260-1"/>
    <x v="570"/>
    <x v="3"/>
    <s v="Berenike Kampe"/>
    <s v="6 Brookman Street, Perth"/>
    <s v="Melbourne"/>
    <x v="0"/>
    <x v="1"/>
    <x v="1"/>
    <s v="Critical"/>
    <s v="Colored Push Pins"/>
    <s v="Office Supplies"/>
    <s v="Wrap Bag"/>
    <s v="Regular Air"/>
    <d v="2016-04-11T00:00:00"/>
    <n v="0.92"/>
    <n v="1.81"/>
    <n v="0.89"/>
    <n v="22"/>
    <n v="39.82"/>
    <n v="0.09"/>
    <n v="3.5838000000000001"/>
    <n v="36.236199999999997"/>
    <n v="1.56"/>
    <n v="37.796199999999999"/>
  </r>
  <r>
    <s v="6261-1"/>
    <x v="570"/>
    <x v="3"/>
    <s v="Corey Lock"/>
    <s v="Westfield 1 Anderson St,Chatswood"/>
    <s v="Sydney"/>
    <x v="1"/>
    <x v="0"/>
    <x v="3"/>
    <s v="High"/>
    <s v="DrawIt Pizazz Watercolor Pencils, 10-Color Set with Brush"/>
    <s v="Office Supplies"/>
    <s v="Wrap Bag"/>
    <s v="Express Air"/>
    <d v="2016-04-12T00:00:00"/>
    <n v="2.39"/>
    <n v="4.26"/>
    <n v="1.8699999999999997"/>
    <n v="34"/>
    <n v="144.84"/>
    <n v="0.03"/>
    <n v="4.3452000000000002"/>
    <n v="140.4948"/>
    <n v="1.2"/>
    <n v="141.69479999999999"/>
  </r>
  <r>
    <s v="6263-1"/>
    <x v="571"/>
    <x v="3"/>
    <s v="Denny Joy"/>
    <s v="99 Lygon Street,East Brunswick"/>
    <s v="Melbourne"/>
    <x v="0"/>
    <x v="1"/>
    <x v="1"/>
    <s v="Critical"/>
    <s v="Cando PC940 Copier"/>
    <s v="Technology"/>
    <s v="Jumbo Drum"/>
    <s v="Delivery Truck"/>
    <d v="2016-04-15T00:00:00"/>
    <n v="278.99"/>
    <n v="449.99"/>
    <n v="171"/>
    <n v="43"/>
    <n v="19349.57"/>
    <n v="0.06"/>
    <n v="1160.9741999999999"/>
    <n v="18188.595799999999"/>
    <n v="49"/>
    <n v="18237.595799999999"/>
  </r>
  <r>
    <s v="6264-1"/>
    <x v="572"/>
    <x v="3"/>
    <s v="Darrin Sayre"/>
    <s v="Sydney Fish Market, Bank Street, Sydney"/>
    <s v="Sydney"/>
    <x v="1"/>
    <x v="2"/>
    <x v="4"/>
    <s v="Low"/>
    <s v="Artisan Hi-Liter Comfort Grip Fluorescent Highlighter, Yellow Ink"/>
    <s v="Office Supplies"/>
    <s v="Wrap Bag"/>
    <s v="Regular Air"/>
    <d v="2016-04-19T00:00:00"/>
    <n v="1.05"/>
    <n v="1.95"/>
    <n v="0.89999999999999991"/>
    <n v="23"/>
    <n v="44.85"/>
    <n v="0.09"/>
    <n v="4.0365000000000002"/>
    <n v="40.813500000000005"/>
    <n v="1.63"/>
    <n v="42.443500000000007"/>
  </r>
  <r>
    <s v="6266-1"/>
    <x v="573"/>
    <x v="3"/>
    <s v="Don Weiss"/>
    <s v="79 Elliott St,Balmain"/>
    <s v="Sydney"/>
    <x v="1"/>
    <x v="1"/>
    <x v="9"/>
    <s v="Medium"/>
    <s v="3Max Polarizing Task Lamp with Clamp Arm, Light Gray"/>
    <s v="Furniture"/>
    <s v="Large Box"/>
    <s v="Regular Air"/>
    <d v="2016-04-19T00:00:00"/>
    <n v="56.16"/>
    <n v="136.97999999999999"/>
    <n v="80.819999999999993"/>
    <n v="14"/>
    <n v="1917.7199999999998"/>
    <n v="0"/>
    <n v="0"/>
    <n v="1917.7199999999998"/>
    <n v="24.49"/>
    <n v="1942.2099999999998"/>
  </r>
  <r>
    <s v="6266-2"/>
    <x v="573"/>
    <x v="3"/>
    <s v="Don Weiss"/>
    <s v="79 Elliott St,Balmain"/>
    <s v="Sydney"/>
    <x v="1"/>
    <x v="1"/>
    <x v="9"/>
    <s v="Medium"/>
    <s v="Binder Clips by OIC"/>
    <s v="Office Supplies"/>
    <s v="Wrap Bag"/>
    <s v="Regular Air"/>
    <d v="2016-04-20T00:00:00"/>
    <n v="0.93"/>
    <n v="1.48"/>
    <n v="0.54999999999999993"/>
    <n v="3"/>
    <n v="4.4399999999999995"/>
    <n v="0.1"/>
    <n v="0.44399999999999995"/>
    <n v="3.9959999999999996"/>
    <n v="0.7"/>
    <n v="4.6959999999999997"/>
  </r>
  <r>
    <s v="6269-1"/>
    <x v="574"/>
    <x v="3"/>
    <s v="Cindy Chapman"/>
    <s v="101 Murray Street"/>
    <s v="Perth"/>
    <x v="2"/>
    <x v="1"/>
    <x v="8"/>
    <s v="Not Specified"/>
    <s v="Bagged Rubber Bands"/>
    <s v="Office Supplies"/>
    <s v="Wrap Bag"/>
    <s v="Regular Air"/>
    <d v="2016-04-24T00:00:00"/>
    <n v="0.24"/>
    <n v="1.26"/>
    <n v="1.02"/>
    <n v="11"/>
    <n v="13.86"/>
    <n v="0"/>
    <n v="0"/>
    <n v="13.86"/>
    <n v="0.7"/>
    <n v="14.559999999999999"/>
  </r>
  <r>
    <s v="6270-1"/>
    <x v="574"/>
    <x v="3"/>
    <s v="Heather Kirkland"/>
    <s v="541 Church St,Richmond"/>
    <s v="Melbourne"/>
    <x v="0"/>
    <x v="0"/>
    <x v="0"/>
    <s v="Not Specified"/>
    <s v="DrawIt Colored Pencils, 48-Color Set"/>
    <s v="Office Supplies"/>
    <s v="Wrap Bag"/>
    <s v="Regular Air"/>
    <d v="2016-04-25T00:00:00"/>
    <n v="21.56"/>
    <n v="36.549999999999997"/>
    <n v="14.989999999999998"/>
    <n v="17"/>
    <n v="621.34999999999991"/>
    <n v="0.09"/>
    <n v="55.921499999999988"/>
    <n v="565.42849999999987"/>
    <n v="13.89"/>
    <n v="579.31849999999986"/>
  </r>
  <r>
    <s v="6272-1"/>
    <x v="574"/>
    <x v="3"/>
    <s v="Thomas Thornton"/>
    <s v="222 Barkly St,St Kilda"/>
    <s v="Melbourne"/>
    <x v="0"/>
    <x v="2"/>
    <x v="0"/>
    <s v="Not Specified"/>
    <s v="Smiths Gold Paper Clips"/>
    <s v="Office Supplies"/>
    <s v="Wrap Bag"/>
    <s v="Regular Air"/>
    <d v="2016-04-24T00:00:00"/>
    <n v="1.82"/>
    <n v="2.98"/>
    <n v="1.1599999999999999"/>
    <n v="32"/>
    <n v="95.36"/>
    <n v="0.01"/>
    <n v="0.9536"/>
    <n v="94.406400000000005"/>
    <n v="1.58"/>
    <n v="95.986400000000003"/>
  </r>
  <r>
    <s v="6273-1"/>
    <x v="575"/>
    <x v="3"/>
    <s v="Shahid Collister"/>
    <s v="Sydney Fish Market, Bank Street, Sydney"/>
    <s v="Sydney"/>
    <x v="1"/>
    <x v="0"/>
    <x v="4"/>
    <s v="High"/>
    <s v="Self-Adhesive Ring Binder Labels"/>
    <s v="Office Supplies"/>
    <s v="Small Box"/>
    <s v="Regular Air"/>
    <d v="2016-04-26T00:00:00"/>
    <n v="2.1800000000000002"/>
    <n v="3.52"/>
    <n v="1.3399999999999999"/>
    <n v="32"/>
    <n v="112.64"/>
    <n v="7.0000000000000007E-2"/>
    <n v="7.8848000000000011"/>
    <n v="104.7552"/>
    <n v="6.83"/>
    <n v="111.5852"/>
  </r>
  <r>
    <s v="6274-1"/>
    <x v="576"/>
    <x v="3"/>
    <s v="Toby Carlisle"/>
    <s v="6/15 Cross Street,Double Bay"/>
    <s v="Sydney"/>
    <x v="1"/>
    <x v="0"/>
    <x v="2"/>
    <s v="Not Specified"/>
    <s v="TechSavi Access Keyboard"/>
    <s v="Technology"/>
    <s v="Small Box"/>
    <s v="Regular Air"/>
    <d v="2016-04-26T00:00:00"/>
    <n v="8.31"/>
    <n v="15.98"/>
    <n v="7.67"/>
    <n v="18"/>
    <n v="287.64"/>
    <n v="0.1"/>
    <n v="28.763999999999999"/>
    <n v="258.87599999999998"/>
    <n v="6.5"/>
    <n v="265.37599999999998"/>
  </r>
  <r>
    <s v="6275-1"/>
    <x v="576"/>
    <x v="3"/>
    <s v="Stuart Van"/>
    <s v="Westfield Sydney,Sydney"/>
    <s v="Sydney"/>
    <x v="1"/>
    <x v="2"/>
    <x v="5"/>
    <s v="Medium"/>
    <s v="Wirebound Message Book, 4 per Page"/>
    <s v="Office Supplies"/>
    <s v="Wrap Bag"/>
    <s v="Regular Air"/>
    <d v="2016-04-27T00:00:00"/>
    <n v="3.48"/>
    <n v="5.43"/>
    <n v="1.9499999999999997"/>
    <n v="37"/>
    <n v="200.91"/>
    <n v="0.09"/>
    <n v="18.081899999999997"/>
    <n v="182.82810000000001"/>
    <n v="0.95"/>
    <n v="183.77809999999999"/>
  </r>
  <r>
    <s v="6276-1"/>
    <x v="577"/>
    <x v="3"/>
    <s v="Valerie Takahito"/>
    <s v="Crown Complex,Southbank"/>
    <s v="Melbourne"/>
    <x v="0"/>
    <x v="2"/>
    <x v="0"/>
    <s v="High"/>
    <s v="Colored Envelopes"/>
    <s v="Office Supplies"/>
    <s v="Small Box"/>
    <s v="Regular Air"/>
    <d v="2016-04-28T00:00:00"/>
    <n v="2.25"/>
    <n v="3.69"/>
    <n v="1.44"/>
    <n v="46"/>
    <n v="169.74"/>
    <n v="0.04"/>
    <n v="6.7896000000000001"/>
    <n v="162.9504"/>
    <n v="2.5"/>
    <n v="165.4504"/>
  </r>
  <r>
    <s v="6278-1"/>
    <x v="578"/>
    <x v="3"/>
    <s v="Sally Knutson"/>
    <s v="32/82 King Street"/>
    <s v="Perth"/>
    <x v="2"/>
    <x v="2"/>
    <x v="11"/>
    <s v="Not Specified"/>
    <s v="Artisan Durable Binders"/>
    <s v="Office Supplies"/>
    <s v="Small Box"/>
    <s v="Regular Air"/>
    <d v="2016-05-03T00:00:00"/>
    <n v="1.84"/>
    <n v="2.88"/>
    <n v="1.0399999999999998"/>
    <n v="45"/>
    <n v="129.6"/>
    <n v="0.02"/>
    <n v="2.5920000000000001"/>
    <n v="127.008"/>
    <n v="1.49"/>
    <n v="128.49799999999999"/>
  </r>
  <r>
    <s v="6278-2"/>
    <x v="578"/>
    <x v="3"/>
    <s v="Sally Knutson"/>
    <s v="32/82 King Street"/>
    <s v="Perth"/>
    <x v="2"/>
    <x v="2"/>
    <x v="11"/>
    <s v="Not Specified"/>
    <s v="Beekin 6 Outlet Metallic Surge Strip"/>
    <s v="Office Supplies"/>
    <s v="Small Box"/>
    <s v="Regular Air"/>
    <d v="2016-05-02T00:00:00"/>
    <n v="4.46"/>
    <n v="10.89"/>
    <n v="6.4300000000000006"/>
    <n v="39"/>
    <n v="424.71000000000004"/>
    <n v="0.06"/>
    <n v="25.482600000000001"/>
    <n v="399.22740000000005"/>
    <n v="4.5"/>
    <n v="403.72740000000005"/>
  </r>
  <r>
    <s v="6280-1"/>
    <x v="579"/>
    <x v="3"/>
    <s v="Greg Hansen"/>
    <s v="221 Barkly St,St Kilda"/>
    <s v="Melbourne"/>
    <x v="0"/>
    <x v="0"/>
    <x v="0"/>
    <s v="High"/>
    <s v="Aluminum Document Frame"/>
    <s v="Furniture"/>
    <s v="Small Pack"/>
    <s v="Regular Air"/>
    <d v="2016-05-04T00:00:00"/>
    <n v="5.5"/>
    <n v="12.22"/>
    <n v="6.7200000000000006"/>
    <n v="46"/>
    <n v="562.12"/>
    <n v="0.06"/>
    <n v="33.727199999999996"/>
    <n v="528.39279999999997"/>
    <n v="2.85"/>
    <n v="531.24279999999999"/>
  </r>
  <r>
    <s v="6280-2"/>
    <x v="579"/>
    <x v="3"/>
    <s v="Greg Hansen"/>
    <s v="221 Barkly St,St Kilda"/>
    <s v="Melbourne"/>
    <x v="0"/>
    <x v="0"/>
    <x v="0"/>
    <s v="High"/>
    <s v="Artisan Poly Binder Pockets"/>
    <s v="Office Supplies"/>
    <s v="Small Box"/>
    <s v="Regular Air"/>
    <d v="2016-05-03T00:00:00"/>
    <n v="2.2599999999999998"/>
    <n v="3.58"/>
    <n v="1.3200000000000003"/>
    <n v="8"/>
    <n v="28.64"/>
    <n v="0.09"/>
    <n v="2.5775999999999999"/>
    <n v="26.0624"/>
    <n v="5.47"/>
    <n v="31.532399999999999"/>
  </r>
  <r>
    <s v="6281-1"/>
    <x v="579"/>
    <x v="3"/>
    <s v="Scott Cohen"/>
    <s v="240-242 Johnston Street,Fitzroy"/>
    <s v="Melbourne"/>
    <x v="0"/>
    <x v="2"/>
    <x v="1"/>
    <s v="Not Specified"/>
    <s v="Apex Preferred Stainless Steel Scissors"/>
    <s v="Office Supplies"/>
    <s v="Small Pack"/>
    <s v="Regular Air"/>
    <d v="2016-05-03T00:00:00"/>
    <n v="2.5"/>
    <n v="5.68"/>
    <n v="3.1799999999999997"/>
    <n v="25"/>
    <n v="142"/>
    <n v="0.1"/>
    <n v="14.200000000000001"/>
    <n v="127.8"/>
    <n v="3.6"/>
    <n v="131.4"/>
  </r>
  <r>
    <s v="6285-1"/>
    <x v="580"/>
    <x v="3"/>
    <s v="Shaun Weien"/>
    <s v="310 Wattle St,Ultimo"/>
    <s v="Sydney"/>
    <x v="1"/>
    <x v="0"/>
    <x v="9"/>
    <s v="Medium"/>
    <s v="Artisan Heavy-Duty EZD  Binder With Locking Rings"/>
    <s v="Office Supplies"/>
    <s v="Small Box"/>
    <s v="Regular Air"/>
    <d v="2016-05-07T00:00:00"/>
    <n v="3.52"/>
    <n v="5.58"/>
    <n v="2.06"/>
    <n v="13"/>
    <n v="72.540000000000006"/>
    <n v="0.06"/>
    <n v="4.3524000000000003"/>
    <n v="68.187600000000003"/>
    <n v="2.99"/>
    <n v="71.177599999999998"/>
  </r>
  <r>
    <s v="6287-1"/>
    <x v="581"/>
    <x v="3"/>
    <s v="Michelle Moray"/>
    <s v="310 Wattle St,Ultimo"/>
    <s v="Sydney"/>
    <x v="1"/>
    <x v="1"/>
    <x v="9"/>
    <s v="Low"/>
    <s v="Fluorescent Highlighters by DrawIt"/>
    <s v="Office Supplies"/>
    <s v="Wrap Bag"/>
    <s v="Regular Air"/>
    <d v="2016-05-12T00:00:00"/>
    <n v="1.95"/>
    <n v="3.98"/>
    <n v="2.0300000000000002"/>
    <n v="27"/>
    <n v="107.46"/>
    <n v="0.06"/>
    <n v="6.4475999999999996"/>
    <n v="101.0124"/>
    <n v="0.83"/>
    <n v="101.8424"/>
  </r>
  <r>
    <s v="6288-1"/>
    <x v="581"/>
    <x v="3"/>
    <s v="Quincy Jones"/>
    <s v="Shop 3/144 Waterloo Road,Greenacre"/>
    <s v="Sydney"/>
    <x v="1"/>
    <x v="1"/>
    <x v="6"/>
    <s v="Low"/>
    <s v="OIC Thumb-Tacks"/>
    <s v="Office Supplies"/>
    <s v="Wrap Bag"/>
    <s v="Regular Air"/>
    <d v="2016-05-08T00:00:00"/>
    <n v="0.71"/>
    <n v="1.1399999999999999"/>
    <n v="0.42999999999999994"/>
    <n v="20"/>
    <n v="22.799999999999997"/>
    <n v="0.09"/>
    <n v="2.0519999999999996"/>
    <n v="20.747999999999998"/>
    <n v="0.7"/>
    <n v="21.447999999999997"/>
  </r>
  <r>
    <s v="6290-1"/>
    <x v="582"/>
    <x v="3"/>
    <s v="Cindy Stewart"/>
    <s v="1/173-179 Bronte Rd,Waverley"/>
    <s v="Sydney"/>
    <x v="1"/>
    <x v="1"/>
    <x v="2"/>
    <s v="High"/>
    <s v="24 Capacity Maxi Data Binder Racks, Pearl"/>
    <s v="Office Supplies"/>
    <s v="Small Box"/>
    <s v="Regular Air"/>
    <d v="2016-05-11T00:00:00"/>
    <n v="84.22"/>
    <n v="210.55"/>
    <n v="126.33000000000001"/>
    <n v="4"/>
    <n v="842.2"/>
    <n v="0.05"/>
    <n v="42.110000000000007"/>
    <n v="800.09"/>
    <n v="9.99"/>
    <n v="810.08"/>
  </r>
  <r>
    <s v="6291-1"/>
    <x v="583"/>
    <x v="3"/>
    <s v="Roy Collins"/>
    <s v="6 Brookman Street"/>
    <s v="Perth"/>
    <x v="2"/>
    <x v="1"/>
    <x v="5"/>
    <s v="Not Specified"/>
    <s v="Smiths Standard Envelopes"/>
    <s v="Office Supplies"/>
    <s v="Small Box"/>
    <s v="Regular Air"/>
    <d v="2016-05-12T00:00:00"/>
    <n v="3.52"/>
    <n v="5.68"/>
    <n v="2.1599999999999997"/>
    <n v="34"/>
    <n v="193.12"/>
    <n v="0.06"/>
    <n v="11.587199999999999"/>
    <n v="181.53280000000001"/>
    <n v="1.39"/>
    <n v="182.9228"/>
  </r>
  <r>
    <s v="6293-1"/>
    <x v="584"/>
    <x v="3"/>
    <s v="John Lee"/>
    <s v="180 High Street,Windsor"/>
    <s v="Melbourne"/>
    <x v="0"/>
    <x v="1"/>
    <x v="1"/>
    <s v="Critical"/>
    <s v="Self-Adhesive Ring Binder Labels"/>
    <s v="Office Supplies"/>
    <s v="Small Box"/>
    <s v="Regular Air"/>
    <d v="2016-05-14T00:00:00"/>
    <n v="2.1800000000000002"/>
    <n v="3.52"/>
    <n v="1.3399999999999999"/>
    <n v="42"/>
    <n v="147.84"/>
    <n v="0.04"/>
    <n v="5.9136000000000006"/>
    <n v="141.9264"/>
    <n v="6.83"/>
    <n v="148.75640000000001"/>
  </r>
  <r>
    <s v="6294-1"/>
    <x v="585"/>
    <x v="3"/>
    <s v="Sonia Sunley"/>
    <s v="1/50-58 Hunter St,Sydney"/>
    <s v="Sydney"/>
    <x v="1"/>
    <x v="1"/>
    <x v="12"/>
    <s v="Not Specified"/>
    <s v="Artisan 487 Labels"/>
    <s v="Office Supplies"/>
    <s v="Small Box"/>
    <s v="Regular Air"/>
    <d v="2016-05-16T00:00:00"/>
    <n v="2.29"/>
    <n v="3.69"/>
    <n v="1.4"/>
    <n v="47"/>
    <n v="173.43"/>
    <n v="0.05"/>
    <n v="8.6715"/>
    <n v="164.7585"/>
    <n v="0.5"/>
    <n v="165.2585"/>
  </r>
  <r>
    <s v="6295-1"/>
    <x v="585"/>
    <x v="3"/>
    <s v="George Ashbrook"/>
    <s v="506 Swan Street,Richmond"/>
    <s v="Melbourne"/>
    <x v="0"/>
    <x v="3"/>
    <x v="1"/>
    <s v="Not Specified"/>
    <s v="Economy Binders"/>
    <s v="Office Supplies"/>
    <s v="Small Box"/>
    <s v="Regular Air"/>
    <d v="2016-05-16T00:00:00"/>
    <n v="1.33"/>
    <n v="2.08"/>
    <n v="0.75"/>
    <n v="43"/>
    <n v="89.44"/>
    <n v="0.05"/>
    <n v="4.4720000000000004"/>
    <n v="84.968000000000004"/>
    <n v="1.49"/>
    <n v="86.457999999999998"/>
  </r>
  <r>
    <s v="6295-1"/>
    <x v="586"/>
    <x v="3"/>
    <s v="Muhammed MacIntyre"/>
    <s v="106 Ebley Street,Bondi Junction"/>
    <s v="Sydney"/>
    <x v="1"/>
    <x v="3"/>
    <x v="2"/>
    <s v="High"/>
    <s v="Smiths Pen Style Liquid Stix; Assorted (yellow, pink, green, blue, orange), 5/Pack"/>
    <s v="Office Supplies"/>
    <s v="Wrap Bag"/>
    <s v="Regular Air"/>
    <d v="2016-05-18T00:00:00"/>
    <n v="3.88"/>
    <n v="6.47"/>
    <n v="2.59"/>
    <n v="7"/>
    <n v="45.29"/>
    <n v="0.02"/>
    <n v="0.90580000000000005"/>
    <n v="44.3842"/>
    <n v="1.22"/>
    <n v="45.604199999999999"/>
  </r>
  <r>
    <s v="6296-1"/>
    <x v="587"/>
    <x v="3"/>
    <s v="Frank Price"/>
    <s v="224A Gertrude St,Fitzroy"/>
    <s v="Melbourne"/>
    <x v="0"/>
    <x v="1"/>
    <x v="1"/>
    <s v="Not Specified"/>
    <s v="Multi-Use Personal File Cart and Caster Set, Three Stacking Bins"/>
    <s v="Office Supplies"/>
    <s v="Small Box"/>
    <s v="Regular Air"/>
    <d v="2016-05-20T00:00:00"/>
    <n v="14.95"/>
    <n v="34.76"/>
    <n v="19.809999999999999"/>
    <n v="8"/>
    <n v="278.08"/>
    <n v="0"/>
    <n v="0"/>
    <n v="278.08"/>
    <n v="8.2200000000000006"/>
    <n v="286.3"/>
  </r>
  <r>
    <s v="6298-1"/>
    <x v="588"/>
    <x v="3"/>
    <s v="Rose OBrian"/>
    <s v="157 Norton St,Leichhardt"/>
    <s v="Sydney"/>
    <x v="1"/>
    <x v="0"/>
    <x v="7"/>
    <s v="Medium"/>
    <s v="Pizazz Colored Pencils"/>
    <s v="Office Supplies"/>
    <s v="Wrap Bag"/>
    <s v="Regular Air"/>
    <d v="2016-05-20T00:00:00"/>
    <n v="1.76"/>
    <n v="2.94"/>
    <n v="1.18"/>
    <n v="31"/>
    <n v="91.14"/>
    <n v="0.04"/>
    <n v="3.6456"/>
    <n v="87.494399999999999"/>
    <n v="0.81"/>
    <n v="88.304400000000001"/>
  </r>
  <r>
    <s v="6300-1"/>
    <x v="589"/>
    <x v="3"/>
    <s v="Dana Kaydos"/>
    <s v="152 Bunnerong Road,Eastgardens"/>
    <s v="Sydney"/>
    <x v="1"/>
    <x v="1"/>
    <x v="8"/>
    <s v="Critical"/>
    <s v="Aluminum Document Frame"/>
    <s v="Furniture"/>
    <s v="Small Pack"/>
    <s v="Regular Air"/>
    <d v="2016-05-22T00:00:00"/>
    <n v="5.5"/>
    <n v="12.22"/>
    <n v="6.7200000000000006"/>
    <n v="10"/>
    <n v="122.2"/>
    <n v="0.01"/>
    <n v="1.222"/>
    <n v="120.97800000000001"/>
    <n v="2.85"/>
    <n v="123.828"/>
  </r>
  <r>
    <s v="6301-1"/>
    <x v="589"/>
    <x v="3"/>
    <s v="Eric Barreto"/>
    <s v="14 Money Street"/>
    <s v="Perth"/>
    <x v="2"/>
    <x v="3"/>
    <x v="4"/>
    <s v="Critical"/>
    <s v="Ames Color-File Green Diamond Border X-ray Mailers"/>
    <s v="Office Supplies"/>
    <s v="Small Box"/>
    <s v="Regular Air"/>
    <d v="2016-05-21T00:00:00"/>
    <n v="52.07"/>
    <n v="83.98"/>
    <n v="31.910000000000004"/>
    <n v="46"/>
    <n v="3863.0800000000004"/>
    <n v="0.06"/>
    <n v="231.78480000000002"/>
    <n v="3631.2952000000005"/>
    <n v="5.01"/>
    <n v="3636.3052000000007"/>
  </r>
  <r>
    <s v="6302-1"/>
    <x v="589"/>
    <x v="3"/>
    <s v="John Lucas"/>
    <s v="188 Pitt Street,Sydney"/>
    <s v="Sydney"/>
    <x v="1"/>
    <x v="1"/>
    <x v="8"/>
    <s v="Critical"/>
    <s v="Multi-Use Personal File Cart and Caster Set, Three Stacking Bins"/>
    <s v="Office Supplies"/>
    <s v="Small Box"/>
    <s v="Regular Air"/>
    <d v="2016-05-22T00:00:00"/>
    <n v="14.95"/>
    <n v="34.76"/>
    <n v="19.809999999999999"/>
    <n v="47"/>
    <n v="1633.7199999999998"/>
    <n v="0.09"/>
    <n v="147.03479999999999"/>
    <n v="1486.6851999999999"/>
    <n v="8.2200000000000006"/>
    <n v="1494.9051999999999"/>
  </r>
  <r>
    <s v="6303-1"/>
    <x v="590"/>
    <x v="3"/>
    <s v="Thais Sissman"/>
    <s v="8 Orange Street"/>
    <s v="Perth"/>
    <x v="2"/>
    <x v="1"/>
    <x v="8"/>
    <s v="Medium"/>
    <s v="Beekin 6 Outlet Metallic Surge Strip"/>
    <s v="Office Supplies"/>
    <s v="Small Box"/>
    <s v="Regular Air"/>
    <d v="2016-05-24T00:00:00"/>
    <n v="4.46"/>
    <n v="10.89"/>
    <n v="6.4300000000000006"/>
    <n v="1"/>
    <n v="10.89"/>
    <n v="0"/>
    <n v="0"/>
    <n v="10.89"/>
    <n v="4.5"/>
    <n v="15.39"/>
  </r>
  <r>
    <s v="6304-1"/>
    <x v="590"/>
    <x v="3"/>
    <s v="Eva Jacobs"/>
    <s v="Westfield 1 Anderson St,Chatswood"/>
    <s v="Sydney"/>
    <x v="1"/>
    <x v="0"/>
    <x v="3"/>
    <s v="Not Specified"/>
    <s v="Smiths General Use 3-Ring Binders"/>
    <s v="Office Supplies"/>
    <s v="Small Box"/>
    <s v="Regular Air"/>
    <d v="2016-05-23T00:00:00"/>
    <n v="1.18"/>
    <n v="1.88"/>
    <n v="0.7"/>
    <n v="22"/>
    <n v="41.36"/>
    <n v="0.09"/>
    <n v="3.7223999999999999"/>
    <n v="37.637599999999999"/>
    <n v="1.49"/>
    <n v="39.127600000000001"/>
  </r>
  <r>
    <s v="6306-1"/>
    <x v="591"/>
    <x v="3"/>
    <s v="Daniel Lacy"/>
    <s v="85-113 Dunning Ave,Roseberry"/>
    <s v="Sydney"/>
    <x v="1"/>
    <x v="3"/>
    <x v="11"/>
    <s v="High"/>
    <s v="DrawIt Pizazz Watercolor Pencils, 10-Color Set with Brush"/>
    <s v="Office Supplies"/>
    <s v="Wrap Bag"/>
    <s v="Express Air"/>
    <d v="2016-05-24T00:00:00"/>
    <n v="2.39"/>
    <n v="4.26"/>
    <n v="1.8699999999999997"/>
    <n v="5"/>
    <n v="21.299999999999997"/>
    <n v="0.01"/>
    <n v="0.21299999999999997"/>
    <n v="21.086999999999996"/>
    <n v="1.2"/>
    <n v="22.286999999999995"/>
  </r>
  <r>
    <s v="6307-1"/>
    <x v="592"/>
    <x v="3"/>
    <s v="Jim Karlsson"/>
    <s v="1-2/299 Sussex St,Sydney"/>
    <s v="Sydney"/>
    <x v="1"/>
    <x v="3"/>
    <x v="9"/>
    <s v="Medium"/>
    <s v="Airmail Envelopes"/>
    <s v="Office Supplies"/>
    <s v="Small Box"/>
    <s v="Regular Air"/>
    <d v="2016-05-27T00:00:00"/>
    <n v="52.04"/>
    <n v="83.93"/>
    <n v="31.890000000000008"/>
    <n v="5"/>
    <n v="419.65000000000003"/>
    <n v="0.04"/>
    <n v="16.786000000000001"/>
    <n v="402.86400000000003"/>
    <n v="19.989999999999998"/>
    <n v="422.85400000000004"/>
  </r>
  <r>
    <s v="6309-1"/>
    <x v="593"/>
    <x v="3"/>
    <s v="Lela Donovan"/>
    <s v="255 Devonshire St,Surry Hills"/>
    <s v="Sydney"/>
    <x v="1"/>
    <x v="1"/>
    <x v="9"/>
    <s v="Not Specified"/>
    <s v="Artisan Printable Repositionable Plastic Tabs"/>
    <s v="Office Supplies"/>
    <s v="Small Box"/>
    <s v="Regular Air"/>
    <d v="2016-05-27T00:00:00"/>
    <n v="5.33"/>
    <n v="8.6"/>
    <n v="3.2699999999999996"/>
    <n v="1"/>
    <n v="8.6"/>
    <n v="0.06"/>
    <n v="0.51600000000000001"/>
    <n v="8.0839999999999996"/>
    <n v="6.19"/>
    <n v="14.274000000000001"/>
  </r>
  <r>
    <s v="6311-1"/>
    <x v="594"/>
    <x v="3"/>
    <s v="Peter Buhler"/>
    <s v="2-4 College Street, Darlinghurst"/>
    <s v="Sydney"/>
    <x v="1"/>
    <x v="2"/>
    <x v="3"/>
    <s v="Medium"/>
    <s v="Multi-Use Personal File Cart and Caster Set, Three Stacking Bins"/>
    <s v="Office Supplies"/>
    <s v="Small Box"/>
    <s v="Regular Air"/>
    <d v="2016-05-30T00:00:00"/>
    <n v="14.95"/>
    <n v="34.76"/>
    <n v="19.809999999999999"/>
    <n v="32"/>
    <n v="1112.32"/>
    <n v="0.02"/>
    <n v="22.246399999999998"/>
    <n v="1090.0735999999999"/>
    <n v="8.2200000000000006"/>
    <n v="1098.2936"/>
  </r>
  <r>
    <s v="6313-1"/>
    <x v="595"/>
    <x v="3"/>
    <s v="Emily Grady"/>
    <s v="14 Money Street"/>
    <s v="Perth"/>
    <x v="2"/>
    <x v="0"/>
    <x v="4"/>
    <s v="Medium"/>
    <s v="TechSavi Internet Navigator Keyboard"/>
    <s v="Technology"/>
    <s v="Small Box"/>
    <s v="Regular Air"/>
    <d v="2016-05-30T00:00:00"/>
    <n v="6.2"/>
    <n v="30.98"/>
    <n v="24.78"/>
    <n v="24"/>
    <n v="743.52"/>
    <n v="0.08"/>
    <n v="59.4816"/>
    <n v="684.03840000000002"/>
    <n v="4"/>
    <n v="688.03840000000002"/>
  </r>
  <r>
    <s v="6315-1"/>
    <x v="596"/>
    <x v="3"/>
    <s v="Christy Brittain"/>
    <s v="Shop 1, 186-190 Church Street,Parramatta;46a Macleay Street,Potts Point"/>
    <s v="Sydney"/>
    <x v="1"/>
    <x v="2"/>
    <x v="11"/>
    <s v="Low"/>
    <s v="Office Shears by Apex"/>
    <s v="Office Supplies"/>
    <s v="Small Pack"/>
    <s v="Regular Air"/>
    <d v="2016-06-02T00:00:00"/>
    <n v="0.94"/>
    <n v="2.08"/>
    <n v="1.1400000000000001"/>
    <n v="49"/>
    <n v="101.92"/>
    <n v="0.08"/>
    <n v="8.1536000000000008"/>
    <n v="93.766400000000004"/>
    <n v="2.56"/>
    <n v="96.326400000000007"/>
  </r>
  <r>
    <s v="6316-1"/>
    <x v="596"/>
    <x v="3"/>
    <s v="Bill Donatelli"/>
    <s v="101 Murray Street, Perth"/>
    <s v="Perth"/>
    <x v="2"/>
    <x v="3"/>
    <x v="4"/>
    <s v="High"/>
    <s v="TechSavi Cordless Access Keyboard"/>
    <s v="Technology"/>
    <s v="Small Box"/>
    <s v="Regular Air"/>
    <d v="2016-06-03T00:00:00"/>
    <n v="14.7"/>
    <n v="29.99"/>
    <n v="15.29"/>
    <n v="1"/>
    <n v="29.99"/>
    <n v="0.04"/>
    <n v="1.1996"/>
    <n v="28.790399999999998"/>
    <n v="5.5"/>
    <n v="34.290399999999998"/>
  </r>
  <r>
    <s v="6317-1"/>
    <x v="597"/>
    <x v="3"/>
    <s v="Jim Kriz"/>
    <s v="85-113 Dunning Ave,Roseberry"/>
    <s v="Sydney"/>
    <x v="1"/>
    <x v="2"/>
    <x v="11"/>
    <s v="Critical"/>
    <s v="Smiths Bulk Pack Metal Binder Clips"/>
    <s v="Office Supplies"/>
    <s v="Wrap Bag"/>
    <s v="Regular Air"/>
    <d v="2016-06-04T00:00:00"/>
    <n v="3.95"/>
    <n v="6.08"/>
    <n v="2.13"/>
    <n v="50"/>
    <n v="304"/>
    <n v="0.09"/>
    <n v="27.36"/>
    <n v="276.64"/>
    <n v="1.82"/>
    <n v="278.45999999999998"/>
  </r>
  <r>
    <s v="6319-1"/>
    <x v="598"/>
    <x v="3"/>
    <s v="Brad Eason"/>
    <s v="8/2 Edward Street, Perth"/>
    <s v="Sydney"/>
    <x v="1"/>
    <x v="3"/>
    <x v="3"/>
    <s v="Critical"/>
    <s v="Artisan 481 Labels"/>
    <s v="Office Supplies"/>
    <s v="Small Box"/>
    <s v="Regular Air"/>
    <d v="2016-06-04T00:00:00"/>
    <n v="1.94"/>
    <n v="3.08"/>
    <n v="1.1400000000000001"/>
    <n v="11"/>
    <n v="33.880000000000003"/>
    <n v="0.03"/>
    <n v="1.0164"/>
    <n v="32.863600000000005"/>
    <n v="0.99"/>
    <n v="33.853600000000007"/>
  </r>
  <r>
    <s v="6320-1"/>
    <x v="598"/>
    <x v="3"/>
    <s v="Jeremy Farry"/>
    <s v="181 Enmore Rd,Enmore"/>
    <s v="Sydney"/>
    <x v="1"/>
    <x v="3"/>
    <x v="13"/>
    <s v="Not Specified"/>
    <s v="OIC Thumb-Tacks"/>
    <s v="Office Supplies"/>
    <s v="Wrap Bag"/>
    <s v="Regular Air"/>
    <d v="2016-06-05T00:00:00"/>
    <n v="0.71"/>
    <n v="1.1399999999999999"/>
    <n v="0.42999999999999994"/>
    <n v="3"/>
    <n v="3.42"/>
    <n v="0.1"/>
    <n v="0.34200000000000003"/>
    <n v="3.0779999999999998"/>
    <n v="0.7"/>
    <n v="3.7779999999999996"/>
  </r>
  <r>
    <s v="6321-1"/>
    <x v="599"/>
    <x v="3"/>
    <s v="Chuck Clark"/>
    <s v="101 Murray Street"/>
    <s v="Perth"/>
    <x v="2"/>
    <x v="1"/>
    <x v="8"/>
    <s v="Critical"/>
    <s v="Steady Liquid Accent Tank-Style Highlighters"/>
    <s v="Office Supplies"/>
    <s v="Wrap Bag"/>
    <s v="Regular Air"/>
    <d v="2016-06-12T00:00:00"/>
    <n v="1.31"/>
    <n v="2.84"/>
    <n v="1.5299999999999998"/>
    <n v="9"/>
    <n v="25.56"/>
    <n v="0.08"/>
    <n v="2.0448"/>
    <n v="23.5152"/>
    <n v="0.93"/>
    <n v="24.4452"/>
  </r>
  <r>
    <s v="6322-1"/>
    <x v="600"/>
    <x v="3"/>
    <s v="Vicky Freymann"/>
    <s v="501 George St,Sydney"/>
    <s v="Sydney"/>
    <x v="1"/>
    <x v="0"/>
    <x v="6"/>
    <s v="Critical"/>
    <s v="Adesso Programmable 142-Key Keyboard"/>
    <s v="Technology"/>
    <s v="Small Box"/>
    <s v="Regular Air"/>
    <d v="2016-06-15T00:00:00"/>
    <n v="32.020000000000003"/>
    <n v="152.47999999999999"/>
    <n v="120.45999999999998"/>
    <n v="12"/>
    <n v="1829.7599999999998"/>
    <n v="0.1"/>
    <n v="182.976"/>
    <n v="1646.7839999999997"/>
    <n v="4"/>
    <n v="1650.7839999999997"/>
  </r>
  <r>
    <s v="6324-1"/>
    <x v="601"/>
    <x v="3"/>
    <s v="Vivek Grady"/>
    <s v="99 Lygon Street,East Brunswick"/>
    <s v="Melbourne"/>
    <x v="0"/>
    <x v="0"/>
    <x v="1"/>
    <s v="Low"/>
    <s v="1726 Digital Answering Machine"/>
    <s v="Technology"/>
    <s v="Medium Box"/>
    <s v="Regular Air"/>
    <d v="2016-06-14T00:00:00"/>
    <n v="8.82"/>
    <n v="20.99"/>
    <n v="12.169999999999998"/>
    <n v="2"/>
    <n v="41.98"/>
    <n v="0.01"/>
    <n v="0.41979999999999995"/>
    <n v="41.560199999999995"/>
    <n v="4.8099999999999996"/>
    <n v="46.370199999999997"/>
  </r>
  <r>
    <s v="6325-1"/>
    <x v="601"/>
    <x v="3"/>
    <s v="Edward Nazzal"/>
    <s v="2a/285A Crown St,Surry Hills"/>
    <s v="Sydney"/>
    <x v="1"/>
    <x v="0"/>
    <x v="4"/>
    <s v="High"/>
    <s v="Adesso Programmable 142-Key Keyboard"/>
    <s v="Technology"/>
    <s v="Small Box"/>
    <s v="Regular Air"/>
    <d v="2016-06-16T00:00:00"/>
    <n v="32.020000000000003"/>
    <n v="152.47999999999999"/>
    <n v="120.45999999999998"/>
    <n v="37"/>
    <n v="5641.7599999999993"/>
    <n v="0.1"/>
    <n v="564.17599999999993"/>
    <n v="5077.5839999999989"/>
    <n v="4"/>
    <n v="5081.5839999999989"/>
  </r>
  <r>
    <s v="6325-2"/>
    <x v="601"/>
    <x v="3"/>
    <s v="Edward Nazzal"/>
    <s v="2a/285A Crown St,Surry Hills"/>
    <s v="Sydney"/>
    <x v="1"/>
    <x v="0"/>
    <x v="4"/>
    <s v="High"/>
    <s v="Laser DVD-RAM discs"/>
    <s v="Technology"/>
    <s v="Small Pack"/>
    <s v="Regular Air"/>
    <d v="2016-06-16T00:00:00"/>
    <n v="20.18"/>
    <n v="35.409999999999997"/>
    <n v="15.229999999999997"/>
    <n v="30"/>
    <n v="1062.3"/>
    <n v="0.08"/>
    <n v="84.983999999999995"/>
    <n v="977.31599999999992"/>
    <n v="1.99"/>
    <n v="979.30599999999993"/>
  </r>
  <r>
    <s v="6327-1"/>
    <x v="601"/>
    <x v="3"/>
    <s v="Christina Anderson"/>
    <s v="438 Victoria Avenue,Chatswood"/>
    <s v="Sydney"/>
    <x v="1"/>
    <x v="1"/>
    <x v="5"/>
    <s v="Critical"/>
    <s v="Multimedia Mailers"/>
    <s v="Office Supplies"/>
    <s v="Small Box"/>
    <s v="Express Air"/>
    <d v="2016-06-15T00:00:00"/>
    <n v="99.39"/>
    <n v="162.93"/>
    <n v="63.540000000000006"/>
    <n v="36"/>
    <n v="5865.4800000000005"/>
    <n v="0.05"/>
    <n v="293.27400000000006"/>
    <n v="5572.2060000000001"/>
    <n v="19.989999999999998"/>
    <n v="5592.1959999999999"/>
  </r>
  <r>
    <s v="6328-1"/>
    <x v="601"/>
    <x v="3"/>
    <s v="Vivek Grady"/>
    <s v="99 Lygon Street,East Brunswick"/>
    <s v="Melbourne"/>
    <x v="0"/>
    <x v="0"/>
    <x v="1"/>
    <s v="Low"/>
    <s v="OIC Thumb-Tacks"/>
    <s v="Office Supplies"/>
    <s v="Wrap Bag"/>
    <s v="Regular Air"/>
    <d v="2016-06-19T00:00:00"/>
    <n v="0.71"/>
    <n v="1.1399999999999999"/>
    <n v="0.42999999999999994"/>
    <n v="31"/>
    <n v="35.339999999999996"/>
    <n v="7.0000000000000007E-2"/>
    <n v="2.4737999999999998"/>
    <n v="32.866199999999999"/>
    <n v="0.7"/>
    <n v="33.566200000000002"/>
  </r>
  <r>
    <s v="6329-1"/>
    <x v="602"/>
    <x v="3"/>
    <s v="Arthur Prichep"/>
    <s v="14/76 Newcastle Street, Perth"/>
    <s v="Sydney"/>
    <x v="1"/>
    <x v="0"/>
    <x v="4"/>
    <s v="Low"/>
    <s v="Artisan Flip-Chart Easel Binder, Black"/>
    <s v="Office Supplies"/>
    <s v="Small Box"/>
    <s v="Regular Air"/>
    <d v="2016-06-17T00:00:00"/>
    <n v="13.88"/>
    <n v="22.38"/>
    <n v="8.4999999999999982"/>
    <n v="11"/>
    <n v="246.17999999999998"/>
    <n v="0.01"/>
    <n v="2.4617999999999998"/>
    <n v="243.71819999999997"/>
    <n v="15.1"/>
    <n v="258.81819999999999"/>
  </r>
  <r>
    <s v="6330-1"/>
    <x v="602"/>
    <x v="3"/>
    <s v="Neil Knudson"/>
    <s v="4A Lyons St,Strathfield"/>
    <s v="Sydney"/>
    <x v="1"/>
    <x v="1"/>
    <x v="8"/>
    <s v="Not Specified"/>
    <s v="Steady EarthWrite Recycled Pencils, Medium Soft, #2"/>
    <s v="Office Supplies"/>
    <s v="Wrap Bag"/>
    <s v="Express Air"/>
    <d v="2016-06-17T00:00:00"/>
    <n v="0.9"/>
    <n v="2.1"/>
    <n v="1.2000000000000002"/>
    <n v="31"/>
    <n v="65.100000000000009"/>
    <n v="0.08"/>
    <n v="5.2080000000000011"/>
    <n v="59.89200000000001"/>
    <n v="0.7"/>
    <n v="60.592000000000013"/>
  </r>
  <r>
    <s v="6332-1"/>
    <x v="603"/>
    <x v="3"/>
    <s v="Shaun Weien"/>
    <s v="310 Wattle St,Ultimo"/>
    <s v="Sydney"/>
    <x v="1"/>
    <x v="0"/>
    <x v="9"/>
    <s v="Low"/>
    <s v="UGen RF Keyboard"/>
    <s v="Technology"/>
    <s v="Small Box"/>
    <s v="Regular Air"/>
    <d v="2016-06-20T00:00:00"/>
    <n v="81.59"/>
    <n v="159.99"/>
    <n v="78.400000000000006"/>
    <n v="31"/>
    <n v="4959.6900000000005"/>
    <n v="0.01"/>
    <n v="49.596900000000005"/>
    <n v="4910.0931"/>
    <n v="5.5"/>
    <n v="4915.5931"/>
  </r>
  <r>
    <s v="6333-1"/>
    <x v="604"/>
    <x v="3"/>
    <s v="John Huston"/>
    <s v="154 Castlereagh St,Sydney"/>
    <s v="Sydney"/>
    <x v="1"/>
    <x v="2"/>
    <x v="6"/>
    <s v="Medium"/>
    <s v="Apex Preferred Stainless Steel Scissors"/>
    <s v="Office Supplies"/>
    <s v="Small Pack"/>
    <s v="Regular Air"/>
    <d v="2016-06-20T00:00:00"/>
    <n v="2.5"/>
    <n v="5.68"/>
    <n v="3.1799999999999997"/>
    <n v="27"/>
    <n v="153.35999999999999"/>
    <n v="0.03"/>
    <n v="4.6007999999999996"/>
    <n v="148.75919999999999"/>
    <n v="3.6"/>
    <n v="152.35919999999999"/>
  </r>
  <r>
    <s v="6335-1"/>
    <x v="605"/>
    <x v="3"/>
    <s v="Clay Ludtke"/>
    <s v="7 Khartoum Rd,Macquarie Park"/>
    <s v="Sydney"/>
    <x v="1"/>
    <x v="2"/>
    <x v="12"/>
    <s v="High"/>
    <s v="DrawIt Colored Pencils, 48-Color Set"/>
    <s v="Office Supplies"/>
    <s v="Wrap Bag"/>
    <s v="Regular Air"/>
    <d v="2016-06-21T00:00:00"/>
    <n v="21.56"/>
    <n v="36.549999999999997"/>
    <n v="14.989999999999998"/>
    <n v="34"/>
    <n v="1242.6999999999998"/>
    <n v="0.1"/>
    <n v="124.26999999999998"/>
    <n v="1118.4299999999998"/>
    <n v="13.89"/>
    <n v="1132.32"/>
  </r>
  <r>
    <s v="6336-1"/>
    <x v="605"/>
    <x v="3"/>
    <s v="Harold Dahlen"/>
    <s v="53-55 Liverpool St,Sydney"/>
    <s v="Sydney"/>
    <x v="1"/>
    <x v="2"/>
    <x v="8"/>
    <s v="Medium"/>
    <s v="Pizazz Drawing Pencil Set"/>
    <s v="Office Supplies"/>
    <s v="Wrap Bag"/>
    <s v="Express Air"/>
    <d v="2016-06-20T00:00:00"/>
    <n v="1.53"/>
    <n v="2.78"/>
    <n v="1.2499999999999998"/>
    <n v="47"/>
    <n v="130.66"/>
    <n v="0.1"/>
    <n v="13.066000000000001"/>
    <n v="117.59399999999999"/>
    <n v="1.34"/>
    <n v="118.934"/>
  </r>
  <r>
    <s v="6336-2"/>
    <x v="605"/>
    <x v="3"/>
    <s v="Harold Dahlen"/>
    <s v="53-55 Liverpool St,Sydney"/>
    <s v="Sydney"/>
    <x v="1"/>
    <x v="2"/>
    <x v="8"/>
    <s v="Medium"/>
    <s v="Smiths Metal Binder Clips"/>
    <s v="Office Supplies"/>
    <s v="Wrap Bag"/>
    <s v="Regular Air"/>
    <d v="2016-06-23T00:00:00"/>
    <n v="1.6"/>
    <n v="2.62"/>
    <n v="1.02"/>
    <n v="30"/>
    <n v="78.600000000000009"/>
    <n v="0.05"/>
    <n v="3.9300000000000006"/>
    <n v="74.67"/>
    <n v="0.8"/>
    <n v="75.47"/>
  </r>
  <r>
    <s v="6337-1"/>
    <x v="606"/>
    <x v="3"/>
    <s v="Cindy Chapman"/>
    <s v="101 Murray Street"/>
    <s v="Perth"/>
    <x v="2"/>
    <x v="1"/>
    <x v="8"/>
    <s v="Not Specified"/>
    <s v="Wirebound Voice Message Log Book"/>
    <s v="Office Supplies"/>
    <s v="Wrap Bag"/>
    <s v="Regular Air"/>
    <d v="2016-06-27T00:00:00"/>
    <n v="2.9"/>
    <n v="4.76"/>
    <n v="1.8599999999999999"/>
    <n v="5"/>
    <n v="23.799999999999997"/>
    <n v="0.09"/>
    <n v="2.1419999999999995"/>
    <n v="21.657999999999998"/>
    <n v="0.88"/>
    <n v="22.537999999999997"/>
  </r>
  <r>
    <s v="6338-1"/>
    <x v="607"/>
    <x v="3"/>
    <s v="Joseph Airdo"/>
    <s v="Westfield Sydney,Sydney"/>
    <s v="Sydney"/>
    <x v="1"/>
    <x v="1"/>
    <x v="5"/>
    <s v="Medium"/>
    <s v="Artisan Durable Binders"/>
    <s v="Office Supplies"/>
    <s v="Small Box"/>
    <s v="Regular Air"/>
    <d v="2016-06-30T00:00:00"/>
    <n v="1.84"/>
    <n v="2.88"/>
    <n v="1.0399999999999998"/>
    <n v="25"/>
    <n v="72"/>
    <n v="0.04"/>
    <n v="2.88"/>
    <n v="69.12"/>
    <n v="1.49"/>
    <n v="70.61"/>
  </r>
  <r>
    <s v="6339-1"/>
    <x v="608"/>
    <x v="3"/>
    <s v="Cyma Kinney"/>
    <s v="10 Lake Street"/>
    <s v="Perth"/>
    <x v="2"/>
    <x v="3"/>
    <x v="4"/>
    <s v="Low"/>
    <s v="Alto Memo Cubes"/>
    <s v="Office Supplies"/>
    <s v="Wrap Bag"/>
    <s v="Express Air"/>
    <d v="2016-07-04T00:00:00"/>
    <n v="3.32"/>
    <n v="5.18"/>
    <n v="1.8599999999999999"/>
    <n v="1"/>
    <n v="5.18"/>
    <n v="0.02"/>
    <n v="0.1036"/>
    <n v="5.0763999999999996"/>
    <n v="2.04"/>
    <n v="7.1163999999999996"/>
  </r>
  <r>
    <s v="6339-2"/>
    <x v="608"/>
    <x v="3"/>
    <s v="Cyma Kinney"/>
    <s v="10 Lake Street"/>
    <s v="Perth"/>
    <x v="2"/>
    <x v="3"/>
    <x v="4"/>
    <s v="Low"/>
    <s v="Artisan Hi-Liter Smear-Safe Highlighters"/>
    <s v="Office Supplies"/>
    <s v="Wrap Bag"/>
    <s v="Regular Air"/>
    <d v="2016-07-03T00:00:00"/>
    <n v="2.98"/>
    <n v="5.84"/>
    <n v="2.86"/>
    <n v="4"/>
    <n v="23.36"/>
    <n v="0.09"/>
    <n v="2.1023999999999998"/>
    <n v="21.2576"/>
    <n v="0.83"/>
    <n v="22.087599999999998"/>
  </r>
  <r>
    <s v="6340-1"/>
    <x v="608"/>
    <x v="3"/>
    <s v="Brian DeCherney"/>
    <s v="523 King St,Newtown"/>
    <s v="Sydney"/>
    <x v="1"/>
    <x v="1"/>
    <x v="9"/>
    <s v="Critical"/>
    <s v="Artisan 478 Labels"/>
    <s v="Office Supplies"/>
    <s v="Small Box"/>
    <s v="Regular Air"/>
    <d v="2016-07-01T00:00:00"/>
    <n v="3.14"/>
    <n v="4.91"/>
    <n v="1.77"/>
    <n v="28"/>
    <n v="137.48000000000002"/>
    <n v="0.08"/>
    <n v="10.998400000000002"/>
    <n v="126.48160000000001"/>
    <n v="0.5"/>
    <n v="126.98160000000001"/>
  </r>
  <r>
    <s v="6342-1"/>
    <x v="609"/>
    <x v="3"/>
    <s v="Matthew Clasen"/>
    <s v="Macquarie Centre Cnr Herring Road &amp; Waterloo Road,Macquarie Park"/>
    <s v="Sydney"/>
    <x v="1"/>
    <x v="2"/>
    <x v="3"/>
    <s v="Low"/>
    <s v="Artisan Flip-Chart Easel Binder, Black"/>
    <s v="Office Supplies"/>
    <s v="Small Box"/>
    <s v="Regular Air"/>
    <d v="2016-07-02T00:00:00"/>
    <n v="13.88"/>
    <n v="22.38"/>
    <n v="8.4999999999999982"/>
    <n v="9"/>
    <n v="201.42"/>
    <n v="0.03"/>
    <n v="6.0425999999999993"/>
    <n v="195.37739999999999"/>
    <n v="15.1"/>
    <n v="210.47739999999999"/>
  </r>
  <r>
    <s v="6343-1"/>
    <x v="609"/>
    <x v="3"/>
    <s v="Lindsay Castell"/>
    <s v="Qantas Domestic Terminal,Mascot"/>
    <s v="Sydney"/>
    <x v="1"/>
    <x v="1"/>
    <x v="4"/>
    <s v="High"/>
    <s v="Bagged Rubber Bands"/>
    <s v="Office Supplies"/>
    <s v="Wrap Bag"/>
    <s v="Regular Air"/>
    <d v="2016-07-01T00:00:00"/>
    <n v="0.24"/>
    <n v="1.26"/>
    <n v="1.02"/>
    <n v="47"/>
    <n v="59.22"/>
    <n v="0"/>
    <n v="0"/>
    <n v="59.22"/>
    <n v="0.7"/>
    <n v="59.92"/>
  </r>
  <r>
    <s v="6345-1"/>
    <x v="610"/>
    <x v="3"/>
    <s v="Susan Pistek"/>
    <s v="2a/285A Crown St,Surry Hills"/>
    <s v="Sydney"/>
    <x v="1"/>
    <x v="0"/>
    <x v="4"/>
    <s v="High"/>
    <s v="Artisan 474 Labels"/>
    <s v="Office Supplies"/>
    <s v="Small Box"/>
    <s v="Regular Air"/>
    <d v="2016-07-04T00:00:00"/>
    <n v="1.84"/>
    <n v="2.88"/>
    <n v="1.0399999999999998"/>
    <n v="18"/>
    <n v="51.839999999999996"/>
    <n v="0.03"/>
    <n v="1.5551999999999999"/>
    <n v="50.284799999999997"/>
    <n v="0.99"/>
    <n v="51.274799999999999"/>
  </r>
  <r>
    <s v="6346-1"/>
    <x v="610"/>
    <x v="3"/>
    <s v="Astrea Jones"/>
    <s v="14 Knebworth Avenue, Perth"/>
    <s v="Sydney"/>
    <x v="1"/>
    <x v="1"/>
    <x v="2"/>
    <s v="Critical"/>
    <s v="Smiths Metal Binder Clips"/>
    <s v="Office Supplies"/>
    <s v="Wrap Bag"/>
    <s v="Regular Air"/>
    <d v="2016-07-04T00:00:00"/>
    <n v="1.6"/>
    <n v="2.62"/>
    <n v="1.02"/>
    <n v="16"/>
    <n v="41.92"/>
    <n v="0.09"/>
    <n v="3.7728000000000002"/>
    <n v="38.147199999999998"/>
    <n v="0.8"/>
    <n v="38.947199999999995"/>
  </r>
  <r>
    <s v="6347-1"/>
    <x v="610"/>
    <x v="3"/>
    <s v="Randy Ferguson"/>
    <s v="438 Victoria Avenue,Chatswood"/>
    <s v="Sydney"/>
    <x v="1"/>
    <x v="0"/>
    <x v="5"/>
    <s v="Low"/>
    <s v="Aluminum Document Frame"/>
    <s v="Furniture"/>
    <s v="Small Pack"/>
    <s v="Regular Air"/>
    <d v="2016-07-09T00:00:00"/>
    <n v="5.5"/>
    <n v="12.22"/>
    <n v="6.7200000000000006"/>
    <n v="46"/>
    <n v="562.12"/>
    <n v="0.03"/>
    <n v="16.863599999999998"/>
    <n v="545.25639999999999"/>
    <n v="2.85"/>
    <n v="548.10640000000001"/>
  </r>
  <r>
    <s v="6348-1"/>
    <x v="611"/>
    <x v="3"/>
    <s v="Philip Fox"/>
    <s v="73 York St,Sydney"/>
    <s v="Sydney"/>
    <x v="1"/>
    <x v="0"/>
    <x v="8"/>
    <s v="Medium"/>
    <s v="Assorted Color Push Pins"/>
    <s v="Office Supplies"/>
    <s v="Wrap Bag"/>
    <s v="Regular Air"/>
    <d v="2016-07-05T00:00:00"/>
    <n v="0.87"/>
    <n v="1.81"/>
    <n v="0.94000000000000006"/>
    <n v="50"/>
    <n v="90.5"/>
    <n v="0.08"/>
    <n v="7.24"/>
    <n v="83.26"/>
    <n v="0.75"/>
    <n v="84.01"/>
  </r>
  <r>
    <s v="6349-1"/>
    <x v="612"/>
    <x v="3"/>
    <s v="Denise Monton"/>
    <s v="2/797 Botany Rd,Rosebery"/>
    <s v="Sydney"/>
    <x v="1"/>
    <x v="0"/>
    <x v="6"/>
    <s v="Not Specified"/>
    <s v="Artisan Poly Binder Pockets"/>
    <s v="Office Supplies"/>
    <s v="Small Box"/>
    <s v="Express Air"/>
    <d v="2016-07-07T00:00:00"/>
    <n v="2.2599999999999998"/>
    <n v="3.58"/>
    <n v="1.3200000000000003"/>
    <n v="36"/>
    <n v="128.88"/>
    <n v="0.04"/>
    <n v="5.1551999999999998"/>
    <n v="123.7248"/>
    <n v="5.47"/>
    <n v="129.19480000000001"/>
  </r>
  <r>
    <s v="6351-1"/>
    <x v="613"/>
    <x v="3"/>
    <s v="Thea Hendricks"/>
    <s v="412 Brunswick St,Fitzroy"/>
    <s v="Melbourne"/>
    <x v="0"/>
    <x v="0"/>
    <x v="1"/>
    <s v="High"/>
    <s v="Pizazz Dustless Chalk Sticks"/>
    <s v="Office Supplies"/>
    <s v="Wrap Bag"/>
    <s v="Regular Air"/>
    <d v="2016-07-08T00:00:00"/>
    <n v="1.0900000000000001"/>
    <n v="1.68"/>
    <n v="0.58999999999999986"/>
    <n v="50"/>
    <n v="84"/>
    <n v="0.09"/>
    <n v="7.56"/>
    <n v="76.44"/>
    <n v="1"/>
    <n v="77.44"/>
  </r>
  <r>
    <s v="6352-1"/>
    <x v="614"/>
    <x v="3"/>
    <s v="Katherine Murray"/>
    <s v="18 Whistler St,Sydney"/>
    <s v="Sydney"/>
    <x v="1"/>
    <x v="0"/>
    <x v="3"/>
    <s v="Medium"/>
    <s v="Wirebound Message Book, 4 per Page"/>
    <s v="Office Supplies"/>
    <s v="Wrap Bag"/>
    <s v="Regular Air"/>
    <d v="2016-07-12T00:00:00"/>
    <n v="3.48"/>
    <n v="5.43"/>
    <n v="1.9499999999999997"/>
    <n v="2"/>
    <n v="10.86"/>
    <n v="0.03"/>
    <n v="0.32579999999999998"/>
    <n v="10.5342"/>
    <n v="0.95"/>
    <n v="11.4842"/>
  </r>
  <r>
    <s v="6353-1"/>
    <x v="615"/>
    <x v="3"/>
    <s v="Debra Catini"/>
    <s v="506 Swan Street,Richmond"/>
    <s v="Melbourne"/>
    <x v="0"/>
    <x v="3"/>
    <x v="1"/>
    <s v="Medium"/>
    <s v="Artisan Hanging File Binders"/>
    <s v="Office Supplies"/>
    <s v="Small Box"/>
    <s v="Regular Air"/>
    <d v="2016-07-13T00:00:00"/>
    <n v="3.65"/>
    <n v="5.98"/>
    <n v="2.3300000000000005"/>
    <n v="22"/>
    <n v="131.56"/>
    <n v="7.0000000000000007E-2"/>
    <n v="9.2092000000000009"/>
    <n v="122.35080000000001"/>
    <n v="1.49"/>
    <n v="123.8408"/>
  </r>
  <r>
    <s v="6354-1"/>
    <x v="616"/>
    <x v="3"/>
    <s v="Maribeth Dona"/>
    <s v="8 Rankins Lane ,Melbourne"/>
    <s v="Melbourne"/>
    <x v="0"/>
    <x v="0"/>
    <x v="1"/>
    <s v="High"/>
    <s v="Adesso Programmable 142-Key Keyboard"/>
    <s v="Technology"/>
    <s v="Small Box"/>
    <s v="Regular Air"/>
    <d v="2016-07-18T00:00:00"/>
    <n v="32.020000000000003"/>
    <n v="152.47999999999999"/>
    <n v="120.45999999999998"/>
    <n v="2"/>
    <n v="304.95999999999998"/>
    <n v="0.03"/>
    <n v="9.1487999999999996"/>
    <n v="295.81119999999999"/>
    <n v="4"/>
    <n v="299.81119999999999"/>
  </r>
  <r>
    <s v="6355-1"/>
    <x v="617"/>
    <x v="3"/>
    <s v="Kean Thornton"/>
    <s v="65 Palmerston Street"/>
    <s v="Perth"/>
    <x v="2"/>
    <x v="1"/>
    <x v="5"/>
    <s v="Not Specified"/>
    <s v="Steady Pocket Accent Highlighters"/>
    <s v="Office Supplies"/>
    <s v="Wrap Bag"/>
    <s v="Regular Air"/>
    <d v="2016-07-18T00:00:00"/>
    <n v="0.93"/>
    <n v="1.6"/>
    <n v="0.67"/>
    <n v="39"/>
    <n v="62.400000000000006"/>
    <n v="0.1"/>
    <n v="6.2400000000000011"/>
    <n v="56.160000000000004"/>
    <n v="1.29"/>
    <n v="57.45"/>
  </r>
  <r>
    <s v="6356-1"/>
    <x v="618"/>
    <x v="3"/>
    <s v="Michelle Huthwaite"/>
    <s v="155 Oxford Street,Darlinghurst"/>
    <s v="Sydney"/>
    <x v="1"/>
    <x v="0"/>
    <x v="6"/>
    <s v="Critical"/>
    <s v="HFX 610 Color Digital Copier / Printer"/>
    <s v="Technology"/>
    <s v="Large Box"/>
    <s v="Regular Air"/>
    <d v="2016-07-29T00:00:00"/>
    <n v="269.99"/>
    <n v="449.99"/>
    <n v="180"/>
    <n v="3"/>
    <n v="1349.97"/>
    <n v="0.06"/>
    <n v="80.998199999999997"/>
    <n v="1268.9718"/>
    <n v="24.49"/>
    <n v="1293.4618"/>
  </r>
  <r>
    <s v="6358-1"/>
    <x v="619"/>
    <x v="3"/>
    <s v="Nicole Brennan"/>
    <s v="310 Wattle St,Ultimo"/>
    <s v="Sydney"/>
    <x v="1"/>
    <x v="0"/>
    <x v="9"/>
    <s v="Medium"/>
    <s v="Artisan Flip-Chart Easel Binder, Black"/>
    <s v="Office Supplies"/>
    <s v="Small Box"/>
    <s v="Regular Air"/>
    <d v="2016-07-30T00:00:00"/>
    <n v="13.88"/>
    <n v="22.38"/>
    <n v="8.4999999999999982"/>
    <n v="18"/>
    <n v="402.84"/>
    <n v="0.05"/>
    <n v="20.141999999999999"/>
    <n v="382.69799999999998"/>
    <n v="15.1"/>
    <n v="397.798"/>
  </r>
  <r>
    <s v="6359-1"/>
    <x v="620"/>
    <x v="3"/>
    <s v="Dean Percer"/>
    <s v="222 Barkly St,St Kilda"/>
    <s v="Melbourne"/>
    <x v="0"/>
    <x v="0"/>
    <x v="0"/>
    <s v="Not Specified"/>
    <s v="Deluxe Rollaway Locking File with Drawer"/>
    <s v="Office Supplies"/>
    <s v="Small Box"/>
    <s v="Regular Air"/>
    <d v="2016-08-04T00:00:00"/>
    <n v="178.83"/>
    <n v="415.88"/>
    <n v="237.04999999999998"/>
    <n v="4"/>
    <n v="1663.52"/>
    <n v="0.04"/>
    <n v="66.540800000000004"/>
    <n v="1596.9792"/>
    <n v="11.37"/>
    <n v="1608.3491999999999"/>
  </r>
  <r>
    <s v="6361-1"/>
    <x v="621"/>
    <x v="3"/>
    <s v="Michael Stewart"/>
    <s v="523 King St,Newtown"/>
    <s v="Sydney"/>
    <x v="1"/>
    <x v="3"/>
    <x v="9"/>
    <s v="Not Specified"/>
    <s v="Smiths SlimLine Pencil Sharpener"/>
    <s v="Office Supplies"/>
    <s v="Small Pack"/>
    <s v="Regular Air"/>
    <d v="2016-08-04T00:00:00"/>
    <n v="4.79"/>
    <n v="11.97"/>
    <n v="7.1800000000000006"/>
    <n v="49"/>
    <n v="586.53000000000009"/>
    <n v="0.09"/>
    <n v="52.787700000000008"/>
    <n v="533.74230000000011"/>
    <n v="5.81"/>
    <n v="539.55230000000006"/>
  </r>
  <r>
    <s v="6362-1"/>
    <x v="622"/>
    <x v="3"/>
    <s v="Bruce Stewart"/>
    <s v="Westfield Sydney,Sydney"/>
    <s v="Sydney"/>
    <x v="1"/>
    <x v="1"/>
    <x v="5"/>
    <s v="High"/>
    <s v="UGen Ultra Cordless Optical Suite"/>
    <s v="Technology"/>
    <s v="Small Box"/>
    <s v="Regular Air"/>
    <d v="2016-08-06T00:00:00"/>
    <n v="54.52"/>
    <n v="100.97"/>
    <n v="46.449999999999996"/>
    <n v="41"/>
    <n v="4139.7699999999995"/>
    <n v="0.03"/>
    <n v="124.19309999999999"/>
    <n v="4015.5768999999996"/>
    <n v="7.18"/>
    <n v="4022.7568999999994"/>
  </r>
  <r>
    <s v="6364-1"/>
    <x v="623"/>
    <x v="3"/>
    <s v="Beth Thompson"/>
    <s v="101 Murray Street, Perth"/>
    <s v="Sydney"/>
    <x v="1"/>
    <x v="1"/>
    <x v="11"/>
    <s v="High"/>
    <s v="Pizazz Drawing Pencil Set"/>
    <s v="Office Supplies"/>
    <s v="Wrap Bag"/>
    <s v="Regular Air"/>
    <d v="2016-08-06T00:00:00"/>
    <n v="1.17"/>
    <n v="2.78"/>
    <n v="1.6099999999999999"/>
    <n v="6"/>
    <n v="16.68"/>
    <n v="0.01"/>
    <n v="0.1668"/>
    <n v="16.513200000000001"/>
    <n v="1.2"/>
    <n v="17.713200000000001"/>
  </r>
  <r>
    <s v="6365-1"/>
    <x v="624"/>
    <x v="3"/>
    <s v="Maureen Gastineau"/>
    <s v="10 O'Connell St,Sydney"/>
    <s v="Sydney"/>
    <x v="1"/>
    <x v="2"/>
    <x v="9"/>
    <s v="Not Specified"/>
    <s v="Airmail Envelopes"/>
    <s v="Office Supplies"/>
    <s v="Small Box"/>
    <s v="Regular Air"/>
    <d v="2016-08-08T00:00:00"/>
    <n v="52.04"/>
    <n v="83.93"/>
    <n v="31.890000000000008"/>
    <n v="37"/>
    <n v="3105.4100000000003"/>
    <n v="0.03"/>
    <n v="93.162300000000002"/>
    <n v="3012.2477000000003"/>
    <n v="19.989999999999998"/>
    <n v="3032.2377000000001"/>
  </r>
  <r>
    <s v="6367-1"/>
    <x v="625"/>
    <x v="3"/>
    <s v="Michelle Arnett"/>
    <s v="1-2/299 Sussex St,Sydney"/>
    <s v="Sydney"/>
    <x v="1"/>
    <x v="0"/>
    <x v="9"/>
    <s v="High"/>
    <s v="Artisan Binder Labels"/>
    <s v="Office Supplies"/>
    <s v="Small Box"/>
    <s v="Regular Air"/>
    <d v="2016-08-09T00:00:00"/>
    <n v="2.4500000000000002"/>
    <n v="3.89"/>
    <n v="1.44"/>
    <n v="18"/>
    <n v="70.02"/>
    <n v="0.04"/>
    <n v="2.8007999999999997"/>
    <n v="67.219200000000001"/>
    <n v="7.01"/>
    <n v="74.229200000000006"/>
  </r>
  <r>
    <s v="6369-1"/>
    <x v="626"/>
    <x v="3"/>
    <s v="Dennis Bolton"/>
    <s v="8 Quay Street,Haymarket"/>
    <s v="Sydney"/>
    <x v="1"/>
    <x v="2"/>
    <x v="2"/>
    <s v="High"/>
    <s v="Artisan 487 Labels"/>
    <s v="Office Supplies"/>
    <s v="Small Box"/>
    <s v="Regular Air"/>
    <d v="2016-08-13T00:00:00"/>
    <n v="2.29"/>
    <n v="3.69"/>
    <n v="1.4"/>
    <n v="13"/>
    <n v="47.97"/>
    <n v="0.04"/>
    <n v="1.9188000000000001"/>
    <n v="46.051200000000001"/>
    <n v="0.5"/>
    <n v="46.551200000000001"/>
  </r>
  <r>
    <s v="6370-1"/>
    <x v="626"/>
    <x v="3"/>
    <s v="Sung Shariari"/>
    <s v="6/15 Cross Street,Double Bay"/>
    <s v="Sydney"/>
    <x v="1"/>
    <x v="1"/>
    <x v="2"/>
    <s v="Medium"/>
    <s v="Bagged Rubber Bands"/>
    <s v="Office Supplies"/>
    <s v="Wrap Bag"/>
    <s v="Regular Air"/>
    <d v="2016-08-13T00:00:00"/>
    <n v="0.24"/>
    <n v="1.26"/>
    <n v="1.02"/>
    <n v="34"/>
    <n v="42.84"/>
    <n v="0"/>
    <n v="0"/>
    <n v="42.84"/>
    <n v="0.7"/>
    <n v="43.540000000000006"/>
  </r>
  <r>
    <s v="6371-1"/>
    <x v="627"/>
    <x v="3"/>
    <s v="Dave Hallsten"/>
    <s v="1 John St,Waterloo"/>
    <s v="Sydney"/>
    <x v="1"/>
    <x v="1"/>
    <x v="10"/>
    <s v="Low"/>
    <s v="Artisan Binder Labels"/>
    <s v="Office Supplies"/>
    <s v="Small Box"/>
    <s v="Express Air"/>
    <d v="2016-08-20T00:00:00"/>
    <n v="2.4500000000000002"/>
    <n v="3.89"/>
    <n v="1.44"/>
    <n v="30"/>
    <n v="116.7"/>
    <n v="0.09"/>
    <n v="10.503"/>
    <n v="106.197"/>
    <n v="7.01"/>
    <n v="113.20700000000001"/>
  </r>
  <r>
    <s v="6373-1"/>
    <x v="628"/>
    <x v="3"/>
    <s v="Pete Armstrong"/>
    <s v="506 Swan Street,Richmond"/>
    <s v="Melbourne"/>
    <x v="0"/>
    <x v="2"/>
    <x v="1"/>
    <s v="High"/>
    <s v="Wirebound Voice Message Log Book"/>
    <s v="Office Supplies"/>
    <s v="Wrap Bag"/>
    <s v="Regular Air"/>
    <d v="2016-08-18T00:00:00"/>
    <n v="2.9"/>
    <n v="4.76"/>
    <n v="1.8599999999999999"/>
    <n v="1"/>
    <n v="4.76"/>
    <n v="0.02"/>
    <n v="9.5199999999999993E-2"/>
    <n v="4.6647999999999996"/>
    <n v="0.88"/>
    <n v="5.5447999999999995"/>
  </r>
  <r>
    <s v="6374-1"/>
    <x v="629"/>
    <x v="3"/>
    <s v="Emily Grady"/>
    <s v="14 Money Street"/>
    <s v="Perth"/>
    <x v="2"/>
    <x v="0"/>
    <x v="4"/>
    <s v="High"/>
    <s v="Angle-D Binders with Locking Rings, Label Holders"/>
    <s v="Office Supplies"/>
    <s v="Small Box"/>
    <s v="Express Air"/>
    <d v="2016-08-20T00:00:00"/>
    <n v="4.53"/>
    <n v="7.3"/>
    <n v="2.7699999999999996"/>
    <n v="41"/>
    <n v="299.3"/>
    <n v="0.05"/>
    <n v="14.965000000000002"/>
    <n v="284.33500000000004"/>
    <n v="7.72"/>
    <n v="292.05500000000006"/>
  </r>
  <r>
    <s v="6376-1"/>
    <x v="629"/>
    <x v="3"/>
    <s v="Vivek Grady"/>
    <s v="99 Lygon Street,East Brunswick"/>
    <s v="Melbourne"/>
    <x v="0"/>
    <x v="0"/>
    <x v="1"/>
    <s v="Low"/>
    <s v="Colored Envelopes"/>
    <s v="Office Supplies"/>
    <s v="Small Box"/>
    <s v="Regular Air"/>
    <d v="2016-08-22T00:00:00"/>
    <n v="2.25"/>
    <n v="3.69"/>
    <n v="1.44"/>
    <n v="16"/>
    <n v="59.04"/>
    <n v="0.02"/>
    <n v="1.1808000000000001"/>
    <n v="57.859200000000001"/>
    <n v="2.5"/>
    <n v="60.359200000000001"/>
  </r>
  <r>
    <s v="6377-1"/>
    <x v="630"/>
    <x v="3"/>
    <s v="Ed Ludwig"/>
    <s v="221 Barkly St,St Kilda"/>
    <s v="Melbourne"/>
    <x v="0"/>
    <x v="2"/>
    <x v="0"/>
    <s v="Low"/>
    <s v="Smiths Bulldog Clip"/>
    <s v="Office Supplies"/>
    <s v="Wrap Bag"/>
    <s v="Regular Air"/>
    <d v="2016-08-25T00:00:00"/>
    <n v="2.31"/>
    <n v="3.78"/>
    <n v="1.4699999999999998"/>
    <n v="28"/>
    <n v="105.83999999999999"/>
    <n v="0.06"/>
    <n v="6.3503999999999987"/>
    <n v="99.489599999999996"/>
    <n v="0.71"/>
    <n v="100.19959999999999"/>
  </r>
  <r>
    <s v="6379-1"/>
    <x v="631"/>
    <x v="3"/>
    <s v="Maria Zettner"/>
    <s v="531 King St,Newtown"/>
    <s v="Sydney"/>
    <x v="1"/>
    <x v="1"/>
    <x v="11"/>
    <s v="Not Specified"/>
    <s v="PastelOcean Color Pencil Set"/>
    <s v="Office Supplies"/>
    <s v="Wrap Bag"/>
    <s v="Regular Air"/>
    <d v="2016-08-25T00:00:00"/>
    <n v="11.11"/>
    <n v="19.84"/>
    <n v="8.73"/>
    <n v="22"/>
    <n v="436.48"/>
    <n v="0.06"/>
    <n v="26.188800000000001"/>
    <n v="410.2912"/>
    <n v="4.0999999999999996"/>
    <n v="414.39120000000003"/>
  </r>
  <r>
    <s v="6380-1"/>
    <x v="632"/>
    <x v="3"/>
    <s v="Lindsay Shagiari"/>
    <s v="5/250 Old Northern Road ,Castle Hill"/>
    <s v="Sydney"/>
    <x v="1"/>
    <x v="0"/>
    <x v="3"/>
    <s v="Low"/>
    <s v="600 Series Non-Flip"/>
    <s v="Technology"/>
    <s v="Small Box"/>
    <s v="Regular Air"/>
    <d v="2016-08-24T00:00:00"/>
    <n v="19.78"/>
    <n v="45.99"/>
    <n v="26.21"/>
    <n v="46"/>
    <n v="2115.54"/>
    <n v="0.1"/>
    <n v="211.554"/>
    <n v="1903.9859999999999"/>
    <n v="4.99"/>
    <n v="1908.9759999999999"/>
  </r>
  <r>
    <s v="6382-1"/>
    <x v="632"/>
    <x v="3"/>
    <s v="Henry Goldwyn"/>
    <s v="541 Church St,Richmond"/>
    <s v="Melbourne"/>
    <x v="0"/>
    <x v="3"/>
    <x v="0"/>
    <s v="Not Specified"/>
    <s v="Artisan 479 Labels"/>
    <s v="Office Supplies"/>
    <s v="Small Box"/>
    <s v="Regular Air"/>
    <d v="2016-08-27T00:00:00"/>
    <n v="1.59"/>
    <n v="2.61"/>
    <n v="1.0199999999999998"/>
    <n v="34"/>
    <n v="88.74"/>
    <n v="0"/>
    <n v="0"/>
    <n v="88.74"/>
    <n v="0.5"/>
    <n v="89.24"/>
  </r>
  <r>
    <s v="6384-1"/>
    <x v="632"/>
    <x v="3"/>
    <s v="Jasper Cacioppo"/>
    <s v="14 Knebworth Avenue"/>
    <s v="Perth"/>
    <x v="2"/>
    <x v="0"/>
    <x v="13"/>
    <s v="Low"/>
    <s v="HFX LaserJet 3310 Copier"/>
    <s v="Technology"/>
    <s v="Large Box"/>
    <s v="Regular Air"/>
    <d v="2016-09-02T00:00:00"/>
    <n v="377.99"/>
    <n v="599.99"/>
    <n v="222"/>
    <n v="16"/>
    <n v="9599.84"/>
    <n v="0"/>
    <n v="0"/>
    <n v="9599.84"/>
    <n v="24.49"/>
    <n v="9624.33"/>
  </r>
  <r>
    <s v="6384-2"/>
    <x v="632"/>
    <x v="3"/>
    <s v="Jasper Cacioppo"/>
    <s v="14 Knebworth Avenue"/>
    <s v="Perth"/>
    <x v="2"/>
    <x v="0"/>
    <x v="13"/>
    <s v="Low"/>
    <s v="PastelOcean Color Pencil Set"/>
    <s v="Office Supplies"/>
    <s v="Wrap Bag"/>
    <s v="Regular Air"/>
    <d v="2016-09-02T00:00:00"/>
    <n v="11.11"/>
    <n v="19.84"/>
    <n v="8.73"/>
    <n v="39"/>
    <n v="773.76"/>
    <n v="0.01"/>
    <n v="7.7376000000000005"/>
    <n v="766.02239999999995"/>
    <n v="4.0999999999999996"/>
    <n v="770.12239999999997"/>
  </r>
  <r>
    <s v="6387-1"/>
    <x v="632"/>
    <x v="3"/>
    <s v="Quincy Jones"/>
    <s v="Shop 3/144 Waterloo Road,Greenacre"/>
    <s v="Sydney"/>
    <x v="1"/>
    <x v="3"/>
    <x v="6"/>
    <s v="Medium"/>
    <s v="Pizazz Drawing Pencil Set"/>
    <s v="Office Supplies"/>
    <s v="Wrap Bag"/>
    <s v="Regular Air"/>
    <d v="2016-08-24T00:00:00"/>
    <n v="1.53"/>
    <n v="2.78"/>
    <n v="1.2499999999999998"/>
    <n v="23"/>
    <n v="63.94"/>
    <n v="0.01"/>
    <n v="0.63939999999999997"/>
    <n v="63.300599999999996"/>
    <n v="1.34"/>
    <n v="64.640599999999992"/>
  </r>
  <r>
    <s v="6388-1"/>
    <x v="632"/>
    <x v="3"/>
    <s v="Kelly Williams"/>
    <s v="499-501 Lygon Street,Carlton North"/>
    <s v="Melbourne"/>
    <x v="0"/>
    <x v="1"/>
    <x v="0"/>
    <s v="Medium"/>
    <s v="TypeRight  Top-Opening Peel &amp; Seel Envelopes, Plain White"/>
    <s v="Office Supplies"/>
    <s v="Small Box"/>
    <s v="Regular Air"/>
    <d v="2016-08-25T00:00:00"/>
    <n v="16.850000000000001"/>
    <n v="27.18"/>
    <n v="10.329999999999998"/>
    <n v="50"/>
    <n v="1359"/>
    <n v="0.02"/>
    <n v="27.18"/>
    <n v="1331.82"/>
    <n v="8.23"/>
    <n v="1340.05"/>
  </r>
  <r>
    <s v="6389-1"/>
    <x v="633"/>
    <x v="3"/>
    <s v="Lycoris Saunders"/>
    <s v="501 George St,Sydney"/>
    <s v="Sydney"/>
    <x v="1"/>
    <x v="1"/>
    <x v="6"/>
    <s v="High"/>
    <s v="Apex Straight Scissors"/>
    <s v="Office Supplies"/>
    <s v="Small Pack"/>
    <s v="Express Air"/>
    <d v="2016-08-28T00:00:00"/>
    <n v="5.19"/>
    <n v="12.98"/>
    <n v="7.79"/>
    <n v="42"/>
    <n v="545.16"/>
    <n v="0.05"/>
    <n v="27.257999999999999"/>
    <n v="517.90199999999993"/>
    <n v="3.14"/>
    <n v="521.04199999999992"/>
  </r>
  <r>
    <s v="6390-1"/>
    <x v="634"/>
    <x v="3"/>
    <s v="Clay Ludtke"/>
    <s v="7 Khartoum Rd,Macquarie Park"/>
    <s v="Sydney"/>
    <x v="1"/>
    <x v="2"/>
    <x v="12"/>
    <s v="Critical"/>
    <s v="Alto Memo Cubes"/>
    <s v="Office Supplies"/>
    <s v="Wrap Bag"/>
    <s v="Regular Air"/>
    <d v="2016-09-02T00:00:00"/>
    <n v="3.32"/>
    <n v="5.18"/>
    <n v="1.8599999999999999"/>
    <n v="32"/>
    <n v="165.76"/>
    <n v="0.06"/>
    <n v="9.9455999999999989"/>
    <n v="155.81439999999998"/>
    <n v="2.04"/>
    <n v="157.85439999999997"/>
  </r>
  <r>
    <s v="6391-1"/>
    <x v="635"/>
    <x v="3"/>
    <s v="Cynthia Voltz"/>
    <s v="Westfield Miranda, 600 Kingsway,Miranda"/>
    <s v="Sydney"/>
    <x v="1"/>
    <x v="1"/>
    <x v="12"/>
    <s v="Not Specified"/>
    <s v="TechSavi Access Keyboard"/>
    <s v="Technology"/>
    <s v="Small Box"/>
    <s v="Regular Air"/>
    <d v="2016-09-05T00:00:00"/>
    <n v="10.07"/>
    <n v="15.98"/>
    <n v="5.91"/>
    <n v="30"/>
    <n v="479.40000000000003"/>
    <n v="0.08"/>
    <n v="38.352000000000004"/>
    <n v="441.048"/>
    <n v="4"/>
    <n v="445.048"/>
  </r>
  <r>
    <s v="6392-1"/>
    <x v="636"/>
    <x v="3"/>
    <s v="Meg Tillman"/>
    <s v="531 King St,Newtown"/>
    <s v="Sydney"/>
    <x v="1"/>
    <x v="3"/>
    <x v="11"/>
    <s v="Medium"/>
    <s v="Artisan 48 Labels"/>
    <s v="Office Supplies"/>
    <s v="Small Box"/>
    <s v="Regular Air"/>
    <d v="2016-09-07T00:00:00"/>
    <n v="3.84"/>
    <n v="6.3"/>
    <n v="2.46"/>
    <n v="40"/>
    <n v="252"/>
    <n v="0.04"/>
    <n v="10.08"/>
    <n v="241.92"/>
    <n v="0.5"/>
    <n v="242.42"/>
  </r>
  <r>
    <s v="6393-1"/>
    <x v="637"/>
    <x v="3"/>
    <s v="Kristina Nunn"/>
    <s v="22 Civic Rd,Auburn"/>
    <s v="Sydney"/>
    <x v="1"/>
    <x v="2"/>
    <x v="11"/>
    <s v="Medium"/>
    <s v="Smiths Bulldog Clip"/>
    <s v="Office Supplies"/>
    <s v="Wrap Bag"/>
    <s v="Regular Air"/>
    <d v="2016-09-07T00:00:00"/>
    <n v="2.31"/>
    <n v="3.78"/>
    <n v="1.4699999999999998"/>
    <n v="38"/>
    <n v="143.63999999999999"/>
    <n v="0.03"/>
    <n v="4.3091999999999997"/>
    <n v="139.33079999999998"/>
    <n v="0.71"/>
    <n v="140.04079999999999"/>
  </r>
  <r>
    <s v="6394-1"/>
    <x v="638"/>
    <x v="3"/>
    <s v="Darrin Van Huff"/>
    <s v="53-55 Liverpool St,Sydney"/>
    <s v="Sydney"/>
    <x v="1"/>
    <x v="0"/>
    <x v="8"/>
    <s v="Medium"/>
    <s v="300 Series Non-Flip"/>
    <s v="Technology"/>
    <s v="Small Box"/>
    <s v="Express Air"/>
    <d v="2016-09-08T00:00:00"/>
    <n v="62.4"/>
    <n v="155.99"/>
    <n v="93.59"/>
    <n v="22"/>
    <n v="3431.78"/>
    <n v="0.02"/>
    <n v="68.635600000000011"/>
    <n v="3363.1444000000001"/>
    <n v="8.08"/>
    <n v="3371.2244000000001"/>
  </r>
  <r>
    <s v="6395-1"/>
    <x v="638"/>
    <x v="3"/>
    <s v="Raymond Fair"/>
    <s v="188 Pitt Street,Sydney"/>
    <s v="Sydney"/>
    <x v="1"/>
    <x v="3"/>
    <x v="8"/>
    <s v="High"/>
    <s v="Artisan Hi-Liter GlideStik Fluorescent Highlighter, Yellow Ink"/>
    <s v="Office Supplies"/>
    <s v="Wrap Bag"/>
    <s v="Regular Air"/>
    <d v="2016-09-08T00:00:00"/>
    <n v="1.92"/>
    <n v="3.26"/>
    <n v="1.3399999999999999"/>
    <n v="38"/>
    <n v="123.88"/>
    <n v="0.02"/>
    <n v="2.4775999999999998"/>
    <n v="121.4024"/>
    <n v="1.86"/>
    <n v="123.2624"/>
  </r>
  <r>
    <s v="6396-1"/>
    <x v="639"/>
    <x v="3"/>
    <s v="Christina Vanderzanden"/>
    <s v="188 Pitt Street,Sydney"/>
    <s v="Sydney"/>
    <x v="1"/>
    <x v="3"/>
    <x v="8"/>
    <s v="Low"/>
    <s v="Smiths File Caddy"/>
    <s v="Office Supplies"/>
    <s v="Small Box"/>
    <s v="Express Air"/>
    <d v="2016-09-20T00:00:00"/>
    <n v="4.03"/>
    <n v="9.3800000000000008"/>
    <n v="5.3500000000000005"/>
    <n v="46"/>
    <n v="431.48"/>
    <n v="0.09"/>
    <n v="38.833199999999998"/>
    <n v="392.64680000000004"/>
    <n v="7.28"/>
    <n v="399.92680000000001"/>
  </r>
  <r>
    <s v="6397-1"/>
    <x v="640"/>
    <x v="3"/>
    <s v="Nathan Gelder"/>
    <s v="221 Barkly St,St Kilda"/>
    <s v="Melbourne"/>
    <x v="0"/>
    <x v="0"/>
    <x v="0"/>
    <s v="High"/>
    <s v="Pizazz Colored Pencils"/>
    <s v="Office Supplies"/>
    <s v="Wrap Bag"/>
    <s v="Regular Air"/>
    <d v="2016-09-16T00:00:00"/>
    <n v="1.76"/>
    <n v="2.94"/>
    <n v="1.18"/>
    <n v="26"/>
    <n v="76.44"/>
    <n v="0.03"/>
    <n v="2.2931999999999997"/>
    <n v="74.146799999999999"/>
    <n v="0.81"/>
    <n v="74.956800000000001"/>
  </r>
  <r>
    <s v="6399-1"/>
    <x v="641"/>
    <x v="3"/>
    <s v="Brooke Gillingham"/>
    <s v="21 Wentworth St,Parramatta"/>
    <s v="Sydney"/>
    <x v="1"/>
    <x v="3"/>
    <x v="9"/>
    <s v="High"/>
    <s v="Emerson LQ-870 Dot Matrix Printer"/>
    <s v="Technology"/>
    <s v="Jumbo Drum"/>
    <s v="Delivery Truck"/>
    <d v="2016-09-16T00:00:00"/>
    <n v="219.61"/>
    <n v="535.64"/>
    <n v="316.02999999999997"/>
    <n v="44"/>
    <n v="23568.16"/>
    <n v="0.03"/>
    <n v="707.04480000000001"/>
    <n v="22861.1152"/>
    <n v="14.7"/>
    <n v="22875.815200000001"/>
  </r>
  <r>
    <s v="6401-1"/>
    <x v="642"/>
    <x v="3"/>
    <s v="Giulietta Baptist"/>
    <s v="Hoyts Entertainment Quarter 122 Lang Road,Moore Park"/>
    <s v="Sydney"/>
    <x v="1"/>
    <x v="0"/>
    <x v="8"/>
    <s v="Low"/>
    <s v="Beekin 105-Key Black Keyboard"/>
    <s v="Technology"/>
    <s v="Small Box"/>
    <s v="Regular Air"/>
    <d v="2016-09-19T00:00:00"/>
    <n v="6.39"/>
    <n v="19.98"/>
    <n v="13.59"/>
    <n v="44"/>
    <n v="879.12"/>
    <n v="0.03"/>
    <n v="26.3736"/>
    <n v="852.74639999999999"/>
    <n v="4"/>
    <n v="856.74639999999999"/>
  </r>
  <r>
    <s v="6402-1"/>
    <x v="643"/>
    <x v="3"/>
    <s v="John Castell"/>
    <s v="38/133-145 Castlereagh St,Sydney"/>
    <s v="Sydney"/>
    <x v="1"/>
    <x v="2"/>
    <x v="5"/>
    <s v="Low"/>
    <s v="Artisan 478 Labels"/>
    <s v="Office Supplies"/>
    <s v="Small Box"/>
    <s v="Regular Air"/>
    <d v="2016-09-18T00:00:00"/>
    <n v="3.14"/>
    <n v="4.91"/>
    <n v="1.77"/>
    <n v="13"/>
    <n v="63.83"/>
    <n v="0.01"/>
    <n v="0.63829999999999998"/>
    <n v="63.191699999999997"/>
    <n v="0.5"/>
    <n v="63.691699999999997"/>
  </r>
  <r>
    <s v="6403-1"/>
    <x v="643"/>
    <x v="3"/>
    <s v="Nora Price"/>
    <s v="7 Khartoum Rd,Macquarie Park"/>
    <s v="Sydney"/>
    <x v="1"/>
    <x v="3"/>
    <x v="12"/>
    <s v="Medium"/>
    <s v="Artisan Printable Repositionable Plastic Tabs"/>
    <s v="Office Supplies"/>
    <s v="Small Box"/>
    <s v="Regular Air"/>
    <d v="2016-09-20T00:00:00"/>
    <n v="5.33"/>
    <n v="8.6"/>
    <n v="3.2699999999999996"/>
    <n v="2"/>
    <n v="17.2"/>
    <n v="0.03"/>
    <n v="0.51600000000000001"/>
    <n v="16.683999999999997"/>
    <n v="6.19"/>
    <n v="22.873999999999999"/>
  </r>
  <r>
    <s v="6403-2"/>
    <x v="643"/>
    <x v="3"/>
    <s v="Nora Price"/>
    <s v="7 Khartoum Rd,Macquarie Park"/>
    <s v="Sydney"/>
    <x v="1"/>
    <x v="3"/>
    <x v="12"/>
    <s v="Medium"/>
    <s v="Economy Rollaway Files"/>
    <s v="Office Supplies"/>
    <s v="Small Box"/>
    <s v="Regular Air"/>
    <d v="2016-09-19T00:00:00"/>
    <n v="67.73"/>
    <n v="165.2"/>
    <n v="97.469999999999985"/>
    <n v="10"/>
    <n v="1652"/>
    <n v="0.08"/>
    <n v="132.16"/>
    <n v="1519.84"/>
    <n v="19.989999999999998"/>
    <n v="1539.83"/>
  </r>
  <r>
    <s v="6407-1"/>
    <x v="644"/>
    <x v="3"/>
    <s v="Ashley Jarboe"/>
    <s v="14 Knebworth Avenue, Perth"/>
    <s v="Melbourne"/>
    <x v="0"/>
    <x v="3"/>
    <x v="1"/>
    <s v="Low"/>
    <s v="Smiths SlimLine Pencil Sharpener"/>
    <s v="Office Supplies"/>
    <s v="Small Pack"/>
    <s v="Regular Air"/>
    <d v="2016-09-20T00:00:00"/>
    <n v="4.79"/>
    <n v="11.97"/>
    <n v="7.1800000000000006"/>
    <n v="38"/>
    <n v="454.86"/>
    <n v="0.02"/>
    <n v="9.0972000000000008"/>
    <n v="445.76280000000003"/>
    <n v="5.81"/>
    <n v="451.57280000000003"/>
  </r>
  <r>
    <s v="6409-1"/>
    <x v="644"/>
    <x v="3"/>
    <s v="Matthew Clasen"/>
    <s v="Macquarie Centre Cnr Herring Road &amp; Waterloo Road,Macquarie Park"/>
    <s v="Sydney"/>
    <x v="1"/>
    <x v="2"/>
    <x v="3"/>
    <s v="Low"/>
    <s v="Wirebound Message Book, 4 per Page"/>
    <s v="Office Supplies"/>
    <s v="Wrap Bag"/>
    <s v="Regular Air"/>
    <d v="2016-09-20T00:00:00"/>
    <n v="3.48"/>
    <n v="5.43"/>
    <n v="1.9499999999999997"/>
    <n v="12"/>
    <n v="65.16"/>
    <n v="0.01"/>
    <n v="0.65159999999999996"/>
    <n v="64.508399999999995"/>
    <n v="0.95"/>
    <n v="65.458399999999997"/>
  </r>
  <r>
    <s v="6411-1"/>
    <x v="645"/>
    <x v="3"/>
    <s v="Dan Campbell"/>
    <s v="1/173-179 Bronte Rd,Waverley"/>
    <s v="Sydney"/>
    <x v="1"/>
    <x v="1"/>
    <x v="2"/>
    <s v="Medium"/>
    <s v="Artisan Binder Labels"/>
    <s v="Office Supplies"/>
    <s v="Small Box"/>
    <s v="Regular Air"/>
    <d v="2016-09-21T00:00:00"/>
    <n v="2.4500000000000002"/>
    <n v="3.89"/>
    <n v="1.44"/>
    <n v="50"/>
    <n v="194.5"/>
    <n v="0.08"/>
    <n v="15.56"/>
    <n v="178.94"/>
    <n v="7.01"/>
    <n v="185.95"/>
  </r>
  <r>
    <s v="6413-1"/>
    <x v="646"/>
    <x v="3"/>
    <s v="Richard Bierner"/>
    <s v="180 High Street,Windsor"/>
    <s v="Melbourne"/>
    <x v="0"/>
    <x v="3"/>
    <x v="1"/>
    <s v="Medium"/>
    <s v="EcoTones Memo Sheets"/>
    <s v="Office Supplies"/>
    <s v="Wrap Bag"/>
    <s v="Regular Air"/>
    <d v="2016-09-23T00:00:00"/>
    <n v="2.52"/>
    <n v="4"/>
    <n v="1.48"/>
    <n v="22"/>
    <n v="88"/>
    <n v="0.09"/>
    <n v="7.92"/>
    <n v="80.08"/>
    <n v="1.3"/>
    <n v="81.38"/>
  </r>
  <r>
    <s v="6414-1"/>
    <x v="647"/>
    <x v="3"/>
    <s v="Christine Phan"/>
    <s v="10 O'Connell St,Sydney"/>
    <s v="Sydney"/>
    <x v="1"/>
    <x v="3"/>
    <x v="9"/>
    <s v="Medium"/>
    <s v="3Max Organizer Strips"/>
    <s v="Office Supplies"/>
    <s v="Small Box"/>
    <s v="Regular Air"/>
    <d v="2016-09-26T00:00:00"/>
    <n v="3.4"/>
    <n v="5.4"/>
    <n v="2.0000000000000004"/>
    <n v="38"/>
    <n v="205.20000000000002"/>
    <n v="0.03"/>
    <n v="6.1560000000000006"/>
    <n v="199.04400000000001"/>
    <n v="7.78"/>
    <n v="206.82400000000001"/>
  </r>
  <r>
    <s v="6415-1"/>
    <x v="648"/>
    <x v="3"/>
    <s v="Valerie Dominguez"/>
    <s v="37/59 Brewer Street"/>
    <s v="Perth"/>
    <x v="2"/>
    <x v="1"/>
    <x v="8"/>
    <s v="Critical"/>
    <s v="Beekin 6 Outlet Metallic Surge Strip"/>
    <s v="Office Supplies"/>
    <s v="Small Box"/>
    <s v="Regular Air"/>
    <d v="2016-09-26T00:00:00"/>
    <n v="4.46"/>
    <n v="10.89"/>
    <n v="6.4300000000000006"/>
    <n v="19"/>
    <n v="206.91000000000003"/>
    <n v="7.0000000000000007E-2"/>
    <n v="14.483700000000002"/>
    <n v="192.42630000000003"/>
    <n v="4.5"/>
    <n v="196.92630000000003"/>
  </r>
  <r>
    <s v="6417-1"/>
    <x v="649"/>
    <x v="3"/>
    <s v="Christopher Martinez"/>
    <s v="30 Wellington Street"/>
    <s v="Perth"/>
    <x v="2"/>
    <x v="3"/>
    <x v="8"/>
    <s v="Medium"/>
    <s v="Artisan Flip-Chart Easel Binder, Black"/>
    <s v="Office Supplies"/>
    <s v="Small Box"/>
    <s v="Regular Air"/>
    <d v="2016-09-28T00:00:00"/>
    <n v="13.88"/>
    <n v="22.38"/>
    <n v="8.4999999999999982"/>
    <n v="34"/>
    <n v="760.92"/>
    <n v="7.0000000000000007E-2"/>
    <n v="53.264400000000002"/>
    <n v="707.65559999999994"/>
    <n v="15.1"/>
    <n v="722.75559999999996"/>
  </r>
  <r>
    <s v="6417-2"/>
    <x v="649"/>
    <x v="3"/>
    <s v="Christopher Martinez"/>
    <s v="31 Wellington Street"/>
    <s v="Perth"/>
    <x v="2"/>
    <x v="3"/>
    <x v="8"/>
    <s v="Medium"/>
    <s v="TechSavi Cordless Access Keyboard"/>
    <s v="Technology"/>
    <s v="Small Box"/>
    <s v="Express Air"/>
    <d v="2016-09-27T00:00:00"/>
    <n v="14.7"/>
    <n v="29.99"/>
    <n v="15.29"/>
    <n v="36"/>
    <n v="1079.6399999999999"/>
    <n v="0.03"/>
    <n v="32.389199999999995"/>
    <n v="1047.2507999999998"/>
    <n v="5.5"/>
    <n v="1052.7507999999998"/>
  </r>
  <r>
    <s v="6418-1"/>
    <x v="649"/>
    <x v="3"/>
    <s v="Mike Kennedy"/>
    <s v="99 Lygon Street,East Brunswick"/>
    <s v="Melbourne"/>
    <x v="0"/>
    <x v="1"/>
    <x v="1"/>
    <s v="Low"/>
    <s v="Smiths Colored Bar Computer Paper"/>
    <s v="Office Supplies"/>
    <s v="Small Box"/>
    <s v="Regular Air"/>
    <d v="2016-10-05T00:00:00"/>
    <n v="21.97"/>
    <n v="35.44"/>
    <n v="13.469999999999999"/>
    <n v="44"/>
    <n v="1559.36"/>
    <n v="0.01"/>
    <n v="15.593599999999999"/>
    <n v="1543.7664"/>
    <n v="4.92"/>
    <n v="1548.6864"/>
  </r>
  <r>
    <s v="6422-1"/>
    <x v="650"/>
    <x v="3"/>
    <s v="Troy Staebel"/>
    <s v="1-2/299 Sussex St,Sydney"/>
    <s v="Sydney"/>
    <x v="1"/>
    <x v="3"/>
    <x v="9"/>
    <s v="High"/>
    <s v="Smiths Colored Interoffice Envelopes"/>
    <s v="Office Supplies"/>
    <s v="Small Box"/>
    <s v="Regular Air"/>
    <d v="2016-09-30T00:00:00"/>
    <n v="19.829999999999998"/>
    <n v="30.98"/>
    <n v="11.150000000000002"/>
    <n v="30"/>
    <n v="929.4"/>
    <n v="0.03"/>
    <n v="27.881999999999998"/>
    <n v="901.51800000000003"/>
    <n v="19.510000000000002"/>
    <n v="921.02800000000002"/>
  </r>
  <r>
    <s v="6423-1"/>
    <x v="651"/>
    <x v="3"/>
    <s v="Laura Armstrong"/>
    <s v="240-242 Johnston Street,Fitzroy"/>
    <s v="Melbourne"/>
    <x v="0"/>
    <x v="3"/>
    <x v="1"/>
    <s v="High"/>
    <s v="Alto Parchment Paper, Assorted Colors"/>
    <s v="Office Supplies"/>
    <s v="Small Box"/>
    <s v="Regular Air"/>
    <d v="2016-10-02T00:00:00"/>
    <n v="4.59"/>
    <n v="7.28"/>
    <n v="2.6900000000000004"/>
    <n v="50"/>
    <n v="364"/>
    <n v="0.01"/>
    <n v="3.64"/>
    <n v="360.36"/>
    <n v="11.15"/>
    <n v="371.51"/>
  </r>
  <r>
    <s v="6425-1"/>
    <x v="652"/>
    <x v="3"/>
    <s v="Phillip Flathmann"/>
    <s v="Macquarie Centre Cnr Herring Road &amp; Waterloo Road,Macquarie Park"/>
    <s v="Sydney"/>
    <x v="1"/>
    <x v="3"/>
    <x v="3"/>
    <s v="Medium"/>
    <s v="Smiths Colored Interoffice Envelopes"/>
    <s v="Office Supplies"/>
    <s v="Small Box"/>
    <s v="Regular Air"/>
    <d v="2016-10-02T00:00:00"/>
    <n v="19.829999999999998"/>
    <n v="30.98"/>
    <n v="11.150000000000002"/>
    <n v="37"/>
    <n v="1146.26"/>
    <n v="0.01"/>
    <n v="11.4626"/>
    <n v="1134.7973999999999"/>
    <n v="19.510000000000002"/>
    <n v="1154.3073999999999"/>
  </r>
  <r>
    <s v="6426-1"/>
    <x v="652"/>
    <x v="3"/>
    <s v="David Flashing"/>
    <s v="Westfield 1 Anderson St,Chatswood"/>
    <s v="Sydney"/>
    <x v="1"/>
    <x v="0"/>
    <x v="3"/>
    <s v="Medium"/>
    <s v="Steady Colorific Colored Pencils, 12/Box"/>
    <s v="Office Supplies"/>
    <s v="Wrap Bag"/>
    <s v="Regular Air"/>
    <d v="2016-10-02T00:00:00"/>
    <n v="1.3"/>
    <n v="2.88"/>
    <n v="1.5799999999999998"/>
    <n v="46"/>
    <n v="132.47999999999999"/>
    <n v="0.05"/>
    <n v="6.6239999999999997"/>
    <n v="125.85599999999999"/>
    <n v="1.01"/>
    <n v="126.866"/>
  </r>
  <r>
    <s v="6427-1"/>
    <x v="653"/>
    <x v="3"/>
    <s v="Katherine Ducich"/>
    <s v="61A Bay Road,Wollstonecraft"/>
    <s v="Sydney"/>
    <x v="1"/>
    <x v="1"/>
    <x v="6"/>
    <s v="High"/>
    <s v="Smiths Standard Envelopes"/>
    <s v="Office Supplies"/>
    <s v="Small Box"/>
    <s v="Regular Air"/>
    <d v="2016-10-08T00:00:00"/>
    <n v="3.52"/>
    <n v="5.68"/>
    <n v="2.1599999999999997"/>
    <n v="23"/>
    <n v="130.63999999999999"/>
    <n v="0.02"/>
    <n v="2.6127999999999996"/>
    <n v="128.02719999999999"/>
    <n v="1.39"/>
    <n v="129.41719999999998"/>
  </r>
  <r>
    <s v="6429-1"/>
    <x v="654"/>
    <x v="3"/>
    <s v="Sylvia Foulston"/>
    <s v="101 Murray Street"/>
    <s v="Perth"/>
    <x v="2"/>
    <x v="1"/>
    <x v="8"/>
    <s v="High"/>
    <s v="Brown Kraft Recycled Envelopes"/>
    <s v="Office Supplies"/>
    <s v="Small Box"/>
    <s v="Regular Air"/>
    <d v="2016-10-08T00:00:00"/>
    <n v="11.04"/>
    <n v="16.98"/>
    <n v="5.9400000000000013"/>
    <n v="43"/>
    <n v="730.14"/>
    <n v="0.09"/>
    <n v="65.712599999999995"/>
    <n v="664.42740000000003"/>
    <n v="12.39"/>
    <n v="676.81740000000002"/>
  </r>
  <r>
    <s v="6430-1"/>
    <x v="655"/>
    <x v="3"/>
    <s v="Tony Sayre"/>
    <s v="499-501 Lygon Street,Carlton North"/>
    <s v="Melbourne"/>
    <x v="0"/>
    <x v="3"/>
    <x v="0"/>
    <s v="Low"/>
    <s v="Smiths Bulldog Clip"/>
    <s v="Office Supplies"/>
    <s v="Wrap Bag"/>
    <s v="Regular Air"/>
    <d v="2016-10-15T00:00:00"/>
    <n v="2.31"/>
    <n v="3.78"/>
    <n v="1.4699999999999998"/>
    <n v="22"/>
    <n v="83.16"/>
    <n v="0.1"/>
    <n v="8.3160000000000007"/>
    <n v="74.843999999999994"/>
    <n v="0.71"/>
    <n v="75.553999999999988"/>
  </r>
  <r>
    <s v="6432-1"/>
    <x v="656"/>
    <x v="3"/>
    <s v="Thea Hendricks"/>
    <s v="412 Brunswick St,Fitzroy"/>
    <s v="Melbourne"/>
    <x v="0"/>
    <x v="0"/>
    <x v="1"/>
    <s v="Not Specified"/>
    <s v="TypeRight Side-Opening Peel &amp; Seel Expanding Envelopes"/>
    <s v="Office Supplies"/>
    <s v="Small Box"/>
    <s v="Regular Air"/>
    <d v="2016-10-14T00:00:00"/>
    <n v="54.29"/>
    <n v="90.48"/>
    <n v="36.190000000000005"/>
    <n v="25"/>
    <n v="2262"/>
    <n v="0.02"/>
    <n v="45.24"/>
    <n v="2216.7600000000002"/>
    <n v="19.989999999999998"/>
    <n v="2236.75"/>
  </r>
  <r>
    <s v="6433-1"/>
    <x v="657"/>
    <x v="3"/>
    <s v="Naresj Patel"/>
    <s v="106 Ebley Street,Bondi Junction"/>
    <s v="Sydney"/>
    <x v="1"/>
    <x v="1"/>
    <x v="2"/>
    <s v="Low"/>
    <s v="TypeRight  Top-Opening Peel &amp; Seel Envelopes, Plain White"/>
    <s v="Office Supplies"/>
    <s v="Small Box"/>
    <s v="Regular Air"/>
    <d v="2016-10-18T00:00:00"/>
    <n v="16.850000000000001"/>
    <n v="27.18"/>
    <n v="10.329999999999998"/>
    <n v="38"/>
    <n v="1032.8399999999999"/>
    <n v="0.01"/>
    <n v="10.3284"/>
    <n v="1022.5115999999999"/>
    <n v="8.23"/>
    <n v="1030.7415999999998"/>
  </r>
  <r>
    <s v="6434-1"/>
    <x v="658"/>
    <x v="3"/>
    <s v="Cynthia Arntzen"/>
    <s v="Hoyts Entertainment Quarter 122 Lang Road,Moore Park"/>
    <s v="Sydney"/>
    <x v="1"/>
    <x v="3"/>
    <x v="8"/>
    <s v="Medium"/>
    <s v="Beekin 105-Key Black Keyboard"/>
    <s v="Technology"/>
    <s v="Small Box"/>
    <s v="Regular Air"/>
    <d v="2016-10-17T00:00:00"/>
    <n v="6.39"/>
    <n v="19.98"/>
    <n v="13.59"/>
    <n v="9"/>
    <n v="179.82"/>
    <n v="0.06"/>
    <n v="10.789199999999999"/>
    <n v="169.0308"/>
    <n v="4"/>
    <n v="173.0308"/>
  </r>
  <r>
    <s v="6436-1"/>
    <x v="659"/>
    <x v="3"/>
    <s v="Barry Franz"/>
    <s v="65 Palmerston Street, Perth"/>
    <s v="Melbourne"/>
    <x v="0"/>
    <x v="1"/>
    <x v="0"/>
    <s v="Not Specified"/>
    <s v="3Max Polarizing Task Lamp with Clamp Arm, Light Gray"/>
    <s v="Furniture"/>
    <s v="Large Box"/>
    <s v="Regular Air"/>
    <d v="2016-10-15T00:00:00"/>
    <n v="56.16"/>
    <n v="136.97999999999999"/>
    <n v="80.819999999999993"/>
    <n v="27"/>
    <n v="3698.4599999999996"/>
    <n v="0.09"/>
    <n v="332.86139999999995"/>
    <n v="3365.5985999999998"/>
    <n v="24.49"/>
    <n v="3390.0885999999996"/>
  </r>
  <r>
    <s v="6437-1"/>
    <x v="659"/>
    <x v="3"/>
    <s v="Lisa DeCherney"/>
    <s v="324A King St,Newtown"/>
    <s v="Sydney"/>
    <x v="1"/>
    <x v="2"/>
    <x v="11"/>
    <s v="Low"/>
    <s v="Smiths Paper Clips"/>
    <s v="Office Supplies"/>
    <s v="Wrap Bag"/>
    <s v="Express Air"/>
    <d v="2016-10-15T00:00:00"/>
    <n v="1.53"/>
    <n v="2.4700000000000002"/>
    <n v="0.94000000000000017"/>
    <n v="45"/>
    <n v="111.15"/>
    <n v="7.0000000000000007E-2"/>
    <n v="7.7805000000000009"/>
    <n v="103.3695"/>
    <n v="1.02"/>
    <n v="104.3895"/>
  </r>
  <r>
    <s v="6437-2"/>
    <x v="659"/>
    <x v="3"/>
    <s v="Lisa DeCherney"/>
    <s v="324A King St,Newtown"/>
    <s v="Sydney"/>
    <x v="1"/>
    <x v="2"/>
    <x v="11"/>
    <s v="Low"/>
    <s v="Wirebound Message Book, 4 per Page"/>
    <s v="Office Supplies"/>
    <s v="Wrap Bag"/>
    <s v="Regular Air"/>
    <d v="2016-10-19T00:00:00"/>
    <n v="3.48"/>
    <n v="5.43"/>
    <n v="1.9499999999999997"/>
    <n v="11"/>
    <n v="59.73"/>
    <n v="0"/>
    <n v="0"/>
    <n v="59.73"/>
    <n v="0.95"/>
    <n v="60.68"/>
  </r>
  <r>
    <s v="6438-1"/>
    <x v="660"/>
    <x v="3"/>
    <s v="Odella Nelson"/>
    <s v="523 King St,Newtown"/>
    <s v="Sydney"/>
    <x v="1"/>
    <x v="3"/>
    <x v="9"/>
    <s v="Medium"/>
    <s v="12 Colored Short Pencils"/>
    <s v="Office Supplies"/>
    <s v="Wrap Bag"/>
    <s v="Regular Air"/>
    <d v="2016-10-18T00:00:00"/>
    <n v="1.0900000000000001"/>
    <n v="2.6"/>
    <n v="1.51"/>
    <n v="12"/>
    <n v="31.200000000000003"/>
    <n v="0.05"/>
    <n v="1.5600000000000003"/>
    <n v="29.640000000000004"/>
    <n v="2.4"/>
    <n v="32.040000000000006"/>
  </r>
  <r>
    <s v="6440-1"/>
    <x v="661"/>
    <x v="3"/>
    <s v="Doug Jacobs"/>
    <s v="1/160 Anzac Parade,Kensington"/>
    <s v="Sydney"/>
    <x v="1"/>
    <x v="0"/>
    <x v="5"/>
    <s v="Medium"/>
    <s v="3Max Polarizing Task Lamp with Clamp Arm, Light Gray"/>
    <s v="Furniture"/>
    <s v="Large Box"/>
    <s v="Regular Air"/>
    <d v="2016-10-21T00:00:00"/>
    <n v="56.16"/>
    <n v="136.97999999999999"/>
    <n v="80.819999999999993"/>
    <n v="21"/>
    <n v="2876.58"/>
    <n v="0.05"/>
    <n v="143.82900000000001"/>
    <n v="2732.7509999999997"/>
    <n v="24.49"/>
    <n v="2757.2409999999995"/>
  </r>
  <r>
    <s v="6442-1"/>
    <x v="662"/>
    <x v="3"/>
    <s v="Chuck Clark"/>
    <s v="101 Murray Street"/>
    <s v="Perth"/>
    <x v="2"/>
    <x v="1"/>
    <x v="8"/>
    <s v="Critical"/>
    <s v="Apex Straight Scissors"/>
    <s v="Office Supplies"/>
    <s v="Small Pack"/>
    <s v="Regular Air"/>
    <d v="2016-10-21T00:00:00"/>
    <n v="5.19"/>
    <n v="12.98"/>
    <n v="7.79"/>
    <n v="49"/>
    <n v="636.02"/>
    <n v="0.09"/>
    <n v="57.241799999999998"/>
    <n v="578.77819999999997"/>
    <n v="3.14"/>
    <n v="581.91819999999996"/>
  </r>
  <r>
    <s v="6443-1"/>
    <x v="663"/>
    <x v="3"/>
    <s v="Edward Nazzal"/>
    <s v="2a/285A Crown St,Surry Hills"/>
    <s v="Sydney"/>
    <x v="1"/>
    <x v="0"/>
    <x v="4"/>
    <s v="Not Specified"/>
    <s v="Artisan Poly Binder Pockets"/>
    <s v="Office Supplies"/>
    <s v="Small Box"/>
    <s v="Regular Air"/>
    <d v="2016-10-20T00:00:00"/>
    <n v="2.2599999999999998"/>
    <n v="3.58"/>
    <n v="1.3200000000000003"/>
    <n v="34"/>
    <n v="121.72"/>
    <n v="7.0000000000000007E-2"/>
    <n v="8.5204000000000004"/>
    <n v="113.1996"/>
    <n v="5.47"/>
    <n v="118.6696"/>
  </r>
  <r>
    <s v="6445-1"/>
    <x v="664"/>
    <x v="3"/>
    <s v="Todd Boyes"/>
    <s v="Westfield Miranda, 600 Kingsway,Miranda"/>
    <s v="Sydney"/>
    <x v="1"/>
    <x v="3"/>
    <x v="12"/>
    <s v="Not Specified"/>
    <s v="Artisan 479 Labels"/>
    <s v="Office Supplies"/>
    <s v="Small Box"/>
    <s v="Regular Air"/>
    <d v="2016-10-24T00:00:00"/>
    <n v="1.59"/>
    <n v="2.61"/>
    <n v="1.0199999999999998"/>
    <n v="44"/>
    <n v="114.83999999999999"/>
    <n v="7.0000000000000007E-2"/>
    <n v="8.0388000000000002"/>
    <n v="106.80119999999999"/>
    <n v="0.5"/>
    <n v="107.30119999999999"/>
  </r>
  <r>
    <s v="6447-1"/>
    <x v="665"/>
    <x v="3"/>
    <s v="Nicole Brennan"/>
    <s v="310 Wattle St,Ultimo"/>
    <s v="Sydney"/>
    <x v="1"/>
    <x v="2"/>
    <x v="9"/>
    <s v="Critical"/>
    <s v="1726 Digital Answering Machine"/>
    <s v="Technology"/>
    <s v="Medium Box"/>
    <s v="Regular Air"/>
    <d v="2016-10-25T00:00:00"/>
    <n v="8.82"/>
    <n v="20.99"/>
    <n v="12.169999999999998"/>
    <n v="17"/>
    <n v="356.83"/>
    <n v="0"/>
    <n v="0"/>
    <n v="356.83"/>
    <n v="4.8099999999999996"/>
    <n v="361.64"/>
  </r>
  <r>
    <s v="6449-1"/>
    <x v="665"/>
    <x v="3"/>
    <s v="Sean ODonnell"/>
    <s v="541 Church St ,Richmond"/>
    <s v="Melbourne"/>
    <x v="0"/>
    <x v="1"/>
    <x v="0"/>
    <s v="Low"/>
    <s v="3Max Polarizing Task Lamp with Clamp Arm, Light Gray"/>
    <s v="Furniture"/>
    <s v="Large Box"/>
    <s v="Regular Air"/>
    <d v="2016-10-30T00:00:00"/>
    <n v="56.16"/>
    <n v="136.97999999999999"/>
    <n v="80.819999999999993"/>
    <n v="3"/>
    <n v="410.93999999999994"/>
    <n v="0.1"/>
    <n v="41.093999999999994"/>
    <n v="369.84599999999995"/>
    <n v="24.49"/>
    <n v="394.33599999999996"/>
  </r>
  <r>
    <s v="6451-1"/>
    <x v="665"/>
    <x v="3"/>
    <s v="Patrick Bzostek"/>
    <s v="1/50-58 Hunter St,Sydney"/>
    <s v="Sydney"/>
    <x v="1"/>
    <x v="2"/>
    <x v="12"/>
    <s v="Medium"/>
    <s v="Artisan Durable Binders"/>
    <s v="Office Supplies"/>
    <s v="Small Box"/>
    <s v="Regular Air"/>
    <d v="2016-10-25T00:00:00"/>
    <n v="1.84"/>
    <n v="2.88"/>
    <n v="1.0399999999999998"/>
    <n v="32"/>
    <n v="92.16"/>
    <n v="0.01"/>
    <n v="0.92159999999999997"/>
    <n v="91.238399999999999"/>
    <n v="1.49"/>
    <n v="92.728399999999993"/>
  </r>
  <r>
    <s v="6453-1"/>
    <x v="666"/>
    <x v="3"/>
    <s v="Tanja Norvell"/>
    <s v="541 Church St,Richmond"/>
    <s v="Melbourne"/>
    <x v="0"/>
    <x v="1"/>
    <x v="0"/>
    <s v="Critical"/>
    <s v="Artisan 479 Labels"/>
    <s v="Office Supplies"/>
    <s v="Small Box"/>
    <s v="Express Air"/>
    <d v="2016-10-27T00:00:00"/>
    <n v="1.59"/>
    <n v="2.61"/>
    <n v="1.0199999999999998"/>
    <n v="25"/>
    <n v="65.25"/>
    <n v="0.04"/>
    <n v="2.61"/>
    <n v="62.64"/>
    <n v="0.5"/>
    <n v="63.14"/>
  </r>
  <r>
    <s v="6455-1"/>
    <x v="666"/>
    <x v="3"/>
    <s v="Caroline Jumper"/>
    <s v="145 Ramsay St,Haberfield"/>
    <s v="Sydney"/>
    <x v="1"/>
    <x v="1"/>
    <x v="4"/>
    <s v="High"/>
    <s v="Steady EarthWrite Recycled Pencils, Medium Soft, #2"/>
    <s v="Office Supplies"/>
    <s v="Wrap Bag"/>
    <s v="Regular Air"/>
    <d v="2016-10-27T00:00:00"/>
    <n v="0.9"/>
    <n v="2.1"/>
    <n v="1.2000000000000002"/>
    <n v="33"/>
    <n v="69.3"/>
    <n v="0.05"/>
    <n v="3.4649999999999999"/>
    <n v="65.834999999999994"/>
    <n v="0.7"/>
    <n v="66.534999999999997"/>
  </r>
  <r>
    <s v="6457-1"/>
    <x v="667"/>
    <x v="3"/>
    <s v="Patrick Jones"/>
    <s v="221 Barkly St,St Kilda"/>
    <s v="Melbourne"/>
    <x v="0"/>
    <x v="0"/>
    <x v="0"/>
    <s v="Medium"/>
    <s v="UGen Ultra Cordless Optical Suite"/>
    <s v="Technology"/>
    <s v="Small Box"/>
    <s v="Regular Air"/>
    <d v="2016-10-28T00:00:00"/>
    <n v="54.52"/>
    <n v="100.97"/>
    <n v="46.449999999999996"/>
    <n v="29"/>
    <n v="2928.13"/>
    <n v="0.05"/>
    <n v="146.40650000000002"/>
    <n v="2781.7235000000001"/>
    <n v="7.18"/>
    <n v="2788.9034999999999"/>
  </r>
  <r>
    <s v="6457-2"/>
    <x v="667"/>
    <x v="3"/>
    <s v="Patrick Jones"/>
    <s v="221 Barkly St,St Kilda"/>
    <s v="Melbourne"/>
    <x v="0"/>
    <x v="0"/>
    <x v="0"/>
    <s v="Medium"/>
    <s v="Unpadded Memo Slips"/>
    <s v="Office Supplies"/>
    <s v="Wrap Bag"/>
    <s v="Regular Air"/>
    <d v="2016-10-27T00:00:00"/>
    <n v="2.59"/>
    <n v="3.98"/>
    <n v="1.3900000000000001"/>
    <n v="4"/>
    <n v="15.92"/>
    <n v="0.09"/>
    <n v="1.4327999999999999"/>
    <n v="14.4872"/>
    <n v="2.97"/>
    <n v="17.4572"/>
  </r>
  <r>
    <s v="6460-1"/>
    <x v="668"/>
    <x v="3"/>
    <s v="Joni Sundaresam"/>
    <s v="8 Rankins Lane ,Melbourne"/>
    <s v="Melbourne"/>
    <x v="0"/>
    <x v="0"/>
    <x v="1"/>
    <s v="Low"/>
    <s v="Beekin 6 Outlet Metallic Surge Strip"/>
    <s v="Office Supplies"/>
    <s v="Small Box"/>
    <s v="Express Air"/>
    <d v="2016-11-06T00:00:00"/>
    <n v="4.46"/>
    <n v="10.89"/>
    <n v="6.4300000000000006"/>
    <n v="30"/>
    <n v="326.70000000000005"/>
    <n v="0.08"/>
    <n v="26.136000000000003"/>
    <n v="300.56400000000002"/>
    <n v="4.5"/>
    <n v="305.06400000000002"/>
  </r>
  <r>
    <s v="6461-1"/>
    <x v="668"/>
    <x v="3"/>
    <s v="Logan Haushalter"/>
    <s v="222 Barkly St,St Kilda"/>
    <s v="Melbourne"/>
    <x v="0"/>
    <x v="1"/>
    <x v="0"/>
    <s v="Critical"/>
    <s v="Self-Adhesive Removable Labels"/>
    <s v="Office Supplies"/>
    <s v="Small Box"/>
    <s v="Regular Air"/>
    <d v="2016-10-30T00:00:00"/>
    <n v="1.98"/>
    <n v="3.15"/>
    <n v="1.17"/>
    <n v="24"/>
    <n v="75.599999999999994"/>
    <n v="0.02"/>
    <n v="1.512"/>
    <n v="74.087999999999994"/>
    <n v="0.49"/>
    <n v="74.577999999999989"/>
  </r>
  <r>
    <s v="6463-1"/>
    <x v="669"/>
    <x v="3"/>
    <s v="Pierre Wener"/>
    <s v="531 King St,Newtown"/>
    <s v="Sydney"/>
    <x v="1"/>
    <x v="0"/>
    <x v="11"/>
    <s v="Critical"/>
    <s v="Beekin 105-Key Black Keyboard"/>
    <s v="Technology"/>
    <s v="Small Box"/>
    <s v="Regular Air"/>
    <d v="2016-10-30T00:00:00"/>
    <n v="6.39"/>
    <n v="19.98"/>
    <n v="13.59"/>
    <n v="9"/>
    <n v="179.82"/>
    <n v="0.09"/>
    <n v="16.183799999999998"/>
    <n v="163.6362"/>
    <n v="4"/>
    <n v="167.6362"/>
  </r>
  <r>
    <s v="6465-1"/>
    <x v="670"/>
    <x v="3"/>
    <s v="Rick Wilson"/>
    <s v="81 MacLeay St,Potts Point"/>
    <s v="Sydney"/>
    <x v="1"/>
    <x v="1"/>
    <x v="6"/>
    <s v="Medium"/>
    <s v="210 Trimline Phone, White"/>
    <s v="Technology"/>
    <s v="Medium Box"/>
    <s v="Regular Air"/>
    <d v="2016-10-31T00:00:00"/>
    <n v="9.91"/>
    <n v="15.99"/>
    <n v="6.08"/>
    <n v="33"/>
    <n v="527.66999999999996"/>
    <n v="0.01"/>
    <n v="5.2766999999999999"/>
    <n v="522.39329999999995"/>
    <n v="11.28"/>
    <n v="533.67329999999993"/>
  </r>
  <r>
    <s v="6467-1"/>
    <x v="670"/>
    <x v="3"/>
    <s v="Roy Phan"/>
    <s v="506 Swan Street,Richmond"/>
    <s v="Melbourne"/>
    <x v="0"/>
    <x v="1"/>
    <x v="1"/>
    <s v="Medium"/>
    <s v="Artisan Hanging File Binders"/>
    <s v="Office Supplies"/>
    <s v="Small Box"/>
    <s v="Regular Air"/>
    <d v="2016-11-01T00:00:00"/>
    <n v="3.65"/>
    <n v="5.98"/>
    <n v="2.3300000000000005"/>
    <n v="23"/>
    <n v="137.54000000000002"/>
    <n v="0.01"/>
    <n v="1.3754000000000002"/>
    <n v="136.16460000000001"/>
    <n v="1.49"/>
    <n v="137.65460000000002"/>
  </r>
  <r>
    <s v="6469-1"/>
    <x v="670"/>
    <x v="3"/>
    <s v="George Zrebassa"/>
    <s v="81 MacLeay St,Potts Point"/>
    <s v="Sydney"/>
    <x v="1"/>
    <x v="0"/>
    <x v="6"/>
    <s v="Not Specified"/>
    <s v="Binder Posts"/>
    <s v="Office Supplies"/>
    <s v="Small Box"/>
    <s v="Regular Air"/>
    <d v="2016-11-03T00:00:00"/>
    <n v="3.5"/>
    <n v="5.74"/>
    <n v="2.2400000000000002"/>
    <n v="48"/>
    <n v="275.52"/>
    <n v="0.05"/>
    <n v="13.776"/>
    <n v="261.74399999999997"/>
    <n v="5.01"/>
    <n v="266.75399999999996"/>
  </r>
  <r>
    <s v="6471-1"/>
    <x v="671"/>
    <x v="3"/>
    <s v="Liz Carlisle"/>
    <s v="797 Botany Rd,Rosebery"/>
    <s v="Sydney"/>
    <x v="1"/>
    <x v="1"/>
    <x v="4"/>
    <s v="Critical"/>
    <s v="Adesso Programmable 142-Key Keyboard"/>
    <s v="Technology"/>
    <s v="Small Box"/>
    <s v="Regular Air"/>
    <d v="2016-11-03T00:00:00"/>
    <n v="39.64"/>
    <n v="152.47999999999999"/>
    <n v="112.83999999999999"/>
    <n v="44"/>
    <n v="6709.12"/>
    <n v="0.03"/>
    <n v="201.27359999999999"/>
    <n v="6507.8464000000004"/>
    <n v="6.5"/>
    <n v="6514.3464000000004"/>
  </r>
  <r>
    <s v="6472-1"/>
    <x v="671"/>
    <x v="3"/>
    <s v="Cassandra Brandow"/>
    <s v="106 Ebley Street,Bondi Junction"/>
    <s v="Sydney"/>
    <x v="1"/>
    <x v="0"/>
    <x v="2"/>
    <s v="Not Specified"/>
    <s v="Apex Preferred Stainless Steel Scissors"/>
    <s v="Office Supplies"/>
    <s v="Small Pack"/>
    <s v="Regular Air"/>
    <d v="2016-11-03T00:00:00"/>
    <n v="2.5"/>
    <n v="5.68"/>
    <n v="3.1799999999999997"/>
    <n v="34"/>
    <n v="193.12"/>
    <n v="0"/>
    <n v="0"/>
    <n v="193.12"/>
    <n v="3.6"/>
    <n v="196.72"/>
  </r>
  <r>
    <s v="6473-1"/>
    <x v="671"/>
    <x v="3"/>
    <s v="Valerie Mitchum"/>
    <s v="8/2 Edward Street"/>
    <s v="Perth"/>
    <x v="2"/>
    <x v="0"/>
    <x v="5"/>
    <s v="Not Specified"/>
    <s v="Steady 52201 APSCO Electric Pencil Sharpener"/>
    <s v="Office Supplies"/>
    <s v="Small Pack"/>
    <s v="Regular Air"/>
    <d v="2016-11-04T00:00:00"/>
    <n v="16.8"/>
    <n v="40.97"/>
    <n v="24.169999999999998"/>
    <n v="26"/>
    <n v="1065.22"/>
    <n v="0.06"/>
    <n v="63.913199999999996"/>
    <n v="1001.3068000000001"/>
    <n v="8.99"/>
    <n v="1010.2968000000001"/>
  </r>
  <r>
    <s v="6475-1"/>
    <x v="671"/>
    <x v="3"/>
    <s v="Roland Murray"/>
    <s v="Westfield 1 Anderson St,Chatswood"/>
    <s v="Sydney"/>
    <x v="1"/>
    <x v="0"/>
    <x v="3"/>
    <s v="Low"/>
    <s v="Steady Colorific Colored Pencils, 12/Box"/>
    <s v="Office Supplies"/>
    <s v="Wrap Bag"/>
    <s v="Regular Air"/>
    <d v="2016-11-06T00:00:00"/>
    <n v="1.3"/>
    <n v="2.88"/>
    <n v="1.5799999999999998"/>
    <n v="41"/>
    <n v="118.08"/>
    <n v="0.1"/>
    <n v="11.808"/>
    <n v="106.27199999999999"/>
    <n v="1.01"/>
    <n v="107.282"/>
  </r>
  <r>
    <s v="6477-1"/>
    <x v="672"/>
    <x v="3"/>
    <s v="Sheri Gordon"/>
    <s v="152 Bunnerong Road,Eastgardens"/>
    <s v="Sydney"/>
    <x v="1"/>
    <x v="1"/>
    <x v="8"/>
    <s v="Not Specified"/>
    <s v="Artisan 48 Labels"/>
    <s v="Office Supplies"/>
    <s v="Small Box"/>
    <s v="Regular Air"/>
    <d v="2016-11-04T00:00:00"/>
    <n v="3.84"/>
    <n v="6.3"/>
    <n v="2.46"/>
    <n v="35"/>
    <n v="220.5"/>
    <n v="0.03"/>
    <n v="6.6149999999999993"/>
    <n v="213.88499999999999"/>
    <n v="0.5"/>
    <n v="214.38499999999999"/>
  </r>
  <r>
    <s v="6479-1"/>
    <x v="673"/>
    <x v="3"/>
    <s v="Bill Shonely"/>
    <s v="18 Robinson Avenue, Perth"/>
    <s v="Sydney"/>
    <x v="1"/>
    <x v="3"/>
    <x v="5"/>
    <s v="Low"/>
    <s v="Binder Posts"/>
    <s v="Office Supplies"/>
    <s v="Small Box"/>
    <s v="Regular Air"/>
    <d v="2016-11-12T00:00:00"/>
    <n v="3.5"/>
    <n v="5.74"/>
    <n v="2.2400000000000002"/>
    <n v="5"/>
    <n v="28.700000000000003"/>
    <n v="7.0000000000000007E-2"/>
    <n v="2.0090000000000003"/>
    <n v="26.691000000000003"/>
    <n v="5.01"/>
    <n v="31.701000000000001"/>
  </r>
  <r>
    <s v="6480-1"/>
    <x v="674"/>
    <x v="3"/>
    <s v="Ken Black"/>
    <s v="Westfield Sydney,Sydney"/>
    <s v="Sydney"/>
    <x v="1"/>
    <x v="2"/>
    <x v="5"/>
    <s v="Low"/>
    <s v="Alto Perma 2700 Stacking Storage Drawers"/>
    <s v="Office Supplies"/>
    <s v="Small Box"/>
    <s v="Regular Air"/>
    <d v="2016-11-13T00:00:00"/>
    <n v="8.92"/>
    <n v="29.74"/>
    <n v="20.82"/>
    <n v="31"/>
    <n v="921.93999999999994"/>
    <n v="0"/>
    <n v="0"/>
    <n v="921.93999999999994"/>
    <n v="6.64"/>
    <n v="928.57999999999993"/>
  </r>
  <r>
    <s v="6482-1"/>
    <x v="674"/>
    <x v="3"/>
    <s v="Carol Triggs"/>
    <s v="15 Aberdeen Street"/>
    <s v="Perth"/>
    <x v="2"/>
    <x v="0"/>
    <x v="13"/>
    <s v="Low"/>
    <s v="Creator Anti Dust Chalk, 12/Pack"/>
    <s v="Office Supplies"/>
    <s v="Wrap Bag"/>
    <s v="Regular Air"/>
    <d v="2016-11-10T00:00:00"/>
    <n v="1.0900000000000001"/>
    <n v="1.82"/>
    <n v="0.73"/>
    <n v="40"/>
    <n v="72.8"/>
    <n v="0.05"/>
    <n v="3.64"/>
    <n v="69.16"/>
    <n v="1"/>
    <n v="70.16"/>
  </r>
  <r>
    <s v="6483-1"/>
    <x v="674"/>
    <x v="3"/>
    <s v="Stephanie Ulpright"/>
    <s v="541 Church St ,Richmond"/>
    <s v="Melbourne"/>
    <x v="0"/>
    <x v="2"/>
    <x v="0"/>
    <s v="Not Specified"/>
    <s v="Steady EarthWrite Recycled Pencils, Medium Soft, #2"/>
    <s v="Office Supplies"/>
    <s v="Wrap Bag"/>
    <s v="Regular Air"/>
    <d v="2016-11-08T00:00:00"/>
    <n v="0.9"/>
    <n v="2.1"/>
    <n v="1.2000000000000002"/>
    <n v="27"/>
    <n v="56.7"/>
    <n v="0.04"/>
    <n v="2.2680000000000002"/>
    <n v="54.432000000000002"/>
    <n v="0.7"/>
    <n v="55.132000000000005"/>
  </r>
  <r>
    <s v="6484-1"/>
    <x v="675"/>
    <x v="3"/>
    <s v="Luke Foster"/>
    <s v="2-4 College Street, Darlinghurst"/>
    <s v="Sydney"/>
    <x v="1"/>
    <x v="1"/>
    <x v="3"/>
    <s v="High"/>
    <s v="Office Shears by Apex"/>
    <s v="Office Supplies"/>
    <s v="Small Pack"/>
    <s v="Regular Air"/>
    <d v="2016-11-11T00:00:00"/>
    <n v="0.94"/>
    <n v="2.08"/>
    <n v="1.1400000000000001"/>
    <n v="39"/>
    <n v="81.12"/>
    <n v="0.04"/>
    <n v="3.2448000000000001"/>
    <n v="77.875200000000007"/>
    <n v="2.56"/>
    <n v="80.435200000000009"/>
  </r>
  <r>
    <s v="6485-1"/>
    <x v="676"/>
    <x v="3"/>
    <s v="Cyra Reiten"/>
    <s v="Westfield 1 Anderson St,Chatswood"/>
    <s v="Sydney"/>
    <x v="1"/>
    <x v="2"/>
    <x v="3"/>
    <s v="Not Specified"/>
    <s v="Laser DVD-RAM discs"/>
    <s v="Technology"/>
    <s v="Small Pack"/>
    <s v="Regular Air"/>
    <d v="2016-11-12T00:00:00"/>
    <n v="20.18"/>
    <n v="35.409999999999997"/>
    <n v="15.229999999999997"/>
    <n v="21"/>
    <n v="743.6099999999999"/>
    <n v="0.09"/>
    <n v="66.924899999999994"/>
    <n v="676.68509999999992"/>
    <n v="1.99"/>
    <n v="678.67509999999993"/>
  </r>
  <r>
    <s v="6487-1"/>
    <x v="677"/>
    <x v="3"/>
    <s v="Dan Campbell"/>
    <s v="1/173-179 Bronte Rd,Waverley"/>
    <s v="Sydney"/>
    <x v="1"/>
    <x v="3"/>
    <x v="2"/>
    <s v="Not Specified"/>
    <s v="Smiths Colored Interoffice Envelopes"/>
    <s v="Office Supplies"/>
    <s v="Small Box"/>
    <s v="Regular Air"/>
    <d v="2016-11-12T00:00:00"/>
    <n v="19.829999999999998"/>
    <n v="30.98"/>
    <n v="11.150000000000002"/>
    <n v="15"/>
    <n v="464.7"/>
    <n v="0"/>
    <n v="0"/>
    <n v="464.7"/>
    <n v="19.510000000000002"/>
    <n v="484.21"/>
  </r>
  <r>
    <s v="6489-1"/>
    <x v="678"/>
    <x v="3"/>
    <s v="Ryan Crowe"/>
    <s v="324A King St,Newtown"/>
    <s v="Sydney"/>
    <x v="1"/>
    <x v="3"/>
    <x v="11"/>
    <s v="Low"/>
    <s v="Self-Adhesive Removable Labels"/>
    <s v="Office Supplies"/>
    <s v="Small Box"/>
    <s v="Regular Air"/>
    <d v="2016-11-15T00:00:00"/>
    <n v="1.98"/>
    <n v="3.15"/>
    <n v="1.17"/>
    <n v="41"/>
    <n v="129.15"/>
    <n v="0.06"/>
    <n v="7.7489999999999997"/>
    <n v="121.40100000000001"/>
    <n v="0.49"/>
    <n v="121.89100000000001"/>
  </r>
  <r>
    <s v="6491-1"/>
    <x v="679"/>
    <x v="3"/>
    <s v="Alan Barnes"/>
    <s v="99 Glebe Point Rd,Glebe"/>
    <s v="Sydney"/>
    <x v="1"/>
    <x v="1"/>
    <x v="5"/>
    <s v="Medium"/>
    <s v="12 Colored Short Pencils"/>
    <s v="Office Supplies"/>
    <s v="Wrap Bag"/>
    <s v="Regular Air"/>
    <d v="2016-11-15T00:00:00"/>
    <n v="1.0900000000000001"/>
    <n v="2.6"/>
    <n v="1.51"/>
    <n v="11"/>
    <n v="28.6"/>
    <n v="0.09"/>
    <n v="2.5739999999999998"/>
    <n v="26.026000000000003"/>
    <n v="2.4"/>
    <n v="28.426000000000002"/>
  </r>
  <r>
    <s v="6493-1"/>
    <x v="680"/>
    <x v="3"/>
    <s v="Jonathan Doherty"/>
    <s v="53-55 Liverpool St,Sydney"/>
    <s v="Sydney"/>
    <x v="1"/>
    <x v="1"/>
    <x v="8"/>
    <s v="High"/>
    <s v="OIC Colored Binder Clips, Assorted Sizes"/>
    <s v="Office Supplies"/>
    <s v="Wrap Bag"/>
    <s v="Regular Air"/>
    <d v="2016-11-16T00:00:00"/>
    <n v="2.29"/>
    <n v="3.58"/>
    <n v="1.29"/>
    <n v="32"/>
    <n v="114.56"/>
    <n v="0.09"/>
    <n v="10.3104"/>
    <n v="104.2496"/>
    <n v="1.63"/>
    <n v="105.8796"/>
  </r>
  <r>
    <s v="6495-1"/>
    <x v="681"/>
    <x v="3"/>
    <s v="Michael Paige"/>
    <s v="506 Swan Street,Richmond"/>
    <s v="Melbourne"/>
    <x v="0"/>
    <x v="3"/>
    <x v="1"/>
    <s v="High"/>
    <s v="Artisan Legal 4-Ring Binder"/>
    <s v="Office Supplies"/>
    <s v="Small Box"/>
    <s v="Regular Air"/>
    <d v="2016-11-19T00:00:00"/>
    <n v="13.64"/>
    <n v="20.98"/>
    <n v="7.34"/>
    <n v="42"/>
    <n v="881.16"/>
    <n v="0.1"/>
    <n v="88.116"/>
    <n v="793.04399999999998"/>
    <n v="1.49"/>
    <n v="794.53399999999999"/>
  </r>
  <r>
    <s v="6496-1"/>
    <x v="681"/>
    <x v="3"/>
    <s v="Saphhira Shifley"/>
    <s v="Westfield Miranda, 600 Kingsway,Miranda"/>
    <s v="Sydney"/>
    <x v="1"/>
    <x v="1"/>
    <x v="12"/>
    <s v="Medium"/>
    <s v="Brown Kraft Recycled Envelopes"/>
    <s v="Office Supplies"/>
    <s v="Small Box"/>
    <s v="Regular Air"/>
    <d v="2016-11-19T00:00:00"/>
    <n v="11.04"/>
    <n v="16.98"/>
    <n v="5.9400000000000013"/>
    <n v="46"/>
    <n v="781.08"/>
    <n v="0.09"/>
    <n v="70.297200000000004"/>
    <n v="710.78280000000007"/>
    <n v="12.39"/>
    <n v="723.17280000000005"/>
  </r>
  <r>
    <s v="6497-1"/>
    <x v="682"/>
    <x v="3"/>
    <s v="Tony Sayre"/>
    <s v="499-501 Lygon Street,Carlton North"/>
    <s v="Melbourne"/>
    <x v="0"/>
    <x v="0"/>
    <x v="0"/>
    <s v="Critical"/>
    <s v="Artisan Hi-Liter Comfort Grip Fluorescent Highlighter, Yellow Ink"/>
    <s v="Office Supplies"/>
    <s v="Wrap Bag"/>
    <s v="Regular Air"/>
    <d v="2016-11-21T00:00:00"/>
    <n v="1.05"/>
    <n v="1.95"/>
    <n v="0.89999999999999991"/>
    <n v="20"/>
    <n v="39"/>
    <n v="0.06"/>
    <n v="2.34"/>
    <n v="36.659999999999997"/>
    <n v="1.63"/>
    <n v="38.29"/>
  </r>
  <r>
    <s v="6498-1"/>
    <x v="683"/>
    <x v="3"/>
    <s v="Becky Pak"/>
    <s v="22 St Georges Terrace, Perth"/>
    <s v="Sydney"/>
    <x v="1"/>
    <x v="1"/>
    <x v="9"/>
    <s v="Low"/>
    <s v="Smiths Standard Envelopes"/>
    <s v="Office Supplies"/>
    <s v="Small Box"/>
    <s v="Regular Air"/>
    <d v="2016-11-27T00:00:00"/>
    <n v="3.52"/>
    <n v="5.68"/>
    <n v="2.1599999999999997"/>
    <n v="10"/>
    <n v="56.8"/>
    <n v="0.09"/>
    <n v="5.1119999999999992"/>
    <n v="51.687999999999995"/>
    <n v="1.39"/>
    <n v="53.077999999999996"/>
  </r>
  <r>
    <s v="6499-1"/>
    <x v="684"/>
    <x v="3"/>
    <s v="Matt Connell"/>
    <s v="470 Anzac Parade,Kingsford"/>
    <s v="Sydney"/>
    <x v="1"/>
    <x v="1"/>
    <x v="8"/>
    <s v="Critical"/>
    <s v="Steady Major Accent Highlighters"/>
    <s v="Office Supplies"/>
    <s v="Wrap Bag"/>
    <s v="Regular Air"/>
    <d v="2016-11-25T00:00:00"/>
    <n v="3.75"/>
    <n v="7.08"/>
    <n v="3.33"/>
    <n v="29"/>
    <n v="205.32"/>
    <n v="7.0000000000000007E-2"/>
    <n v="14.372400000000001"/>
    <n v="190.94759999999999"/>
    <n v="2.35"/>
    <n v="193.29759999999999"/>
  </r>
  <r>
    <s v="6500-1"/>
    <x v="685"/>
    <x v="3"/>
    <s v="Jack OBriant"/>
    <s v="85-113 Dunning Ave,Rosebery"/>
    <s v="Sydney"/>
    <x v="1"/>
    <x v="3"/>
    <x v="11"/>
    <s v="Medium"/>
    <s v="3Max Organizer Strips"/>
    <s v="Office Supplies"/>
    <s v="Small Box"/>
    <s v="Regular Air"/>
    <d v="2016-11-28T00:00:00"/>
    <n v="3.4"/>
    <n v="5.4"/>
    <n v="2.0000000000000004"/>
    <n v="1"/>
    <n v="5.4"/>
    <n v="0"/>
    <n v="0"/>
    <n v="5.4"/>
    <n v="7.78"/>
    <n v="13.18"/>
  </r>
  <r>
    <s v="6502-1"/>
    <x v="685"/>
    <x v="3"/>
    <s v="Laurel Elliston"/>
    <s v="1 John St,Waterloo"/>
    <s v="Sydney"/>
    <x v="1"/>
    <x v="0"/>
    <x v="10"/>
    <s v="Medium"/>
    <s v="Artisan 474 Labels"/>
    <s v="Office Supplies"/>
    <s v="Small Box"/>
    <s v="Regular Air"/>
    <d v="2016-11-28T00:00:00"/>
    <n v="1.84"/>
    <n v="2.88"/>
    <n v="1.0399999999999998"/>
    <n v="6"/>
    <n v="17.28"/>
    <n v="0.06"/>
    <n v="1.0367999999999999"/>
    <n v="16.243200000000002"/>
    <n v="0.99"/>
    <n v="17.2332"/>
  </r>
  <r>
    <s v="6503-1"/>
    <x v="685"/>
    <x v="3"/>
    <s v="Erin Ashbrook"/>
    <s v="61 York St,Sydney"/>
    <s v="Sydney"/>
    <x v="1"/>
    <x v="2"/>
    <x v="2"/>
    <s v="Low"/>
    <s v="Assorted Color Push Pins"/>
    <s v="Office Supplies"/>
    <s v="Wrap Bag"/>
    <s v="Regular Air"/>
    <d v="2016-11-30T00:00:00"/>
    <n v="0.87"/>
    <n v="1.81"/>
    <n v="0.94000000000000006"/>
    <n v="18"/>
    <n v="32.58"/>
    <n v="0.06"/>
    <n v="1.9547999999999999"/>
    <n v="30.6252"/>
    <n v="0.75"/>
    <n v="31.3752"/>
  </r>
  <r>
    <s v="6504-1"/>
    <x v="686"/>
    <x v="3"/>
    <s v="Pauline Chand"/>
    <s v="501 George St,Sydney"/>
    <s v="Sydney"/>
    <x v="1"/>
    <x v="1"/>
    <x v="6"/>
    <s v="Not Specified"/>
    <s v="300 Series Non-Flip"/>
    <s v="Technology"/>
    <s v="Small Box"/>
    <s v="Regular Air"/>
    <d v="2016-11-29T00:00:00"/>
    <n v="62.4"/>
    <n v="155.99"/>
    <n v="93.59"/>
    <n v="24"/>
    <n v="3743.76"/>
    <n v="0.04"/>
    <n v="149.75040000000001"/>
    <n v="3594.0096000000003"/>
    <n v="8.08"/>
    <n v="3602.0896000000002"/>
  </r>
  <r>
    <s v="6505-1"/>
    <x v="686"/>
    <x v="3"/>
    <s v="John Murray"/>
    <s v="Sydney Fish Market, Bank Street, Sydney"/>
    <s v="Sydney"/>
    <x v="1"/>
    <x v="3"/>
    <x v="4"/>
    <s v="Low"/>
    <s v="Cando PC940 Copier"/>
    <s v="Technology"/>
    <s v="Jumbo Drum"/>
    <s v="Delivery Truck"/>
    <d v="2016-11-27T00:00:00"/>
    <n v="278.99"/>
    <n v="449.99"/>
    <n v="171"/>
    <n v="18"/>
    <n v="8099.82"/>
    <n v="0.09"/>
    <n v="728.98379999999997"/>
    <n v="7370.8361999999997"/>
    <n v="49"/>
    <n v="7419.8361999999997"/>
  </r>
  <r>
    <s v="6506-1"/>
    <x v="687"/>
    <x v="3"/>
    <s v="Matthew Grinstein"/>
    <s v="105 Pitt St,Sydney"/>
    <s v="Sydney"/>
    <x v="1"/>
    <x v="3"/>
    <x v="10"/>
    <s v="Critical"/>
    <s v="Artisan 481 Labels"/>
    <s v="Office Supplies"/>
    <s v="Small Box"/>
    <s v="Regular Air"/>
    <d v="2016-11-29T00:00:00"/>
    <n v="1.94"/>
    <n v="3.08"/>
    <n v="1.1400000000000001"/>
    <n v="18"/>
    <n v="55.44"/>
    <n v="0.02"/>
    <n v="1.1088"/>
    <n v="54.331199999999995"/>
    <n v="0.99"/>
    <n v="55.321199999999997"/>
  </r>
  <r>
    <s v="6507-1"/>
    <x v="687"/>
    <x v="3"/>
    <s v="Jeremy Pistek"/>
    <s v="85-113 Dunning Ave,Roseberry"/>
    <s v="Sydney"/>
    <x v="1"/>
    <x v="1"/>
    <x v="11"/>
    <s v="Critical"/>
    <s v="Unpadded Memo Slips"/>
    <s v="Office Supplies"/>
    <s v="Wrap Bag"/>
    <s v="Regular Air"/>
    <d v="2016-12-01T00:00:00"/>
    <n v="2.59"/>
    <n v="3.98"/>
    <n v="1.3900000000000001"/>
    <n v="11"/>
    <n v="43.78"/>
    <n v="7.0000000000000007E-2"/>
    <n v="3.0646000000000004"/>
    <n v="40.715400000000002"/>
    <n v="2.97"/>
    <n v="43.685400000000001"/>
  </r>
  <r>
    <s v="6508-1"/>
    <x v="688"/>
    <x v="3"/>
    <s v="Grant Carroll"/>
    <s v="10 O'Connell St,Sydney"/>
    <s v="Sydney"/>
    <x v="1"/>
    <x v="3"/>
    <x v="9"/>
    <s v="Not Specified"/>
    <s v="Col-Erase Pencils with Erasers"/>
    <s v="Office Supplies"/>
    <s v="Wrap Bag"/>
    <s v="Regular Air"/>
    <d v="2016-11-30T00:00:00"/>
    <n v="2.68"/>
    <n v="6.08"/>
    <n v="3.4"/>
    <n v="49"/>
    <n v="297.92"/>
    <n v="0.08"/>
    <n v="23.833600000000001"/>
    <n v="274.08640000000003"/>
    <n v="1.17"/>
    <n v="275.25640000000004"/>
  </r>
  <r>
    <s v="6509-1"/>
    <x v="689"/>
    <x v="3"/>
    <s v="Steve Nguyen"/>
    <s v="61 York St,Sydney"/>
    <s v="Sydney"/>
    <x v="1"/>
    <x v="2"/>
    <x v="2"/>
    <s v="High"/>
    <s v="UGen Ultra Cordless Optical Suite"/>
    <s v="Technology"/>
    <s v="Small Box"/>
    <s v="Regular Air"/>
    <d v="2016-12-02T00:00:00"/>
    <n v="54.52"/>
    <n v="100.97"/>
    <n v="46.449999999999996"/>
    <n v="42"/>
    <n v="4240.74"/>
    <n v="0.1"/>
    <n v="424.07400000000001"/>
    <n v="3816.6659999999997"/>
    <n v="7.18"/>
    <n v="3823.8459999999995"/>
  </r>
  <r>
    <s v="6510-1"/>
    <x v="690"/>
    <x v="3"/>
    <s v="Anthony Rawles"/>
    <s v="10 Lake Street, Perth"/>
    <s v="Perth"/>
    <x v="2"/>
    <x v="3"/>
    <x v="11"/>
    <s v="Medium"/>
    <s v="Artisan Durable Binders"/>
    <s v="Office Supplies"/>
    <s v="Small Box"/>
    <s v="Regular Air"/>
    <d v="2016-12-05T00:00:00"/>
    <n v="1.84"/>
    <n v="2.88"/>
    <n v="1.0399999999999998"/>
    <n v="40"/>
    <n v="115.19999999999999"/>
    <n v="0"/>
    <n v="0"/>
    <n v="115.19999999999999"/>
    <n v="1.49"/>
    <n v="116.68999999999998"/>
  </r>
  <r>
    <s v="6511-1"/>
    <x v="691"/>
    <x v="3"/>
    <s v="Jennifer Jackson"/>
    <s v="Crown Complex,Southbank"/>
    <s v="Melbourne"/>
    <x v="0"/>
    <x v="0"/>
    <x v="1"/>
    <s v="High"/>
    <s v="Beekin 105-Key Black Keyboard"/>
    <s v="Technology"/>
    <s v="Small Box"/>
    <s v="Regular Air"/>
    <d v="2016-12-05T00:00:00"/>
    <n v="6.39"/>
    <n v="19.98"/>
    <n v="13.59"/>
    <n v="29"/>
    <n v="579.41999999999996"/>
    <n v="0.06"/>
    <n v="34.765199999999993"/>
    <n v="544.65480000000002"/>
    <n v="4"/>
    <n v="548.65480000000002"/>
  </r>
  <r>
    <s v="6512-1"/>
    <x v="692"/>
    <x v="3"/>
    <s v="Frank Atkinson"/>
    <s v="188 Pitt Street,Sydney"/>
    <s v="Sydney"/>
    <x v="1"/>
    <x v="1"/>
    <x v="8"/>
    <s v="High"/>
    <s v="Barrel Sharpener"/>
    <s v="Office Supplies"/>
    <s v="Small Pack"/>
    <s v="Express Air"/>
    <d v="2016-12-07T00:00:00"/>
    <n v="1.46"/>
    <n v="3.57"/>
    <n v="2.11"/>
    <n v="10"/>
    <n v="35.699999999999996"/>
    <n v="0.01"/>
    <n v="0.35699999999999998"/>
    <n v="35.342999999999996"/>
    <n v="4.17"/>
    <n v="39.512999999999998"/>
  </r>
  <r>
    <s v="6514-1"/>
    <x v="693"/>
    <x v="3"/>
    <s v="Ben Peterman"/>
    <s v="22 St Georges Terrace, Perth"/>
    <s v="Sydney"/>
    <x v="1"/>
    <x v="1"/>
    <x v="2"/>
    <s v="Low"/>
    <s v="Adesso Programmable 142-Key Keyboard"/>
    <s v="Technology"/>
    <s v="Small Box"/>
    <s v="Regular Air"/>
    <d v="2016-12-08T00:00:00"/>
    <n v="32.020000000000003"/>
    <n v="152.47999999999999"/>
    <n v="120.45999999999998"/>
    <n v="46"/>
    <n v="7014.08"/>
    <n v="0.01"/>
    <n v="70.140799999999999"/>
    <n v="6943.9391999999998"/>
    <n v="4"/>
    <n v="6947.9391999999998"/>
  </r>
  <r>
    <s v="6515-1"/>
    <x v="694"/>
    <x v="3"/>
    <s v="Erica Hernandez"/>
    <s v="12 Princess Hwy,Sylvania"/>
    <s v="Sydney"/>
    <x v="1"/>
    <x v="3"/>
    <x v="3"/>
    <s v="Low"/>
    <s v="Alto Parchment Paper, Assorted Colors"/>
    <s v="Office Supplies"/>
    <s v="Small Box"/>
    <s v="Regular Air"/>
    <d v="2016-12-15T00:00:00"/>
    <n v="4.59"/>
    <n v="7.28"/>
    <n v="2.6900000000000004"/>
    <n v="18"/>
    <n v="131.04"/>
    <n v="0.09"/>
    <n v="11.7936"/>
    <n v="119.24639999999999"/>
    <n v="11.15"/>
    <n v="130.3964"/>
  </r>
  <r>
    <s v="6515-2"/>
    <x v="694"/>
    <x v="3"/>
    <s v="Erica Hernandez"/>
    <s v="12 Princess Hwy,Sylvania"/>
    <s v="Sydney"/>
    <x v="1"/>
    <x v="3"/>
    <x v="3"/>
    <s v="Low"/>
    <s v="OIC Thumb-Tacks"/>
    <s v="Office Supplies"/>
    <s v="Wrap Bag"/>
    <s v="Regular Air"/>
    <d v="2016-12-12T00:00:00"/>
    <n v="0.71"/>
    <n v="1.1399999999999999"/>
    <n v="0.42999999999999994"/>
    <n v="28"/>
    <n v="31.919999999999998"/>
    <n v="0.09"/>
    <n v="2.8727999999999998"/>
    <n v="29.047199999999997"/>
    <n v="0.7"/>
    <n v="29.747199999999996"/>
  </r>
  <r>
    <s v="6517-1"/>
    <x v="694"/>
    <x v="3"/>
    <s v="Amy Hunt"/>
    <s v="15 Aberdeen Street, Perth"/>
    <s v="Melbourne"/>
    <x v="0"/>
    <x v="3"/>
    <x v="0"/>
    <s v="High"/>
    <s v="Multi-Use Personal File Cart and Caster Set, Three Stacking Bins"/>
    <s v="Office Supplies"/>
    <s v="Small Box"/>
    <s v="Regular Air"/>
    <d v="2016-12-10T00:00:00"/>
    <n v="14.95"/>
    <n v="34.76"/>
    <n v="19.809999999999999"/>
    <n v="10"/>
    <n v="347.59999999999997"/>
    <n v="0.06"/>
    <n v="20.855999999999998"/>
    <n v="326.74399999999997"/>
    <n v="8.2200000000000006"/>
    <n v="334.964"/>
  </r>
  <r>
    <s v="6521-1"/>
    <x v="695"/>
    <x v="3"/>
    <s v="Guy Armstrong"/>
    <s v="6 Mary St,Newtown"/>
    <s v="Sydney"/>
    <x v="1"/>
    <x v="1"/>
    <x v="6"/>
    <s v="High"/>
    <s v="12 Colored Short Pencils"/>
    <s v="Office Supplies"/>
    <s v="Wrap Bag"/>
    <s v="Regular Air"/>
    <d v="2016-12-10T00:00:00"/>
    <n v="1.0900000000000001"/>
    <n v="2.6"/>
    <n v="1.51"/>
    <n v="8"/>
    <n v="20.8"/>
    <n v="0.02"/>
    <n v="0.41600000000000004"/>
    <n v="20.384"/>
    <n v="2.4"/>
    <n v="22.783999999999999"/>
  </r>
  <r>
    <s v="6523-1"/>
    <x v="696"/>
    <x v="3"/>
    <s v="Cindy Chapman"/>
    <s v="101 Murray Street"/>
    <s v="Perth"/>
    <x v="2"/>
    <x v="1"/>
    <x v="8"/>
    <s v="Critical"/>
    <s v="Bagged Rubber Bands"/>
    <s v="Office Supplies"/>
    <s v="Wrap Bag"/>
    <s v="Regular Air"/>
    <d v="2016-12-12T00:00:00"/>
    <n v="0.24"/>
    <n v="1.26"/>
    <n v="1.02"/>
    <n v="37"/>
    <n v="46.62"/>
    <n v="0.03"/>
    <n v="1.3985999999999998"/>
    <n v="45.221399999999996"/>
    <n v="0.7"/>
    <n v="45.921399999999998"/>
  </r>
  <r>
    <s v="6525-1"/>
    <x v="696"/>
    <x v="3"/>
    <s v="Ken Lonsdale"/>
    <s v="99 Lygon Street,East Brunswick"/>
    <s v="Melbourne"/>
    <x v="0"/>
    <x v="2"/>
    <x v="1"/>
    <s v="Low"/>
    <s v="DrawIt Pizazz Watercolor Pencils, 10-Color Set with Brush"/>
    <s v="Office Supplies"/>
    <s v="Wrap Bag"/>
    <s v="Regular Air"/>
    <d v="2016-12-14T00:00:00"/>
    <n v="2.39"/>
    <n v="4.26"/>
    <n v="1.8699999999999997"/>
    <n v="44"/>
    <n v="187.44"/>
    <n v="0.01"/>
    <n v="1.8744000000000001"/>
    <n v="185.56559999999999"/>
    <n v="1.2"/>
    <n v="186.76559999999998"/>
  </r>
  <r>
    <s v="6526-1"/>
    <x v="696"/>
    <x v="3"/>
    <s v="Gary Hwang"/>
    <s v="60 York St,Sydney"/>
    <s v="Sydney"/>
    <x v="1"/>
    <x v="0"/>
    <x v="10"/>
    <s v="Not Specified"/>
    <s v="Office Shears by Apex"/>
    <s v="Office Supplies"/>
    <s v="Small Pack"/>
    <s v="Regular Air"/>
    <d v="2016-12-12T00:00:00"/>
    <n v="0.94"/>
    <n v="2.08"/>
    <n v="1.1400000000000001"/>
    <n v="36"/>
    <n v="74.88"/>
    <n v="0.1"/>
    <n v="7.4879999999999995"/>
    <n v="67.391999999999996"/>
    <n v="2.56"/>
    <n v="69.951999999999998"/>
  </r>
  <r>
    <s v="6527-1"/>
    <x v="696"/>
    <x v="3"/>
    <s v="Brad Thomas"/>
    <s v="152 Bunnerong Road,Eastgardens"/>
    <s v="Sydney"/>
    <x v="1"/>
    <x v="1"/>
    <x v="8"/>
    <s v="Low"/>
    <s v="Smiths Gold Paper Clips"/>
    <s v="Office Supplies"/>
    <s v="Wrap Bag"/>
    <s v="Regular Air"/>
    <d v="2016-12-15T00:00:00"/>
    <n v="1.82"/>
    <n v="2.98"/>
    <n v="1.1599999999999999"/>
    <n v="45"/>
    <n v="134.1"/>
    <n v="0.05"/>
    <n v="6.7050000000000001"/>
    <n v="127.395"/>
    <n v="1.58"/>
    <n v="128.97499999999999"/>
  </r>
  <r>
    <s v="6528-1"/>
    <x v="696"/>
    <x v="3"/>
    <s v="Paul Knutson"/>
    <s v="1/173-179 Bronte Rd,Waverley"/>
    <s v="Sydney"/>
    <x v="1"/>
    <x v="1"/>
    <x v="2"/>
    <s v="Critical"/>
    <s v="UGen Ultra Professional Cordless Optical Suite"/>
    <s v="Technology"/>
    <s v="Small Box"/>
    <s v="Express Air"/>
    <d v="2016-12-12T00:00:00"/>
    <n v="156.5"/>
    <n v="300.97000000000003"/>
    <n v="144.47000000000003"/>
    <n v="8"/>
    <n v="2407.7600000000002"/>
    <n v="0.05"/>
    <n v="120.38800000000002"/>
    <n v="2287.3720000000003"/>
    <n v="7.18"/>
    <n v="2294.5520000000001"/>
  </r>
  <r>
    <s v="6529-1"/>
    <x v="697"/>
    <x v="3"/>
    <s v="Dorris Love"/>
    <s v="359 Crown Street,Surry Hills"/>
    <s v="Sydney"/>
    <x v="1"/>
    <x v="0"/>
    <x v="4"/>
    <s v="High"/>
    <s v="Alto Perma 2700 Stacking Storage Drawers"/>
    <s v="Office Supplies"/>
    <s v="Small Box"/>
    <s v="Regular Air"/>
    <d v="2016-12-15T00:00:00"/>
    <n v="8.92"/>
    <n v="29.74"/>
    <n v="20.82"/>
    <n v="22"/>
    <n v="654.28"/>
    <n v="7.0000000000000007E-2"/>
    <n v="45.799600000000005"/>
    <n v="608.48039999999992"/>
    <n v="6.64"/>
    <n v="615.1203999999999"/>
  </r>
  <r>
    <s v="6530-1"/>
    <x v="698"/>
    <x v="3"/>
    <s v="Monica Federle"/>
    <s v="834 Bourke St,Waterloo"/>
    <s v="Sydney"/>
    <x v="1"/>
    <x v="1"/>
    <x v="10"/>
    <s v="Low"/>
    <s v="Aluminum Document Frame"/>
    <s v="Furniture"/>
    <s v="Small Pack"/>
    <s v="Express Air"/>
    <d v="2016-12-24T00:00:00"/>
    <n v="5.5"/>
    <n v="12.22"/>
    <n v="6.7200000000000006"/>
    <n v="17"/>
    <n v="207.74"/>
    <n v="0.01"/>
    <n v="2.0773999999999999"/>
    <n v="205.6626"/>
    <n v="2.85"/>
    <n v="208.51259999999999"/>
  </r>
  <r>
    <s v="6531-1"/>
    <x v="699"/>
    <x v="3"/>
    <s v="Theresa Coyne"/>
    <s v="3/219 Canley Vale Road,Canley Heights"/>
    <s v="Sydney"/>
    <x v="1"/>
    <x v="0"/>
    <x v="8"/>
    <s v="High"/>
    <s v="EcoTones Memo Sheets"/>
    <s v="Office Supplies"/>
    <s v="Wrap Bag"/>
    <s v="Regular Air"/>
    <d v="2016-12-19T00:00:00"/>
    <n v="2.52"/>
    <n v="4"/>
    <n v="1.48"/>
    <n v="28"/>
    <n v="112"/>
    <n v="0.04"/>
    <n v="4.4800000000000004"/>
    <n v="107.52"/>
    <n v="1.3"/>
    <n v="108.82"/>
  </r>
  <r>
    <s v="6532-1"/>
    <x v="700"/>
    <x v="3"/>
    <s v="Christopher Martinez"/>
    <s v="29 Wellington Street"/>
    <s v="Perth"/>
    <x v="2"/>
    <x v="0"/>
    <x v="8"/>
    <s v="Critical"/>
    <s v="Apex Box Cutter Scissors"/>
    <s v="Office Supplies"/>
    <s v="Small Pack"/>
    <s v="Regular Air"/>
    <d v="2016-12-19T00:00:00"/>
    <n v="4.1900000000000004"/>
    <n v="10.23"/>
    <n v="6.04"/>
    <n v="19"/>
    <n v="194.37"/>
    <n v="0.05"/>
    <n v="9.7185000000000006"/>
    <n v="184.6515"/>
    <n v="4.68"/>
    <n v="189.33150000000001"/>
  </r>
  <r>
    <s v="6534-1"/>
    <x v="701"/>
    <x v="3"/>
    <s v="Nora Price"/>
    <s v="7 Khartoum Rd,Macquarie Park"/>
    <s v="Sydney"/>
    <x v="1"/>
    <x v="0"/>
    <x v="12"/>
    <s v="Critical"/>
    <s v="Adesso Programmable 142-Key Keyboard"/>
    <s v="Technology"/>
    <s v="Small Box"/>
    <s v="Regular Air"/>
    <d v="2016-12-21T00:00:00"/>
    <n v="32.020000000000003"/>
    <n v="152.47999999999999"/>
    <n v="120.45999999999998"/>
    <n v="12"/>
    <n v="1829.7599999999998"/>
    <n v="7.0000000000000007E-2"/>
    <n v="128.08320000000001"/>
    <n v="1701.6767999999997"/>
    <n v="4"/>
    <n v="1705.6767999999997"/>
  </r>
  <r>
    <s v="6535-1"/>
    <x v="702"/>
    <x v="3"/>
    <s v="Benjamin Farhat"/>
    <s v="6 Brookman Street, Perth"/>
    <s v="Sydney"/>
    <x v="1"/>
    <x v="0"/>
    <x v="8"/>
    <s v="Critical"/>
    <s v="Office Shears by Apex"/>
    <s v="Office Supplies"/>
    <s v="Small Pack"/>
    <s v="Regular Air"/>
    <d v="2016-12-22T00:00:00"/>
    <n v="0.94"/>
    <n v="2.08"/>
    <n v="1.1400000000000001"/>
    <n v="49"/>
    <n v="101.92"/>
    <n v="7.0000000000000007E-2"/>
    <n v="7.1344000000000012"/>
    <n v="94.785600000000002"/>
    <n v="2.56"/>
    <n v="97.345600000000005"/>
  </r>
  <r>
    <s v="6536-1"/>
    <x v="703"/>
    <x v="3"/>
    <s v="Giulietta Weimer"/>
    <s v="48 Albion St,Surry Hills"/>
    <s v="Sydney"/>
    <x v="1"/>
    <x v="0"/>
    <x v="5"/>
    <s v="Critical"/>
    <s v="Smiths General Use 3-Ring Binders"/>
    <s v="Office Supplies"/>
    <s v="Small Box"/>
    <s v="Regular Air"/>
    <d v="2016-12-23T00:00:00"/>
    <n v="1.18"/>
    <n v="1.88"/>
    <n v="0.7"/>
    <n v="19"/>
    <n v="35.72"/>
    <n v="0.06"/>
    <n v="2.1431999999999998"/>
    <n v="33.576799999999999"/>
    <n v="1.49"/>
    <n v="35.066800000000001"/>
  </r>
  <r>
    <s v="6538-1"/>
    <x v="704"/>
    <x v="3"/>
    <s v="Lisa Hazard"/>
    <s v="Cnr Williams Road &amp; Lechlade Ave,South Yarra"/>
    <s v="Melbourne"/>
    <x v="0"/>
    <x v="0"/>
    <x v="0"/>
    <s v="High"/>
    <s v="Artisan Binder Labels"/>
    <s v="Office Supplies"/>
    <s v="Small Box"/>
    <s v="Regular Air"/>
    <d v="2016-12-25T00:00:00"/>
    <n v="2.4500000000000002"/>
    <n v="3.89"/>
    <n v="1.44"/>
    <n v="3"/>
    <n v="11.67"/>
    <n v="0"/>
    <n v="0"/>
    <n v="11.67"/>
    <n v="7.01"/>
    <n v="18.68"/>
  </r>
  <r>
    <s v="6540-1"/>
    <x v="705"/>
    <x v="3"/>
    <s v="Steve Nguyen"/>
    <s v="61 York St,Sydney"/>
    <s v="Sydney"/>
    <x v="1"/>
    <x v="3"/>
    <x v="2"/>
    <s v="Not Specified"/>
    <s v="Ames Color-File Green Diamond Border X-ray Mailers"/>
    <s v="Office Supplies"/>
    <s v="Small Box"/>
    <s v="Regular Air"/>
    <d v="2016-12-26T00:00:00"/>
    <n v="52.07"/>
    <n v="83.98"/>
    <n v="31.910000000000004"/>
    <n v="38"/>
    <n v="3191.2400000000002"/>
    <n v="0"/>
    <n v="0"/>
    <n v="3191.2400000000002"/>
    <n v="5.01"/>
    <n v="3196.2500000000005"/>
  </r>
  <r>
    <s v="6541-1"/>
    <x v="706"/>
    <x v="3"/>
    <s v="Cindy Chapman"/>
    <s v="101 Murray Street"/>
    <s v="Perth"/>
    <x v="2"/>
    <x v="2"/>
    <x v="8"/>
    <s v="High"/>
    <s v="Artisan Binding System Hidden Tab Executive Style Index Sets"/>
    <s v="Office Supplies"/>
    <s v="Small Box"/>
    <s v="Regular Air"/>
    <d v="2016-12-30T00:00:00"/>
    <n v="3.75"/>
    <n v="5.77"/>
    <n v="2.0199999999999996"/>
    <n v="42"/>
    <n v="242.33999999999997"/>
    <n v="0"/>
    <n v="0"/>
    <n v="242.33999999999997"/>
    <n v="4.97"/>
    <n v="247.30999999999997"/>
  </r>
  <r>
    <s v="6542-1"/>
    <x v="706"/>
    <x v="3"/>
    <s v="Tracy Zic"/>
    <s v="24 Addison Rd,Marrickville"/>
    <s v="Sydney"/>
    <x v="1"/>
    <x v="2"/>
    <x v="13"/>
    <s v="Medium"/>
    <s v="Pizazz Drawing Pencil Set"/>
    <s v="Office Supplies"/>
    <s v="Wrap Bag"/>
    <s v="Regular Air"/>
    <d v="2016-12-29T00:00:00"/>
    <n v="1.17"/>
    <n v="2.78"/>
    <n v="1.6099999999999999"/>
    <n v="48"/>
    <n v="133.44"/>
    <n v="0.03"/>
    <n v="4.0031999999999996"/>
    <n v="129.43680000000001"/>
    <n v="1.2"/>
    <n v="130.63679999999999"/>
  </r>
  <r>
    <s v="6543-1"/>
    <x v="706"/>
    <x v="3"/>
    <s v="Guy Armstrong"/>
    <s v="6 Mary St,Newtown"/>
    <s v="Sydney"/>
    <x v="1"/>
    <x v="1"/>
    <x v="6"/>
    <s v="Medium"/>
    <s v="TechSavi Access Keyboard"/>
    <s v="Technology"/>
    <s v="Small Box"/>
    <s v="Regular Air"/>
    <d v="2016-12-29T00:00:00"/>
    <n v="10.07"/>
    <n v="15.98"/>
    <n v="5.91"/>
    <n v="14"/>
    <n v="223.72"/>
    <n v="0.05"/>
    <n v="11.186"/>
    <n v="212.53399999999999"/>
    <n v="4"/>
    <n v="216.53399999999999"/>
  </r>
  <r>
    <s v="6544-1"/>
    <x v="707"/>
    <x v="3"/>
    <s v="Shahid Shariari"/>
    <s v="3/219 Canley Vale Road,Canley Heights"/>
    <s v="Sydney"/>
    <x v="1"/>
    <x v="1"/>
    <x v="11"/>
    <s v="Low"/>
    <s v="Smiths General Use 3-Ring Binders"/>
    <s v="Office Supplies"/>
    <s v="Small Box"/>
    <s v="Regular Air"/>
    <d v="2017-01-04T00:00:00"/>
    <n v="1.18"/>
    <n v="1.88"/>
    <n v="0.7"/>
    <n v="22"/>
    <n v="41.36"/>
    <n v="0.04"/>
    <n v="1.6544000000000001"/>
    <n v="39.705599999999997"/>
    <n v="1.49"/>
    <n v="41.195599999999999"/>
  </r>
  <r>
    <s v="6546-1"/>
    <x v="708"/>
    <x v="4"/>
    <s v="Julia Barnett"/>
    <s v="485 Crown St,Surry Hills"/>
    <s v="Sydney"/>
    <x v="1"/>
    <x v="0"/>
    <x v="2"/>
    <s v="Not Specified"/>
    <s v="Adesso Programmable 142-Key Keyboard"/>
    <s v="Technology"/>
    <s v="Small Box"/>
    <s v="Regular Air"/>
    <d v="2017-01-04T00:00:00"/>
    <n v="32.020000000000003"/>
    <n v="152.47999999999999"/>
    <n v="120.45999999999998"/>
    <n v="46"/>
    <n v="7014.08"/>
    <n v="0.04"/>
    <n v="280.56319999999999"/>
    <n v="6733.5168000000003"/>
    <n v="4"/>
    <n v="6737.5168000000003"/>
  </r>
  <r>
    <s v="6548-1"/>
    <x v="709"/>
    <x v="4"/>
    <s v="Muhammed Yedwab"/>
    <s v="18 Whistler St,Sydney"/>
    <s v="Sydney"/>
    <x v="1"/>
    <x v="2"/>
    <x v="3"/>
    <m/>
    <s v="Artisan 474 Labels"/>
    <s v="Office Supplies"/>
    <s v="Small Box"/>
    <s v="Regular Air"/>
    <d v="2017-01-05T00:00:00"/>
    <n v="1.84"/>
    <n v="2.88"/>
    <n v="1.0399999999999998"/>
    <n v="26"/>
    <n v="74.88"/>
    <n v="0.01"/>
    <n v="0.74880000000000002"/>
    <n v="74.131199999999993"/>
    <n v="0.99"/>
    <n v="75.121199999999988"/>
  </r>
  <r>
    <s v="6550-1"/>
    <x v="709"/>
    <x v="4"/>
    <s v="Cynthia Arntzen"/>
    <s v="Hoyts Entertainment Quarter 122 Lang Road,Moore Park"/>
    <s v="Sydney"/>
    <x v="1"/>
    <x v="3"/>
    <x v="8"/>
    <s v="Medium"/>
    <s v="Smiths Metal Binder Clips"/>
    <s v="Office Supplies"/>
    <s v="Wrap Bag"/>
    <s v="Regular Air"/>
    <d v="2017-01-06T00:00:00"/>
    <n v="1.6"/>
    <n v="2.62"/>
    <n v="1.02"/>
    <n v="35"/>
    <n v="91.7"/>
    <n v="0.04"/>
    <n v="3.6680000000000001"/>
    <n v="88.031999999999996"/>
    <n v="0.8"/>
    <n v="88.831999999999994"/>
  </r>
  <r>
    <s v="6552-1"/>
    <x v="710"/>
    <x v="4"/>
    <s v="Stephanie Phelps"/>
    <s v="324A King St,Newtown"/>
    <s v="Sydney"/>
    <x v="1"/>
    <x v="2"/>
    <x v="11"/>
    <s v="Medium"/>
    <s v="TechSavi Cordless Elite Duo"/>
    <s v="Technology"/>
    <s v="Small Box"/>
    <s v="Regular Air"/>
    <d v="2017-01-07T00:00:00"/>
    <n v="60.59"/>
    <n v="100.98"/>
    <n v="40.39"/>
    <n v="12"/>
    <n v="1211.76"/>
    <n v="0"/>
    <n v="0"/>
    <n v="1211.76"/>
    <n v="7.18"/>
    <n v="1218.94"/>
  </r>
  <r>
    <s v="6553-1"/>
    <x v="711"/>
    <x v="4"/>
    <s v="Dave Hallsten"/>
    <s v="1 John St,Waterloo"/>
    <s v="Sydney"/>
    <x v="1"/>
    <x v="0"/>
    <x v="10"/>
    <s v="Medium"/>
    <s v="Artisan 474 Labels"/>
    <s v="Office Supplies"/>
    <s v="Small Box"/>
    <s v="Regular Air"/>
    <d v="2017-01-11T00:00:00"/>
    <n v="1.84"/>
    <n v="2.88"/>
    <n v="1.0399999999999998"/>
    <n v="22"/>
    <n v="63.36"/>
    <n v="0.02"/>
    <n v="1.2672000000000001"/>
    <n v="62.092799999999997"/>
    <n v="0.99"/>
    <n v="63.082799999999999"/>
  </r>
  <r>
    <s v="6555-1"/>
    <x v="712"/>
    <x v="4"/>
    <s v="Bart Watters"/>
    <s v="27/580 Hay Street, Perth"/>
    <s v="Sydney"/>
    <x v="1"/>
    <x v="1"/>
    <x v="3"/>
    <s v="Critical"/>
    <s v="Apex Straight Scissors"/>
    <s v="Office Supplies"/>
    <s v="Small Pack"/>
    <s v="Regular Air"/>
    <d v="2017-01-13T00:00:00"/>
    <n v="5.19"/>
    <n v="12.98"/>
    <n v="7.79"/>
    <n v="49"/>
    <n v="636.02"/>
    <n v="0.02"/>
    <n v="12.7204"/>
    <n v="623.29959999999994"/>
    <n v="3.14"/>
    <n v="626.43959999999993"/>
  </r>
  <r>
    <s v="6557-1"/>
    <x v="713"/>
    <x v="4"/>
    <s v="Patrick ODonnell"/>
    <s v="21 Wentworth St,Parramatta"/>
    <s v="Sydney"/>
    <x v="1"/>
    <x v="0"/>
    <x v="9"/>
    <s v="Medium"/>
    <s v="Artisan Poly Binder Pockets"/>
    <s v="Office Supplies"/>
    <s v="Small Box"/>
    <s v="Regular Air"/>
    <d v="2017-01-15T00:00:00"/>
    <n v="2.2599999999999998"/>
    <n v="3.58"/>
    <n v="1.3200000000000003"/>
    <n v="38"/>
    <n v="136.04"/>
    <n v="0.03"/>
    <n v="4.0811999999999999"/>
    <n v="131.9588"/>
    <n v="5.47"/>
    <n v="137.4288"/>
  </r>
  <r>
    <s v="6558-1"/>
    <x v="714"/>
    <x v="4"/>
    <s v="Ann Steele"/>
    <s v="101 Murray Street, Perth"/>
    <s v="Sydney"/>
    <x v="1"/>
    <x v="1"/>
    <x v="3"/>
    <s v="Critical"/>
    <s v="Alto Parchment Paper, Assorted Colors"/>
    <s v="Office Supplies"/>
    <s v="Small Box"/>
    <s v="Regular Air"/>
    <d v="2017-01-18T00:00:00"/>
    <n v="4.59"/>
    <n v="7.28"/>
    <n v="2.6900000000000004"/>
    <n v="39"/>
    <n v="283.92"/>
    <n v="0.08"/>
    <n v="22.713600000000003"/>
    <n v="261.20640000000003"/>
    <n v="11.15"/>
    <n v="272.35640000000001"/>
  </r>
  <r>
    <s v="6560-1"/>
    <x v="715"/>
    <x v="4"/>
    <s v="Sung Chung"/>
    <s v="127 Liverpool St,Sydney"/>
    <s v="Sydney"/>
    <x v="1"/>
    <x v="0"/>
    <x v="6"/>
    <s v="Not Specified"/>
    <s v="OIC Thumb-Tacks"/>
    <s v="Office Supplies"/>
    <s v="Wrap Bag"/>
    <s v="Express Air"/>
    <d v="2017-01-20T00:00:00"/>
    <n v="0.71"/>
    <n v="1.1399999999999999"/>
    <n v="0.42999999999999994"/>
    <n v="14"/>
    <n v="15.959999999999999"/>
    <n v="0"/>
    <n v="0"/>
    <n v="15.959999999999999"/>
    <n v="0.7"/>
    <n v="16.66"/>
  </r>
  <r>
    <s v="6561-1"/>
    <x v="716"/>
    <x v="4"/>
    <s v="Luke Weiss"/>
    <s v="88 Oxford St,Woollahra"/>
    <s v="Sydney"/>
    <x v="1"/>
    <x v="1"/>
    <x v="10"/>
    <s v="Not Specified"/>
    <s v="1726 Digital Answering Machine"/>
    <s v="Technology"/>
    <s v="Medium Box"/>
    <s v="Regular Air"/>
    <d v="2017-01-21T00:00:00"/>
    <n v="8.82"/>
    <n v="20.99"/>
    <n v="12.169999999999998"/>
    <n v="29"/>
    <n v="608.70999999999992"/>
    <n v="0.03"/>
    <n v="18.261299999999999"/>
    <n v="590.44869999999992"/>
    <n v="4.8099999999999996"/>
    <n v="595.25869999999986"/>
  </r>
  <r>
    <s v="6562-1"/>
    <x v="716"/>
    <x v="4"/>
    <s v="Laurel Workman"/>
    <s v="38/133-145 Castlereagh St,Sydney"/>
    <s v="Sydney"/>
    <x v="1"/>
    <x v="0"/>
    <x v="5"/>
    <s v="Medium"/>
    <s v="Apex Straight Scissors"/>
    <s v="Office Supplies"/>
    <s v="Small Pack"/>
    <s v="Express Air"/>
    <d v="2017-01-21T00:00:00"/>
    <n v="5.19"/>
    <n v="12.98"/>
    <n v="7.79"/>
    <n v="10"/>
    <n v="129.80000000000001"/>
    <n v="0.05"/>
    <n v="6.4900000000000011"/>
    <n v="123.31000000000002"/>
    <n v="3.14"/>
    <n v="126.45000000000002"/>
  </r>
  <r>
    <s v="6564-1"/>
    <x v="716"/>
    <x v="4"/>
    <s v="Carol Darley"/>
    <s v="Crown Complex,Southbank"/>
    <s v="Melbourne"/>
    <x v="0"/>
    <x v="3"/>
    <x v="0"/>
    <s v="Low"/>
    <s v="Smiths Colored Interoffice Envelopes"/>
    <s v="Office Supplies"/>
    <s v="Small Box"/>
    <s v="Express Air"/>
    <d v="2017-01-26T00:00:00"/>
    <n v="19.829999999999998"/>
    <n v="30.98"/>
    <n v="11.150000000000002"/>
    <n v="41"/>
    <n v="1270.18"/>
    <n v="0.04"/>
    <n v="50.807200000000002"/>
    <n v="1219.3728000000001"/>
    <n v="19.510000000000002"/>
    <n v="1238.8828000000001"/>
  </r>
  <r>
    <s v="6565-1"/>
    <x v="717"/>
    <x v="4"/>
    <s v="Julia Barnett"/>
    <s v="485 Crown St,Surry Hills"/>
    <s v="Sydney"/>
    <x v="1"/>
    <x v="1"/>
    <x v="2"/>
    <s v="Not Specified"/>
    <s v="Alto Parchment Paper, Assorted Colors"/>
    <s v="Office Supplies"/>
    <s v="Small Box"/>
    <s v="Regular Air"/>
    <d v="2017-01-21T00:00:00"/>
    <n v="4.59"/>
    <n v="7.28"/>
    <n v="2.6900000000000004"/>
    <n v="24"/>
    <n v="174.72"/>
    <n v="0.1"/>
    <n v="17.472000000000001"/>
    <n v="157.24799999999999"/>
    <n v="11.15"/>
    <n v="168.398"/>
  </r>
  <r>
    <s v="6567-1"/>
    <x v="718"/>
    <x v="4"/>
    <s v="Jeremy Pistek"/>
    <s v="85-113 Dunning Ave,Roseberry"/>
    <s v="Sydney"/>
    <x v="1"/>
    <x v="1"/>
    <x v="11"/>
    <s v="Not Specified"/>
    <s v="Artisan Hi-Liter Pen Style Six-Color Fluorescent Set"/>
    <s v="Office Supplies"/>
    <s v="Wrap Bag"/>
    <s v="Regular Air"/>
    <d v="2017-01-25T00:00:00"/>
    <n v="2.16"/>
    <n v="3.85"/>
    <n v="1.69"/>
    <n v="18"/>
    <n v="69.3"/>
    <n v="0.04"/>
    <n v="2.7719999999999998"/>
    <n v="66.527999999999992"/>
    <n v="0.7"/>
    <n v="67.227999999999994"/>
  </r>
  <r>
    <s v="6569-1"/>
    <x v="719"/>
    <x v="4"/>
    <s v="Ken Heidel"/>
    <s v="438 Victoria Avenue,Chatswood"/>
    <s v="Sydney"/>
    <x v="1"/>
    <x v="1"/>
    <x v="5"/>
    <s v="Not Specified"/>
    <s v="Binder Posts"/>
    <s v="Office Supplies"/>
    <s v="Small Box"/>
    <s v="Regular Air"/>
    <d v="2017-01-26T00:00:00"/>
    <n v="3.5"/>
    <n v="5.74"/>
    <n v="2.2400000000000002"/>
    <n v="46"/>
    <n v="264.04000000000002"/>
    <n v="0.05"/>
    <n v="13.202000000000002"/>
    <n v="250.83800000000002"/>
    <n v="5.01"/>
    <n v="255.84800000000001"/>
  </r>
  <r>
    <s v="6571-1"/>
    <x v="720"/>
    <x v="4"/>
    <s v="Harold Pawlan"/>
    <s v="180 High Street,Windsor"/>
    <s v="Melbourne"/>
    <x v="0"/>
    <x v="3"/>
    <x v="1"/>
    <s v="High"/>
    <s v="UGen Ultra Professional Cordless Optical Suite"/>
    <s v="Technology"/>
    <s v="Small Box"/>
    <s v="Regular Air"/>
    <d v="2017-01-27T00:00:00"/>
    <n v="156.5"/>
    <n v="300.97000000000003"/>
    <n v="144.47000000000003"/>
    <n v="29"/>
    <n v="8728.130000000001"/>
    <n v="0.03"/>
    <n v="261.84390000000002"/>
    <n v="8466.2861000000012"/>
    <n v="7.18"/>
    <n v="8473.4661000000015"/>
  </r>
  <r>
    <s v="6572-1"/>
    <x v="721"/>
    <x v="4"/>
    <s v="Kean Thornton"/>
    <s v="65 Palmerston Street"/>
    <s v="Perth"/>
    <x v="2"/>
    <x v="1"/>
    <x v="5"/>
    <s v="Critical"/>
    <s v="Artisan Hole Reinforcements"/>
    <s v="Office Supplies"/>
    <s v="Small Box"/>
    <s v="Regular Air"/>
    <d v="2017-01-28T00:00:00"/>
    <n v="3.99"/>
    <n v="6.23"/>
    <n v="2.2400000000000002"/>
    <n v="25"/>
    <n v="155.75"/>
    <n v="7.0000000000000007E-2"/>
    <n v="10.902500000000002"/>
    <n v="144.8475"/>
    <n v="6.97"/>
    <n v="151.8175"/>
  </r>
  <r>
    <s v="6574-1"/>
    <x v="722"/>
    <x v="4"/>
    <s v="Rick Hansen"/>
    <s v="Macquarie Centre Cnr Herring Road &amp; Waterloo Road,Macquarie Park"/>
    <s v="Sydney"/>
    <x v="1"/>
    <x v="0"/>
    <x v="3"/>
    <s v="Not Specified"/>
    <s v="Cando S750 Color Inkjet Printer"/>
    <s v="Technology"/>
    <s v="Jumbo Drum"/>
    <s v="Delivery Truck"/>
    <d v="2017-02-02T00:00:00"/>
    <n v="75"/>
    <n v="120.97"/>
    <n v="45.97"/>
    <n v="4"/>
    <n v="483.88"/>
    <n v="7.0000000000000007E-2"/>
    <n v="33.871600000000001"/>
    <n v="450.00839999999999"/>
    <n v="26.3"/>
    <n v="476.30840000000001"/>
  </r>
  <r>
    <s v="6576-1"/>
    <x v="723"/>
    <x v="4"/>
    <s v="Joy Daniels"/>
    <s v="12 Princess Hwy,Sylvania"/>
    <s v="Sydney"/>
    <x v="1"/>
    <x v="1"/>
    <x v="3"/>
    <s v="Low"/>
    <s v="Barrel Sharpener"/>
    <s v="Office Supplies"/>
    <s v="Small Pack"/>
    <s v="Regular Air"/>
    <d v="2017-02-05T00:00:00"/>
    <n v="1.46"/>
    <n v="3.57"/>
    <n v="2.11"/>
    <n v="25"/>
    <n v="89.25"/>
    <n v="0.01"/>
    <n v="0.89250000000000007"/>
    <n v="88.357500000000002"/>
    <n v="4.17"/>
    <n v="92.527500000000003"/>
  </r>
  <r>
    <s v="6577-1"/>
    <x v="724"/>
    <x v="4"/>
    <s v="Cindy Chapman"/>
    <s v="101 Murray Street"/>
    <s v="Perth"/>
    <x v="2"/>
    <x v="1"/>
    <x v="8"/>
    <m/>
    <s v="Steady Major Accent Highlighters"/>
    <s v="Office Supplies"/>
    <s v="Wrap Bag"/>
    <s v="Regular Air"/>
    <d v="2017-02-04T00:00:00"/>
    <n v="3.75"/>
    <n v="7.08"/>
    <n v="3.33"/>
    <n v="46"/>
    <n v="325.68"/>
    <n v="0.1"/>
    <n v="32.568000000000005"/>
    <n v="293.11200000000002"/>
    <n v="2.35"/>
    <n v="295.46200000000005"/>
  </r>
  <r>
    <s v="6579-1"/>
    <x v="725"/>
    <x v="4"/>
    <s v="Alex Russell"/>
    <s v="76 Lindsay Street, Perth"/>
    <s v="Melbourne"/>
    <x v="0"/>
    <x v="0"/>
    <x v="1"/>
    <s v="High"/>
    <s v="Artisan 479 Labels"/>
    <s v="Office Supplies"/>
    <s v="Small Box"/>
    <s v="Regular Air"/>
    <d v="2017-02-05T00:00:00"/>
    <n v="1.59"/>
    <n v="2.61"/>
    <n v="1.0199999999999998"/>
    <n v="38"/>
    <n v="99.179999999999993"/>
    <n v="0.04"/>
    <n v="3.9671999999999996"/>
    <n v="95.212799999999987"/>
    <n v="0.5"/>
    <n v="95.712799999999987"/>
  </r>
  <r>
    <s v="6581-1"/>
    <x v="726"/>
    <x v="4"/>
    <s v="Roland Black"/>
    <s v="438 Victoria Avenue,Chatswood"/>
    <s v="Sydney"/>
    <x v="1"/>
    <x v="3"/>
    <x v="5"/>
    <s v="High"/>
    <s v="Artisan Legal 4-Ring Binder"/>
    <s v="Office Supplies"/>
    <s v="Small Box"/>
    <s v="Regular Air"/>
    <d v="2017-02-05T00:00:00"/>
    <n v="13.64"/>
    <n v="20.98"/>
    <n v="7.34"/>
    <n v="41"/>
    <n v="860.18000000000006"/>
    <n v="0.05"/>
    <n v="43.009000000000007"/>
    <n v="817.17100000000005"/>
    <n v="1.49"/>
    <n v="818.66100000000006"/>
  </r>
  <r>
    <s v="6582-1"/>
    <x v="727"/>
    <x v="4"/>
    <s v="Art Foster"/>
    <s v="14 Money Street, Perth"/>
    <s v="Sydney"/>
    <x v="1"/>
    <x v="0"/>
    <x v="7"/>
    <s v="Medium"/>
    <s v="Artisan Legal 4-Ring Binder"/>
    <s v="Office Supplies"/>
    <s v="Small Box"/>
    <s v="Regular Air"/>
    <d v="2017-02-07T00:00:00"/>
    <n v="13.64"/>
    <n v="20.98"/>
    <n v="7.34"/>
    <n v="2"/>
    <n v="41.96"/>
    <n v="0.01"/>
    <n v="0.41960000000000003"/>
    <n v="41.540399999999998"/>
    <n v="1.49"/>
    <n v="43.0304"/>
  </r>
  <r>
    <s v="6584-1"/>
    <x v="728"/>
    <x v="4"/>
    <s v="Maribeth Yedwab"/>
    <s v="240-242 Johnston Street,Fitzroy"/>
    <s v="Melbourne"/>
    <x v="0"/>
    <x v="0"/>
    <x v="1"/>
    <s v="Low"/>
    <s v="Beekin 105-Key Black Keyboard"/>
    <s v="Technology"/>
    <s v="Small Box"/>
    <s v="Regular Air"/>
    <m/>
    <n v="6.39"/>
    <n v="19.98"/>
    <n v="13.59"/>
    <n v="31"/>
    <n v="619.38"/>
    <n v="0"/>
    <n v="0"/>
    <n v="619.38"/>
    <n v="4"/>
    <n v="623.38"/>
  </r>
  <r>
    <s v="6586-1"/>
    <x v="728"/>
    <x v="4"/>
    <s v="Theresa Swint"/>
    <s v="240-242 Johnston Street,Fitzroy"/>
    <s v="Melbourne"/>
    <x v="0"/>
    <x v="2"/>
    <x v="1"/>
    <s v="Medium"/>
    <s v="Binder Clips by OIC"/>
    <s v="Office Supplies"/>
    <s v="Wrap Bag"/>
    <s v="Regular Air"/>
    <m/>
    <n v="0.93"/>
    <n v="1.48"/>
    <n v="0.54999999999999993"/>
    <n v="10"/>
    <n v="14.8"/>
    <n v="0.1"/>
    <n v="1.4800000000000002"/>
    <n v="13.32"/>
    <n v="0.7"/>
    <n v="14.0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3" cacheId="5"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
  <location ref="A3:G7" firstHeaderRow="1" firstDataRow="3" firstDataCol="1" rowPageCount="1" colPageCount="1"/>
  <pivotFields count="26">
    <pivotField showAll="0" insertBlankRow="1">
      <extLst>
        <ext xmlns:x14="http://schemas.microsoft.com/office/spreadsheetml/2009/9/main" uri="{2946ED86-A175-432a-8AC1-64E0C546D7DE}">
          <x14:pivotField fillDownLabels="1"/>
        </ext>
      </extLst>
    </pivotField>
    <pivotField axis="axisCol" numFmtId="14" showAll="0" insertBlankRow="1">
      <items count="7">
        <item x="0"/>
        <item x="1"/>
        <item x="2"/>
        <item x="3"/>
        <item x="4"/>
        <item x="5"/>
        <item t="default"/>
      </items>
      <extLst>
        <ext xmlns:x14="http://schemas.microsoft.com/office/spreadsheetml/2009/9/main" uri="{2946ED86-A175-432a-8AC1-64E0C546D7DE}">
          <x14:pivotField fillDownLabels="1"/>
        </ext>
      </extLst>
    </pivotField>
    <pivotField showAll="0" insertBlankRow="1">
      <items count="6">
        <item x="0"/>
        <item x="1"/>
        <item x="2"/>
        <item x="3"/>
        <item x="4"/>
        <item t="default"/>
      </items>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axis="axisRow" showAll="0" insertBlankRow="1" sortType="ascending">
      <items count="4">
        <item x="1"/>
        <item x="0"/>
        <item x="2"/>
        <item t="default"/>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axis="axisPage" multipleItemSelectionAllowed="1" showAll="0" insertBlankRow="1">
      <items count="15">
        <item h="1" x="9"/>
        <item h="1" x="10"/>
        <item h="1" x="1"/>
        <item h="1" x="2"/>
        <item h="1" x="11"/>
        <item h="1" x="5"/>
        <item h="1" x="3"/>
        <item h="1" x="4"/>
        <item h="1" x="12"/>
        <item h="1" x="13"/>
        <item h="1" x="6"/>
        <item x="7"/>
        <item h="1" x="8"/>
        <item h="1" x="0"/>
        <item t="default"/>
      </items>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numFmtId="164" showAll="0" insertBlankRow="1">
      <extLst>
        <ext xmlns:x14="http://schemas.microsoft.com/office/spreadsheetml/2009/9/main" uri="{2946ED86-A175-432a-8AC1-64E0C546D7DE}">
          <x14:pivotField fillDownLabels="1"/>
        </ext>
      </extLst>
    </pivotField>
    <pivotField numFmtId="164" showAll="0" insertBlankRow="1">
      <extLst>
        <ext xmlns:x14="http://schemas.microsoft.com/office/spreadsheetml/2009/9/main" uri="{2946ED86-A175-432a-8AC1-64E0C546D7DE}">
          <x14:pivotField fillDownLabels="1"/>
        </ext>
      </extLst>
    </pivotField>
    <pivotField numFmtId="164"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numFmtId="164" showAll="0" insertBlankRow="1">
      <extLst>
        <ext xmlns:x14="http://schemas.microsoft.com/office/spreadsheetml/2009/9/main" uri="{2946ED86-A175-432a-8AC1-64E0C546D7DE}">
          <x14:pivotField fillDownLabels="1"/>
        </ext>
      </extLst>
    </pivotField>
    <pivotField numFmtId="9" showAll="0" insertBlankRow="1">
      <extLst>
        <ext xmlns:x14="http://schemas.microsoft.com/office/spreadsheetml/2009/9/main" uri="{2946ED86-A175-432a-8AC1-64E0C546D7DE}">
          <x14:pivotField fillDownLabels="1"/>
        </ext>
      </extLst>
    </pivotField>
    <pivotField numFmtId="164" showAll="0" insertBlankRow="1">
      <extLst>
        <ext xmlns:x14="http://schemas.microsoft.com/office/spreadsheetml/2009/9/main" uri="{2946ED86-A175-432a-8AC1-64E0C546D7DE}">
          <x14:pivotField fillDownLabels="1"/>
        </ext>
      </extLst>
    </pivotField>
    <pivotField numFmtId="164" showAll="0" insertBlankRow="1">
      <extLst>
        <ext xmlns:x14="http://schemas.microsoft.com/office/spreadsheetml/2009/9/main" uri="{2946ED86-A175-432a-8AC1-64E0C546D7DE}">
          <x14:pivotField fillDownLabels="1"/>
        </ext>
      </extLst>
    </pivotField>
    <pivotField numFmtId="164" showAll="0" insertBlankRow="1">
      <extLst>
        <ext xmlns:x14="http://schemas.microsoft.com/office/spreadsheetml/2009/9/main" uri="{2946ED86-A175-432a-8AC1-64E0C546D7DE}">
          <x14:pivotField fillDownLabels="1"/>
        </ext>
      </extLst>
    </pivotField>
    <pivotField dataField="1" numFmtId="164" showAll="0" insertBlankRow="1">
      <extLst>
        <ext xmlns:x14="http://schemas.microsoft.com/office/spreadsheetml/2009/9/main" uri="{2946ED86-A175-432a-8AC1-64E0C546D7DE}">
          <x14:pivotField fillDownLabels="1"/>
        </ext>
      </extLst>
    </pivotField>
    <pivotField axis="axisCol" subtotalTop="0" showAll="0" insertBlankRow="1">
      <items count="8">
        <item h="1" x="0"/>
        <item h="1" x="1"/>
        <item h="1" x="2"/>
        <item x="3"/>
        <item x="4"/>
        <item h="1" x="5"/>
        <item h="1" x="6"/>
        <item t="default"/>
      </items>
      <extLst>
        <ext xmlns:x14="http://schemas.microsoft.com/office/spreadsheetml/2009/9/main" uri="{2946ED86-A175-432a-8AC1-64E0C546D7DE}">
          <x14:pivotField fillDownLabels="1"/>
        </ext>
      </extLst>
    </pivotField>
  </pivotFields>
  <rowFields count="1">
    <field x="6"/>
  </rowFields>
  <rowItems count="2">
    <i>
      <x/>
    </i>
    <i t="grand">
      <x/>
    </i>
  </rowItems>
  <colFields count="2">
    <field x="25"/>
    <field x="1"/>
  </colFields>
  <colItems count="6">
    <i>
      <x v="3"/>
      <x v="1"/>
    </i>
    <i t="default">
      <x v="3"/>
    </i>
    <i>
      <x v="4"/>
      <x v="1"/>
    </i>
    <i r="1">
      <x v="2"/>
    </i>
    <i t="default">
      <x v="4"/>
    </i>
    <i t="grand">
      <x/>
    </i>
  </colItems>
  <pageFields count="1">
    <pageField fld="8" hier="-1"/>
  </pageFields>
  <dataFields count="1">
    <dataField name="Sum of Total" fld="24" baseField="0" baseItem="0" numFmtId="164"/>
  </dataFields>
  <chartFormats count="3">
    <chartFormat chart="0" format="0" series="1">
      <pivotArea type="data" outline="0" fieldPosition="0">
        <references count="3">
          <reference field="4294967294" count="1" selected="0">
            <x v="0"/>
          </reference>
          <reference field="1" count="1" selected="0">
            <x v="1"/>
          </reference>
          <reference field="25" count="1" selected="0">
            <x v="3"/>
          </reference>
        </references>
      </pivotArea>
    </chartFormat>
    <chartFormat chart="0" format="1" series="1">
      <pivotArea type="data" outline="0" fieldPosition="0">
        <references count="3">
          <reference field="4294967294" count="1" selected="0">
            <x v="0"/>
          </reference>
          <reference field="1" count="1" selected="0">
            <x v="1"/>
          </reference>
          <reference field="25" count="1" selected="0">
            <x v="4"/>
          </reference>
        </references>
      </pivotArea>
    </chartFormat>
    <chartFormat chart="0" format="2" series="1">
      <pivotArea type="data" outline="0" fieldPosition="0">
        <references count="3">
          <reference field="4294967294" count="1" selected="0">
            <x v="0"/>
          </reference>
          <reference field="1" count="1" selected="0">
            <x v="2"/>
          </reference>
          <reference field="25" count="1" selected="0">
            <x v="4"/>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InsertBlankRowDefault="1"/>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2" cacheId="5"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3:L7" firstHeaderRow="1" firstDataRow="3" firstDataCol="1" rowPageCount="1" colPageCount="1"/>
  <pivotFields count="26">
    <pivotField showAll="0" insertBlankRow="1">
      <extLst>
        <ext xmlns:x14="http://schemas.microsoft.com/office/spreadsheetml/2009/9/main" uri="{2946ED86-A175-432a-8AC1-64E0C546D7DE}">
          <x14:pivotField fillDownLabels="1"/>
        </ext>
      </extLst>
    </pivotField>
    <pivotField axis="axisCol" numFmtId="14" showAll="0" insertBlankRow="1">
      <items count="7">
        <item x="0"/>
        <item x="1"/>
        <item x="2"/>
        <item x="3"/>
        <item x="4"/>
        <item x="5"/>
        <item t="default"/>
      </items>
      <extLst>
        <ext xmlns:x14="http://schemas.microsoft.com/office/spreadsheetml/2009/9/main" uri="{2946ED86-A175-432a-8AC1-64E0C546D7DE}">
          <x14:pivotField fillDownLabels="1"/>
        </ext>
      </extLst>
    </pivotField>
    <pivotField showAll="0" insertBlankRow="1">
      <items count="6">
        <item x="0"/>
        <item x="1"/>
        <item x="2"/>
        <item x="3"/>
        <item x="4"/>
        <item t="default"/>
      </items>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axis="axisRow" showAll="0" insertBlankRow="1" sortType="ascending">
      <items count="4">
        <item x="1"/>
        <item x="0"/>
        <item x="2"/>
        <item t="default"/>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axis="axisPage" multipleItemSelectionAllowed="1" showAll="0" insertBlankRow="1">
      <items count="15">
        <item h="1" x="9"/>
        <item h="1" x="10"/>
        <item h="1" x="1"/>
        <item x="2"/>
        <item h="1" x="11"/>
        <item h="1" x="5"/>
        <item h="1" x="3"/>
        <item h="1" x="4"/>
        <item h="1" x="12"/>
        <item h="1" x="13"/>
        <item h="1" x="6"/>
        <item h="1" x="7"/>
        <item h="1" x="8"/>
        <item h="1" x="0"/>
        <item t="default"/>
      </items>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numFmtId="164" showAll="0" insertBlankRow="1">
      <extLst>
        <ext xmlns:x14="http://schemas.microsoft.com/office/spreadsheetml/2009/9/main" uri="{2946ED86-A175-432a-8AC1-64E0C546D7DE}">
          <x14:pivotField fillDownLabels="1"/>
        </ext>
      </extLst>
    </pivotField>
    <pivotField numFmtId="164" showAll="0" insertBlankRow="1">
      <extLst>
        <ext xmlns:x14="http://schemas.microsoft.com/office/spreadsheetml/2009/9/main" uri="{2946ED86-A175-432a-8AC1-64E0C546D7DE}">
          <x14:pivotField fillDownLabels="1"/>
        </ext>
      </extLst>
    </pivotField>
    <pivotField numFmtId="164"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numFmtId="164" showAll="0" insertBlankRow="1">
      <extLst>
        <ext xmlns:x14="http://schemas.microsoft.com/office/spreadsheetml/2009/9/main" uri="{2946ED86-A175-432a-8AC1-64E0C546D7DE}">
          <x14:pivotField fillDownLabels="1"/>
        </ext>
      </extLst>
    </pivotField>
    <pivotField numFmtId="9" showAll="0" insertBlankRow="1">
      <extLst>
        <ext xmlns:x14="http://schemas.microsoft.com/office/spreadsheetml/2009/9/main" uri="{2946ED86-A175-432a-8AC1-64E0C546D7DE}">
          <x14:pivotField fillDownLabels="1"/>
        </ext>
      </extLst>
    </pivotField>
    <pivotField numFmtId="164" showAll="0" insertBlankRow="1">
      <extLst>
        <ext xmlns:x14="http://schemas.microsoft.com/office/spreadsheetml/2009/9/main" uri="{2946ED86-A175-432a-8AC1-64E0C546D7DE}">
          <x14:pivotField fillDownLabels="1"/>
        </ext>
      </extLst>
    </pivotField>
    <pivotField numFmtId="164" showAll="0" insertBlankRow="1">
      <extLst>
        <ext xmlns:x14="http://schemas.microsoft.com/office/spreadsheetml/2009/9/main" uri="{2946ED86-A175-432a-8AC1-64E0C546D7DE}">
          <x14:pivotField fillDownLabels="1"/>
        </ext>
      </extLst>
    </pivotField>
    <pivotField numFmtId="164" showAll="0" insertBlankRow="1">
      <extLst>
        <ext xmlns:x14="http://schemas.microsoft.com/office/spreadsheetml/2009/9/main" uri="{2946ED86-A175-432a-8AC1-64E0C546D7DE}">
          <x14:pivotField fillDownLabels="1"/>
        </ext>
      </extLst>
    </pivotField>
    <pivotField dataField="1" numFmtId="164" showAll="0" insertBlankRow="1">
      <extLst>
        <ext xmlns:x14="http://schemas.microsoft.com/office/spreadsheetml/2009/9/main" uri="{2946ED86-A175-432a-8AC1-64E0C546D7DE}">
          <x14:pivotField fillDownLabels="1"/>
        </ext>
      </extLst>
    </pivotField>
    <pivotField axis="axisCol" subtotalTop="0" showAll="0" insertBlankRow="1">
      <items count="8">
        <item h="1" x="0"/>
        <item h="1" x="1"/>
        <item h="1" x="2"/>
        <item x="3"/>
        <item x="4"/>
        <item h="1" x="5"/>
        <item h="1" x="6"/>
        <item t="default"/>
      </items>
      <extLst>
        <ext xmlns:x14="http://schemas.microsoft.com/office/spreadsheetml/2009/9/main" uri="{2946ED86-A175-432a-8AC1-64E0C546D7DE}">
          <x14:pivotField fillDownLabels="1"/>
        </ext>
      </extLst>
    </pivotField>
  </pivotFields>
  <rowFields count="1">
    <field x="6"/>
  </rowFields>
  <rowItems count="2">
    <i>
      <x/>
    </i>
    <i t="grand">
      <x/>
    </i>
  </rowItems>
  <colFields count="2">
    <field x="25"/>
    <field x="1"/>
  </colFields>
  <colItems count="11">
    <i>
      <x v="3"/>
      <x v="1"/>
    </i>
    <i r="1">
      <x v="2"/>
    </i>
    <i r="1">
      <x v="3"/>
    </i>
    <i r="1">
      <x v="4"/>
    </i>
    <i t="default">
      <x v="3"/>
    </i>
    <i>
      <x v="4"/>
      <x v="1"/>
    </i>
    <i r="1">
      <x v="2"/>
    </i>
    <i r="1">
      <x v="3"/>
    </i>
    <i r="1">
      <x v="4"/>
    </i>
    <i t="default">
      <x v="4"/>
    </i>
    <i t="grand">
      <x/>
    </i>
  </colItems>
  <pageFields count="1">
    <pageField fld="8" hier="-1"/>
  </pageFields>
  <dataFields count="1">
    <dataField name="Sum of Total" fld="24" baseField="0" baseItem="0" numFmtId="164"/>
  </dataField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 cacheId="5"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3:L8" firstHeaderRow="1" firstDataRow="3" firstDataCol="1" rowPageCount="1" colPageCount="1"/>
  <pivotFields count="26">
    <pivotField showAll="0" insertBlankRow="1">
      <extLst>
        <ext xmlns:x14="http://schemas.microsoft.com/office/spreadsheetml/2009/9/main" uri="{2946ED86-A175-432a-8AC1-64E0C546D7DE}">
          <x14:pivotField fillDownLabels="1"/>
        </ext>
      </extLst>
    </pivotField>
    <pivotField axis="axisCol" numFmtId="14" showAll="0" insertBlankRow="1">
      <items count="7">
        <item x="0"/>
        <item x="1"/>
        <item x="2"/>
        <item x="3"/>
        <item x="4"/>
        <item x="5"/>
        <item t="default"/>
      </items>
      <extLst>
        <ext xmlns:x14="http://schemas.microsoft.com/office/spreadsheetml/2009/9/main" uri="{2946ED86-A175-432a-8AC1-64E0C546D7DE}">
          <x14:pivotField fillDownLabels="1"/>
        </ext>
      </extLst>
    </pivotField>
    <pivotField showAll="0" insertBlankRow="1">
      <items count="6">
        <item x="0"/>
        <item x="1"/>
        <item x="2"/>
        <item x="3"/>
        <item x="4"/>
        <item t="default"/>
      </items>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axis="axisRow" showAll="0" insertBlankRow="1" sortType="ascending">
      <items count="4">
        <item x="1"/>
        <item x="0"/>
        <item x="2"/>
        <item t="default"/>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axis="axisPage" multipleItemSelectionAllowed="1" showAll="0" insertBlankRow="1">
      <items count="15">
        <item h="1" x="9"/>
        <item h="1" x="10"/>
        <item h="1" x="1"/>
        <item h="1" x="2"/>
        <item x="11"/>
        <item h="1" x="5"/>
        <item h="1" x="3"/>
        <item h="1" x="4"/>
        <item h="1" x="12"/>
        <item h="1" x="13"/>
        <item h="1" x="6"/>
        <item h="1" x="7"/>
        <item h="1" x="8"/>
        <item h="1" x="0"/>
        <item t="default"/>
      </items>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numFmtId="164" showAll="0" insertBlankRow="1">
      <extLst>
        <ext xmlns:x14="http://schemas.microsoft.com/office/spreadsheetml/2009/9/main" uri="{2946ED86-A175-432a-8AC1-64E0C546D7DE}">
          <x14:pivotField fillDownLabels="1"/>
        </ext>
      </extLst>
    </pivotField>
    <pivotField numFmtId="164" showAll="0" insertBlankRow="1">
      <extLst>
        <ext xmlns:x14="http://schemas.microsoft.com/office/spreadsheetml/2009/9/main" uri="{2946ED86-A175-432a-8AC1-64E0C546D7DE}">
          <x14:pivotField fillDownLabels="1"/>
        </ext>
      </extLst>
    </pivotField>
    <pivotField numFmtId="164"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numFmtId="164" showAll="0" insertBlankRow="1">
      <extLst>
        <ext xmlns:x14="http://schemas.microsoft.com/office/spreadsheetml/2009/9/main" uri="{2946ED86-A175-432a-8AC1-64E0C546D7DE}">
          <x14:pivotField fillDownLabels="1"/>
        </ext>
      </extLst>
    </pivotField>
    <pivotField numFmtId="9" showAll="0" insertBlankRow="1">
      <extLst>
        <ext xmlns:x14="http://schemas.microsoft.com/office/spreadsheetml/2009/9/main" uri="{2946ED86-A175-432a-8AC1-64E0C546D7DE}">
          <x14:pivotField fillDownLabels="1"/>
        </ext>
      </extLst>
    </pivotField>
    <pivotField numFmtId="164" showAll="0" insertBlankRow="1">
      <extLst>
        <ext xmlns:x14="http://schemas.microsoft.com/office/spreadsheetml/2009/9/main" uri="{2946ED86-A175-432a-8AC1-64E0C546D7DE}">
          <x14:pivotField fillDownLabels="1"/>
        </ext>
      </extLst>
    </pivotField>
    <pivotField numFmtId="164" showAll="0" insertBlankRow="1">
      <extLst>
        <ext xmlns:x14="http://schemas.microsoft.com/office/spreadsheetml/2009/9/main" uri="{2946ED86-A175-432a-8AC1-64E0C546D7DE}">
          <x14:pivotField fillDownLabels="1"/>
        </ext>
      </extLst>
    </pivotField>
    <pivotField numFmtId="164" showAll="0" insertBlankRow="1">
      <extLst>
        <ext xmlns:x14="http://schemas.microsoft.com/office/spreadsheetml/2009/9/main" uri="{2946ED86-A175-432a-8AC1-64E0C546D7DE}">
          <x14:pivotField fillDownLabels="1"/>
        </ext>
      </extLst>
    </pivotField>
    <pivotField dataField="1" numFmtId="164" showAll="0" insertBlankRow="1">
      <extLst>
        <ext xmlns:x14="http://schemas.microsoft.com/office/spreadsheetml/2009/9/main" uri="{2946ED86-A175-432a-8AC1-64E0C546D7DE}">
          <x14:pivotField fillDownLabels="1"/>
        </ext>
      </extLst>
    </pivotField>
    <pivotField axis="axisCol" subtotalTop="0" showAll="0" insertBlankRow="1">
      <items count="8">
        <item h="1" x="0"/>
        <item h="1" x="1"/>
        <item h="1" x="2"/>
        <item x="3"/>
        <item x="4"/>
        <item h="1" x="5"/>
        <item h="1" x="6"/>
        <item t="default"/>
      </items>
      <extLst>
        <ext xmlns:x14="http://schemas.microsoft.com/office/spreadsheetml/2009/9/main" uri="{2946ED86-A175-432a-8AC1-64E0C546D7DE}">
          <x14:pivotField fillDownLabels="1"/>
        </ext>
      </extLst>
    </pivotField>
  </pivotFields>
  <rowFields count="1">
    <field x="6"/>
  </rowFields>
  <rowItems count="3">
    <i>
      <x v="2"/>
    </i>
    <i>
      <x/>
    </i>
    <i t="grand">
      <x/>
    </i>
  </rowItems>
  <colFields count="2">
    <field x="25"/>
    <field x="1"/>
  </colFields>
  <colItems count="11">
    <i>
      <x v="3"/>
      <x v="1"/>
    </i>
    <i r="1">
      <x v="2"/>
    </i>
    <i r="1">
      <x v="3"/>
    </i>
    <i r="1">
      <x v="4"/>
    </i>
    <i t="default">
      <x v="3"/>
    </i>
    <i>
      <x v="4"/>
      <x v="1"/>
    </i>
    <i r="1">
      <x v="2"/>
    </i>
    <i r="1">
      <x v="3"/>
    </i>
    <i r="1">
      <x v="4"/>
    </i>
    <i t="default">
      <x v="4"/>
    </i>
    <i t="grand">
      <x/>
    </i>
  </colItems>
  <pageFields count="1">
    <pageField fld="8" hier="-1"/>
  </pageFields>
  <dataFields count="1">
    <dataField name="Sum of Total" fld="24" baseField="0" baseItem="0" numFmtId="164"/>
  </dataField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InsertBlankRowDefault="1"/>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RegionalPivot" cacheId="5"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6">
  <location ref="A19:E35" firstHeaderRow="1" firstDataRow="2" firstDataCol="1"/>
  <pivotFields count="26">
    <pivotField showAll="0" insertBlankRow="1">
      <extLst>
        <ext xmlns:x14="http://schemas.microsoft.com/office/spreadsheetml/2009/9/main" uri="{2946ED86-A175-432a-8AC1-64E0C546D7DE}">
          <x14:pivotField fillDownLabels="1"/>
        </ext>
      </extLst>
    </pivotField>
    <pivotField axis="axisRow" numFmtId="14" showAll="0" insertBlankRow="1">
      <items count="7">
        <item x="0"/>
        <item x="1"/>
        <item x="2"/>
        <item x="3"/>
        <item x="4"/>
        <item x="5"/>
        <item t="default"/>
      </items>
      <extLst>
        <ext xmlns:x14="http://schemas.microsoft.com/office/spreadsheetml/2009/9/main" uri="{2946ED86-A175-432a-8AC1-64E0C546D7DE}">
          <x14:pivotField fillDownLabels="1"/>
        </ext>
      </extLst>
    </pivotField>
    <pivotField showAll="0" insertBlankRow="1">
      <items count="6">
        <item x="0"/>
        <item x="1"/>
        <item x="2"/>
        <item x="3"/>
        <item x="4"/>
        <item t="default"/>
      </items>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axis="axisCol" showAll="0" insertBlankRow="1" sortType="ascending">
      <items count="4">
        <item x="1"/>
        <item x="0"/>
        <item x="2"/>
        <item t="default"/>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showAll="0" insertBlankRow="1">
      <items count="5">
        <item x="2"/>
        <item x="1"/>
        <item x="0"/>
        <item x="3"/>
        <item t="default"/>
      </items>
      <extLst>
        <ext xmlns:x14="http://schemas.microsoft.com/office/spreadsheetml/2009/9/main" uri="{2946ED86-A175-432a-8AC1-64E0C546D7DE}">
          <x14:pivotField fillDownLabels="1"/>
        </ext>
      </extLst>
    </pivotField>
    <pivotField multipleItemSelectionAllowed="1" showAll="0" insertBlankRow="1">
      <items count="15">
        <item x="9"/>
        <item x="10"/>
        <item x="1"/>
        <item x="2"/>
        <item x="11"/>
        <item x="5"/>
        <item x="3"/>
        <item x="4"/>
        <item x="12"/>
        <item x="13"/>
        <item x="6"/>
        <item x="7"/>
        <item x="8"/>
        <item x="0"/>
        <item t="default"/>
      </items>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numFmtId="164" showAll="0" insertBlankRow="1">
      <extLst>
        <ext xmlns:x14="http://schemas.microsoft.com/office/spreadsheetml/2009/9/main" uri="{2946ED86-A175-432a-8AC1-64E0C546D7DE}">
          <x14:pivotField fillDownLabels="1"/>
        </ext>
      </extLst>
    </pivotField>
    <pivotField numFmtId="164" showAll="0" insertBlankRow="1">
      <extLst>
        <ext xmlns:x14="http://schemas.microsoft.com/office/spreadsheetml/2009/9/main" uri="{2946ED86-A175-432a-8AC1-64E0C546D7DE}">
          <x14:pivotField fillDownLabels="1"/>
        </ext>
      </extLst>
    </pivotField>
    <pivotField numFmtId="164"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 numFmtId="164" showAll="0" insertBlankRow="1">
      <extLst>
        <ext xmlns:x14="http://schemas.microsoft.com/office/spreadsheetml/2009/9/main" uri="{2946ED86-A175-432a-8AC1-64E0C546D7DE}">
          <x14:pivotField fillDownLabels="1"/>
        </ext>
      </extLst>
    </pivotField>
    <pivotField numFmtId="9" showAll="0" insertBlankRow="1">
      <extLst>
        <ext xmlns:x14="http://schemas.microsoft.com/office/spreadsheetml/2009/9/main" uri="{2946ED86-A175-432a-8AC1-64E0C546D7DE}">
          <x14:pivotField fillDownLabels="1"/>
        </ext>
      </extLst>
    </pivotField>
    <pivotField numFmtId="164" showAll="0" insertBlankRow="1">
      <extLst>
        <ext xmlns:x14="http://schemas.microsoft.com/office/spreadsheetml/2009/9/main" uri="{2946ED86-A175-432a-8AC1-64E0C546D7DE}">
          <x14:pivotField fillDownLabels="1"/>
        </ext>
      </extLst>
    </pivotField>
    <pivotField numFmtId="164" showAll="0" insertBlankRow="1">
      <extLst>
        <ext xmlns:x14="http://schemas.microsoft.com/office/spreadsheetml/2009/9/main" uri="{2946ED86-A175-432a-8AC1-64E0C546D7DE}">
          <x14:pivotField fillDownLabels="1"/>
        </ext>
      </extLst>
    </pivotField>
    <pivotField numFmtId="164" showAll="0" insertBlankRow="1">
      <extLst>
        <ext xmlns:x14="http://schemas.microsoft.com/office/spreadsheetml/2009/9/main" uri="{2946ED86-A175-432a-8AC1-64E0C546D7DE}">
          <x14:pivotField fillDownLabels="1"/>
        </ext>
      </extLst>
    </pivotField>
    <pivotField dataField="1" numFmtId="164" showAll="0" insertBlankRow="1">
      <extLst>
        <ext xmlns:x14="http://schemas.microsoft.com/office/spreadsheetml/2009/9/main" uri="{2946ED86-A175-432a-8AC1-64E0C546D7DE}">
          <x14:pivotField fillDownLabels="1"/>
        </ext>
      </extLst>
    </pivotField>
    <pivotField axis="axisRow" subtotalTop="0" showAll="0" insertBlankRow="1">
      <items count="8">
        <item h="1" x="0"/>
        <item h="1" x="1"/>
        <item h="1" x="2"/>
        <item x="3"/>
        <item x="4"/>
        <item h="1" x="5"/>
        <item h="1" x="6"/>
        <item t="default"/>
      </items>
      <extLst>
        <ext xmlns:x14="http://schemas.microsoft.com/office/spreadsheetml/2009/9/main" uri="{2946ED86-A175-432a-8AC1-64E0C546D7DE}">
          <x14:pivotField fillDownLabels="1"/>
        </ext>
      </extLst>
    </pivotField>
  </pivotFields>
  <rowFields count="2">
    <field x="25"/>
    <field x="1"/>
  </rowFields>
  <rowItems count="15">
    <i>
      <x v="3"/>
    </i>
    <i r="1">
      <x v="1"/>
    </i>
    <i r="1">
      <x v="2"/>
    </i>
    <i r="1">
      <x v="3"/>
    </i>
    <i r="1">
      <x v="4"/>
    </i>
    <i t="default">
      <x v="3"/>
    </i>
    <i t="blank">
      <x v="3"/>
    </i>
    <i>
      <x v="4"/>
    </i>
    <i r="1">
      <x v="1"/>
    </i>
    <i r="1">
      <x v="2"/>
    </i>
    <i r="1">
      <x v="3"/>
    </i>
    <i r="1">
      <x v="4"/>
    </i>
    <i t="default">
      <x v="4"/>
    </i>
    <i t="blank">
      <x v="4"/>
    </i>
    <i t="grand">
      <x/>
    </i>
  </rowItems>
  <colFields count="1">
    <field x="6"/>
  </colFields>
  <colItems count="4">
    <i>
      <x v="2"/>
    </i>
    <i>
      <x v="1"/>
    </i>
    <i>
      <x/>
    </i>
    <i t="grand">
      <x/>
    </i>
  </colItems>
  <dataFields count="1">
    <dataField name="Sum of Total" fld="24" baseField="0" baseItem="0" numFmtId="164"/>
  </dataFields>
  <chartFormats count="12">
    <chartFormat chart="0" format="0" series="1">
      <pivotArea type="data" outline="0" fieldPosition="0">
        <references count="3">
          <reference field="4294967294" count="1" selected="0">
            <x v="0"/>
          </reference>
          <reference field="1" count="1" selected="0">
            <x v="1"/>
          </reference>
          <reference field="25" count="1" selected="0">
            <x v="3"/>
          </reference>
        </references>
      </pivotArea>
    </chartFormat>
    <chartFormat chart="0" format="1" series="1">
      <pivotArea type="data" outline="0" fieldPosition="0">
        <references count="3">
          <reference field="4294967294" count="1" selected="0">
            <x v="0"/>
          </reference>
          <reference field="1" count="1" selected="0">
            <x v="2"/>
          </reference>
          <reference field="25" count="1" selected="0">
            <x v="3"/>
          </reference>
        </references>
      </pivotArea>
    </chartFormat>
    <chartFormat chart="0" format="2" series="1">
      <pivotArea type="data" outline="0" fieldPosition="0">
        <references count="3">
          <reference field="4294967294" count="1" selected="0">
            <x v="0"/>
          </reference>
          <reference field="1" count="1" selected="0">
            <x v="3"/>
          </reference>
          <reference field="25" count="1" selected="0">
            <x v="3"/>
          </reference>
        </references>
      </pivotArea>
    </chartFormat>
    <chartFormat chart="0" format="3" series="1">
      <pivotArea type="data" outline="0" fieldPosition="0">
        <references count="3">
          <reference field="4294967294" count="1" selected="0">
            <x v="0"/>
          </reference>
          <reference field="1" count="1" selected="0">
            <x v="4"/>
          </reference>
          <reference field="25" count="1" selected="0">
            <x v="3"/>
          </reference>
        </references>
      </pivotArea>
    </chartFormat>
    <chartFormat chart="0" format="4" series="1">
      <pivotArea type="data" outline="0" fieldPosition="0">
        <references count="3">
          <reference field="4294967294" count="1" selected="0">
            <x v="0"/>
          </reference>
          <reference field="1" count="1" selected="0">
            <x v="1"/>
          </reference>
          <reference field="25" count="1" selected="0">
            <x v="4"/>
          </reference>
        </references>
      </pivotArea>
    </chartFormat>
    <chartFormat chart="0" format="5" series="1">
      <pivotArea type="data" outline="0" fieldPosition="0">
        <references count="3">
          <reference field="4294967294" count="1" selected="0">
            <x v="0"/>
          </reference>
          <reference field="1" count="1" selected="0">
            <x v="2"/>
          </reference>
          <reference field="25" count="1" selected="0">
            <x v="4"/>
          </reference>
        </references>
      </pivotArea>
    </chartFormat>
    <chartFormat chart="0" format="6" series="1">
      <pivotArea type="data" outline="0" fieldPosition="0">
        <references count="3">
          <reference field="4294967294" count="1" selected="0">
            <x v="0"/>
          </reference>
          <reference field="1" count="1" selected="0">
            <x v="3"/>
          </reference>
          <reference field="25" count="1" selected="0">
            <x v="4"/>
          </reference>
        </references>
      </pivotArea>
    </chartFormat>
    <chartFormat chart="0" format="7" series="1">
      <pivotArea type="data" outline="0" fieldPosition="0">
        <references count="3">
          <reference field="4294967294" count="1" selected="0">
            <x v="0"/>
          </reference>
          <reference field="1" count="1" selected="0">
            <x v="4"/>
          </reference>
          <reference field="25" count="1" selected="0">
            <x v="4"/>
          </reference>
        </references>
      </pivotArea>
    </chartFormat>
    <chartFormat chart="0" format="8" series="1">
      <pivotArea type="data" outline="0" fieldPosition="0">
        <references count="2">
          <reference field="4294967294" count="1" selected="0">
            <x v="0"/>
          </reference>
          <reference field="6" count="1" selected="0">
            <x v="0"/>
          </reference>
        </references>
      </pivotArea>
    </chartFormat>
    <chartFormat chart="0" format="9" series="1">
      <pivotArea type="data" outline="0" fieldPosition="0">
        <references count="2">
          <reference field="4294967294" count="1" selected="0">
            <x v="0"/>
          </reference>
          <reference field="6" count="1" selected="0">
            <x v="2"/>
          </reference>
        </references>
      </pivotArea>
    </chartFormat>
    <chartFormat chart="0" format="10" series="1">
      <pivotArea type="data" outline="0" fieldPosition="0">
        <references count="2">
          <reference field="4294967294" count="1" selected="0">
            <x v="0"/>
          </reference>
          <reference field="6" count="1" selected="0">
            <x v="1"/>
          </reference>
        </references>
      </pivotArea>
    </chartFormat>
    <chartFormat chart="0" format="11">
      <pivotArea type="data" outline="0" fieldPosition="0">
        <references count="4">
          <reference field="4294967294" count="1" selected="0">
            <x v="0"/>
          </reference>
          <reference field="1" count="1" selected="0">
            <x v="1"/>
          </reference>
          <reference field="6" count="1" selected="0">
            <x v="1"/>
          </reference>
          <reference field="25" count="1" selected="0">
            <x v="4"/>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InsertBlankRowDefault="1"/>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1" cacheId="5"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4">
  <location ref="O3:P8" firstHeaderRow="1" firstDataRow="1" firstDataCol="1"/>
  <pivotFields count="26">
    <pivotField subtotalTop="0" showAll="0"/>
    <pivotField numFmtId="14" subtotalTop="0" showAll="0">
      <items count="7">
        <item x="0"/>
        <item x="1"/>
        <item x="2"/>
        <item x="3"/>
        <item x="4"/>
        <item x="5"/>
        <item t="default"/>
      </items>
    </pivotField>
    <pivotField subtotalTop="0" showAll="0"/>
    <pivotField subtotalTop="0" showAll="0"/>
    <pivotField subtotalTop="0" showAll="0"/>
    <pivotField subtotalTop="0" showAll="0"/>
    <pivotField subtotalTop="0" showAll="0"/>
    <pivotField axis="axisRow" subtotalTop="0" showAll="0" sortType="ascending">
      <items count="5">
        <item x="2"/>
        <item x="1"/>
        <item x="0"/>
        <item x="3"/>
        <item t="default"/>
      </items>
      <autoSortScope>
        <pivotArea dataOnly="0" outline="0" fieldPosition="0">
          <references count="1">
            <reference field="4294967294" count="1" selected="0">
              <x v="0"/>
            </reference>
          </references>
        </pivotArea>
      </autoSortScope>
    </pivotField>
    <pivotField subtotalTop="0" showAll="0">
      <items count="15">
        <item x="9"/>
        <item x="10"/>
        <item x="1"/>
        <item x="2"/>
        <item x="11"/>
        <item x="5"/>
        <item x="3"/>
        <item x="4"/>
        <item x="12"/>
        <item x="13"/>
        <item x="6"/>
        <item x="7"/>
        <item x="8"/>
        <item x="0"/>
        <item t="default"/>
      </items>
    </pivotField>
    <pivotField subtotalTop="0" showAll="0"/>
    <pivotField subtotalTop="0" showAll="0"/>
    <pivotField subtotalTop="0" showAll="0"/>
    <pivotField subtotalTop="0" showAll="0"/>
    <pivotField subtotalTop="0" showAll="0"/>
    <pivotField subtotalTop="0" showAll="0"/>
    <pivotField numFmtId="164" subtotalTop="0" showAll="0"/>
    <pivotField numFmtId="164" subtotalTop="0" showAll="0"/>
    <pivotField numFmtId="164" subtotalTop="0" showAll="0"/>
    <pivotField subtotalTop="0" showAll="0"/>
    <pivotField numFmtId="164" subtotalTop="0" showAll="0"/>
    <pivotField numFmtId="9" subtotalTop="0" showAll="0"/>
    <pivotField numFmtId="164" subtotalTop="0" showAll="0"/>
    <pivotField numFmtId="164" subtotalTop="0" showAll="0"/>
    <pivotField numFmtId="164" subtotalTop="0" showAll="0"/>
    <pivotField dataField="1" numFmtId="164" subtotalTop="0" showAll="0"/>
    <pivotField showAll="0">
      <items count="8">
        <item x="0"/>
        <item x="1"/>
        <item x="2"/>
        <item x="3"/>
        <item x="4"/>
        <item x="5"/>
        <item x="6"/>
        <item t="default"/>
      </items>
    </pivotField>
  </pivotFields>
  <rowFields count="1">
    <field x="7"/>
  </rowFields>
  <rowItems count="5">
    <i>
      <x/>
    </i>
    <i>
      <x v="3"/>
    </i>
    <i>
      <x v="2"/>
    </i>
    <i>
      <x v="1"/>
    </i>
    <i t="grand">
      <x/>
    </i>
  </rowItems>
  <colItems count="1">
    <i/>
  </colItems>
  <dataFields count="1">
    <dataField name="Count of Total" fld="24" subtotal="count" baseField="0" baseItem="0"/>
  </dataFields>
  <chartFormats count="5">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7" count="1" selected="0">
            <x v="0"/>
          </reference>
        </references>
      </pivotArea>
    </chartFormat>
    <chartFormat chart="1" format="2">
      <pivotArea type="data" outline="0" fieldPosition="0">
        <references count="2">
          <reference field="4294967294" count="1" selected="0">
            <x v="0"/>
          </reference>
          <reference field="7" count="1" selected="0">
            <x v="1"/>
          </reference>
        </references>
      </pivotArea>
    </chartFormat>
    <chartFormat chart="1" format="3">
      <pivotArea type="data" outline="0" fieldPosition="0">
        <references count="2">
          <reference field="4294967294" count="1" selected="0">
            <x v="0"/>
          </reference>
          <reference field="7" count="1" selected="0">
            <x v="2"/>
          </reference>
        </references>
      </pivotArea>
    </chartFormat>
    <chartFormat chart="1" format="4">
      <pivotArea type="data" outline="0" fieldPosition="0">
        <references count="2">
          <reference field="4294967294" count="1" selected="0">
            <x v="0"/>
          </reference>
          <reference field="7" count="1" selected="0">
            <x v="3"/>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00000000-0013-0000-FFFF-FFFF01000000}" sourceName="State">
  <pivotTables>
    <pivotTable tabId="11" name="RegionalPivot"/>
  </pivotTables>
  <data>
    <tabular pivotCacheId="1">
      <items count="3">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Type" xr10:uid="{00000000-0013-0000-FFFF-FFFF02000000}" sourceName="Customer Type">
  <pivotTables>
    <pivotTable tabId="11" name="RegionalPivot"/>
  </pivotTables>
  <data>
    <tabular pivotCacheId="1">
      <items count="4">
        <i x="2" s="1"/>
        <i x="1" s="1"/>
        <i x="0"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Manager" xr10:uid="{00000000-0013-0000-FFFF-FFFF03000000}" sourceName="Account Manager">
  <pivotTables>
    <pivotTable tabId="11" name="RegionalPivot"/>
    <pivotTable tabId="11" name="PivotTable1"/>
  </pivotTables>
  <data>
    <tabular pivotCacheId="1">
      <items count="14">
        <i x="9" s="1"/>
        <i x="10" s="1"/>
        <i x="1" s="1"/>
        <i x="2" s="1"/>
        <i x="11" s="1"/>
        <i x="5" s="1"/>
        <i x="3" s="1"/>
        <i x="4" s="1"/>
        <i x="12" s="1"/>
        <i x="13" s="1"/>
        <i x="6" s="1"/>
        <i x="7" s="1"/>
        <i x="8"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00000000-0014-0000-FFFF-FFFF01000000}" cache="Slicer_State" caption="State" style="SlicerStyleDark1" rowHeight="245835"/>
  <slicer name="Customer Type" xr10:uid="{00000000-0014-0000-FFFF-FFFF02000000}" cache="Slicer_Customer_Type" caption="Customer Type" style="SlicerStyleDark3" rowHeight="245835"/>
  <slicer name="Account Manager" xr10:uid="{00000000-0014-0000-FFFF-FFFF03000000}" cache="Slicer_Account_Manager" caption="Account Manager" style="SlicerStyleDark5" rowHeight="24583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ales" displayName="Sales" ref="A5:Y1044" totalsRowShown="0" dataDxfId="25" headerRowCellStyle="Accent5">
  <autoFilter ref="A5:Y1044" xr:uid="{00000000-0009-0000-0100-000001000000}"/>
  <tableColumns count="25">
    <tableColumn id="1" xr3:uid="{00000000-0010-0000-0000-000001000000}" name="Order No" dataDxfId="24"/>
    <tableColumn id="2" xr3:uid="{00000000-0010-0000-0000-000002000000}" name="Order Date" dataDxfId="23"/>
    <tableColumn id="3" xr3:uid="{00000000-0010-0000-0000-000003000000}" name="Order Year" dataDxfId="22">
      <calculatedColumnFormula>TEXT(B6,"yyyy")</calculatedColumnFormula>
    </tableColumn>
    <tableColumn id="4" xr3:uid="{00000000-0010-0000-0000-000004000000}" name="Customer Name" dataDxfId="21"/>
    <tableColumn id="5" xr3:uid="{00000000-0010-0000-0000-000005000000}" name="Address" dataDxfId="20"/>
    <tableColumn id="6" xr3:uid="{00000000-0010-0000-0000-000006000000}" name="City" dataDxfId="19"/>
    <tableColumn id="7" xr3:uid="{00000000-0010-0000-0000-000007000000}" name="State" dataDxfId="18"/>
    <tableColumn id="8" xr3:uid="{00000000-0010-0000-0000-000008000000}" name="Customer Type" dataDxfId="17"/>
    <tableColumn id="9" xr3:uid="{00000000-0010-0000-0000-000009000000}" name="Account Manager" dataDxfId="16"/>
    <tableColumn id="10" xr3:uid="{00000000-0010-0000-0000-00000A000000}" name="Order Priority" dataDxfId="15"/>
    <tableColumn id="11" xr3:uid="{00000000-0010-0000-0000-00000B000000}" name="Product Name" dataDxfId="14"/>
    <tableColumn id="12" xr3:uid="{00000000-0010-0000-0000-00000C000000}" name="Product Category" dataDxfId="13"/>
    <tableColumn id="13" xr3:uid="{00000000-0010-0000-0000-00000D000000}" name="Product Container" dataDxfId="12"/>
    <tableColumn id="14" xr3:uid="{00000000-0010-0000-0000-00000E000000}" name="Ship Mode" dataDxfId="11"/>
    <tableColumn id="15" xr3:uid="{00000000-0010-0000-0000-00000F000000}" name="Ship Date" dataDxfId="10"/>
    <tableColumn id="16" xr3:uid="{00000000-0010-0000-0000-000010000000}" name="Cost Price" dataDxfId="9"/>
    <tableColumn id="17" xr3:uid="{00000000-0010-0000-0000-000011000000}" name="Retail Price" dataDxfId="8"/>
    <tableColumn id="18" xr3:uid="{00000000-0010-0000-0000-000012000000}" name="Profit Margin" dataDxfId="7">
      <calculatedColumnFormula>Q6-P6</calculatedColumnFormula>
    </tableColumn>
    <tableColumn id="19" xr3:uid="{00000000-0010-0000-0000-000013000000}" name="Order Quantity" dataDxfId="6"/>
    <tableColumn id="20" xr3:uid="{00000000-0010-0000-0000-000014000000}" name="Sub Total" dataDxfId="5">
      <calculatedColumnFormula>Q6*S6</calculatedColumnFormula>
    </tableColumn>
    <tableColumn id="21" xr3:uid="{00000000-0010-0000-0000-000015000000}" name="Discount %" dataDxfId="4"/>
    <tableColumn id="22" xr3:uid="{00000000-0010-0000-0000-000016000000}" name="Discount $" dataDxfId="3">
      <calculatedColumnFormula>T6*U6</calculatedColumnFormula>
    </tableColumn>
    <tableColumn id="23" xr3:uid="{00000000-0010-0000-0000-000017000000}" name="Order Total" dataDxfId="2">
      <calculatedColumnFormula>T6-V6</calculatedColumnFormula>
    </tableColumn>
    <tableColumn id="24" xr3:uid="{00000000-0010-0000-0000-000018000000}" name="Shipping Cost" dataDxfId="1"/>
    <tableColumn id="25" xr3:uid="{00000000-0010-0000-0000-000019000000}" name="Total" dataDxfId="0">
      <calculatedColumnFormula>W6+X6</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5.xml"/><Relationship Id="rId1" Type="http://schemas.openxmlformats.org/officeDocument/2006/relationships/pivotTable" Target="../pivotTables/pivotTable4.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Y1044"/>
  <sheetViews>
    <sheetView zoomScaleNormal="100" workbookViewId="0">
      <pane xSplit="2" ySplit="5" topLeftCell="C6" activePane="bottomRight" state="frozen"/>
      <selection pane="topRight" activeCell="C1" sqref="C1"/>
      <selection pane="bottomLeft" activeCell="A6" sqref="A6"/>
      <selection pane="bottomRight" activeCell="K11" sqref="K11"/>
    </sheetView>
  </sheetViews>
  <sheetFormatPr baseColWidth="10" defaultColWidth="8.83203125" defaultRowHeight="15" x14ac:dyDescent="0.2"/>
  <cols>
    <col min="1" max="1" width="10.5" customWidth="1"/>
    <col min="2" max="2" width="13.33203125" customWidth="1"/>
    <col min="3" max="3" width="11.6640625" customWidth="1"/>
    <col min="4" max="4" width="18.6640625" hidden="1" customWidth="1"/>
    <col min="5" max="5" width="27.33203125" hidden="1" customWidth="1"/>
    <col min="6" max="6" width="10.5" hidden="1" customWidth="1"/>
    <col min="7" max="7" width="9" customWidth="1"/>
    <col min="8" max="8" width="15.1640625" customWidth="1"/>
    <col min="9" max="9" width="17.5" customWidth="1"/>
    <col min="10" max="10" width="15" customWidth="1"/>
    <col min="11" max="11" width="27.1640625" customWidth="1"/>
    <col min="12" max="12" width="18.5" customWidth="1"/>
    <col min="13" max="13" width="19" customWidth="1"/>
    <col min="14" max="14" width="12.5" customWidth="1"/>
    <col min="15" max="15" width="11.33203125" customWidth="1"/>
    <col min="16" max="16" width="12" customWidth="1"/>
    <col min="17" max="17" width="12.6640625" customWidth="1"/>
    <col min="18" max="18" width="13.6640625" customWidth="1"/>
    <col min="19" max="19" width="15.33203125" customWidth="1"/>
    <col min="20" max="20" width="12.1640625" customWidth="1"/>
    <col min="21" max="21" width="11.83203125" customWidth="1"/>
    <col min="22" max="22" width="11.5" customWidth="1"/>
    <col min="23" max="23" width="12.5" customWidth="1"/>
    <col min="24" max="24" width="14.5" customWidth="1"/>
    <col min="25" max="25" width="10.33203125" customWidth="1"/>
  </cols>
  <sheetData>
    <row r="1" spans="1:25" ht="34" customHeight="1" x14ac:dyDescent="0.35">
      <c r="A1" s="9" t="s">
        <v>1875</v>
      </c>
      <c r="B1" s="8"/>
      <c r="C1" s="8"/>
      <c r="D1" s="8"/>
      <c r="E1" s="8"/>
      <c r="F1" s="8"/>
      <c r="G1" s="8"/>
      <c r="H1" s="8"/>
      <c r="I1" s="8"/>
      <c r="J1" s="8"/>
      <c r="K1" s="8"/>
      <c r="L1" s="8"/>
      <c r="M1" s="8"/>
      <c r="N1" s="8"/>
      <c r="O1" s="8"/>
      <c r="P1" s="8"/>
      <c r="Q1" s="8"/>
      <c r="R1" s="8"/>
      <c r="S1" s="8"/>
      <c r="T1" s="8"/>
      <c r="U1" s="8"/>
      <c r="V1" s="8"/>
      <c r="W1" s="8"/>
      <c r="X1" s="8"/>
      <c r="Y1" s="8"/>
    </row>
    <row r="3" spans="1:25" x14ac:dyDescent="0.2">
      <c r="A3" s="7" t="s">
        <v>1877</v>
      </c>
      <c r="B3" s="10">
        <f>COUNTA(Order_No)</f>
        <v>1039</v>
      </c>
      <c r="I3" s="7" t="s">
        <v>1879</v>
      </c>
      <c r="J3" s="10">
        <f>COUNTBLANK(Order_Priority)</f>
        <v>2</v>
      </c>
      <c r="N3" s="7" t="s">
        <v>1878</v>
      </c>
      <c r="O3" s="10">
        <f>COUNT(Ship_Date)</f>
        <v>1037</v>
      </c>
    </row>
    <row r="5" spans="1:25" ht="18" customHeight="1" x14ac:dyDescent="0.2">
      <c r="A5" s="7" t="s">
        <v>859</v>
      </c>
      <c r="B5" s="7" t="s">
        <v>0</v>
      </c>
      <c r="C5" s="7" t="s">
        <v>1880</v>
      </c>
      <c r="D5" s="7" t="s">
        <v>1</v>
      </c>
      <c r="E5" s="7" t="s">
        <v>2</v>
      </c>
      <c r="F5" s="7" t="s">
        <v>3</v>
      </c>
      <c r="G5" s="7" t="s">
        <v>4</v>
      </c>
      <c r="H5" s="7" t="s">
        <v>5</v>
      </c>
      <c r="I5" s="7" t="s">
        <v>6</v>
      </c>
      <c r="J5" s="7" t="s">
        <v>7</v>
      </c>
      <c r="K5" s="7" t="s">
        <v>8</v>
      </c>
      <c r="L5" s="7" t="s">
        <v>9</v>
      </c>
      <c r="M5" s="7" t="s">
        <v>10</v>
      </c>
      <c r="N5" s="7" t="s">
        <v>11</v>
      </c>
      <c r="O5" s="7" t="s">
        <v>12</v>
      </c>
      <c r="P5" s="7" t="s">
        <v>13</v>
      </c>
      <c r="Q5" s="7" t="s">
        <v>14</v>
      </c>
      <c r="R5" s="7" t="s">
        <v>1876</v>
      </c>
      <c r="S5" s="7" t="s">
        <v>15</v>
      </c>
      <c r="T5" s="7" t="s">
        <v>855</v>
      </c>
      <c r="U5" s="7" t="s">
        <v>857</v>
      </c>
      <c r="V5" s="7" t="s">
        <v>858</v>
      </c>
      <c r="W5" s="7" t="s">
        <v>856</v>
      </c>
      <c r="X5" s="7" t="s">
        <v>16</v>
      </c>
      <c r="Y5" s="7" t="s">
        <v>854</v>
      </c>
    </row>
    <row r="6" spans="1:25" x14ac:dyDescent="0.2">
      <c r="A6" t="s">
        <v>945</v>
      </c>
      <c r="B6" s="1">
        <v>41316</v>
      </c>
      <c r="C6" s="2" t="str">
        <f t="shared" ref="C6:C69" si="0">TEXT(B6,"yyyy")</f>
        <v>2013</v>
      </c>
      <c r="D6" s="2" t="s">
        <v>250</v>
      </c>
      <c r="E6" s="2" t="s">
        <v>251</v>
      </c>
      <c r="F6" s="2" t="s">
        <v>19</v>
      </c>
      <c r="G6" s="2" t="s">
        <v>20</v>
      </c>
      <c r="H6" s="2" t="s">
        <v>21</v>
      </c>
      <c r="I6" s="2" t="s">
        <v>92</v>
      </c>
      <c r="J6" s="2" t="s">
        <v>44</v>
      </c>
      <c r="K6" s="2" t="s">
        <v>411</v>
      </c>
      <c r="L6" s="2" t="s">
        <v>32</v>
      </c>
      <c r="M6" s="2" t="s">
        <v>26</v>
      </c>
      <c r="N6" s="2" t="s">
        <v>27</v>
      </c>
      <c r="O6" s="1">
        <v>41317</v>
      </c>
      <c r="P6" s="3">
        <v>3.52</v>
      </c>
      <c r="Q6" s="3">
        <v>5.58</v>
      </c>
      <c r="R6" s="3">
        <f t="shared" ref="R6:R69" si="1">Q6-P6</f>
        <v>2.06</v>
      </c>
      <c r="S6" s="2">
        <v>29</v>
      </c>
      <c r="T6" s="3">
        <f t="shared" ref="T6:T69" si="2">Q6*S6</f>
        <v>161.82</v>
      </c>
      <c r="U6" s="4">
        <v>0.03</v>
      </c>
      <c r="V6" s="6">
        <f t="shared" ref="V6:V69" si="3">T6*U6</f>
        <v>4.8545999999999996</v>
      </c>
      <c r="W6" s="6">
        <f t="shared" ref="W6:W69" si="4">T6-V6</f>
        <v>156.96539999999999</v>
      </c>
      <c r="X6" s="3">
        <v>2.99</v>
      </c>
      <c r="Y6" s="5">
        <f t="shared" ref="Y6:Y69" si="5">W6+X6</f>
        <v>159.9554</v>
      </c>
    </row>
    <row r="7" spans="1:25" x14ac:dyDescent="0.2">
      <c r="A7" t="s">
        <v>946</v>
      </c>
      <c r="B7" s="1">
        <v>41316</v>
      </c>
      <c r="C7" s="2" t="str">
        <f t="shared" si="0"/>
        <v>2013</v>
      </c>
      <c r="D7" s="2" t="s">
        <v>45</v>
      </c>
      <c r="E7" s="2" t="s">
        <v>1911</v>
      </c>
      <c r="F7" s="2" t="s">
        <v>19</v>
      </c>
      <c r="G7" s="2" t="s">
        <v>20</v>
      </c>
      <c r="H7" s="2" t="s">
        <v>21</v>
      </c>
      <c r="I7" s="2" t="s">
        <v>22</v>
      </c>
      <c r="J7" s="2" t="s">
        <v>44</v>
      </c>
      <c r="K7" s="2" t="s">
        <v>157</v>
      </c>
      <c r="L7" s="2" t="s">
        <v>32</v>
      </c>
      <c r="M7" s="2" t="s">
        <v>33</v>
      </c>
      <c r="N7" s="2" t="s">
        <v>27</v>
      </c>
      <c r="O7" s="1">
        <v>41317</v>
      </c>
      <c r="P7" s="3">
        <v>2.39</v>
      </c>
      <c r="Q7" s="3">
        <v>4.26</v>
      </c>
      <c r="R7" s="3">
        <f t="shared" si="1"/>
        <v>1.8699999999999997</v>
      </c>
      <c r="S7" s="2">
        <v>29</v>
      </c>
      <c r="T7" s="3">
        <f t="shared" si="2"/>
        <v>123.53999999999999</v>
      </c>
      <c r="U7" s="4">
        <v>0.03</v>
      </c>
      <c r="V7" s="6">
        <f t="shared" si="3"/>
        <v>3.7061999999999995</v>
      </c>
      <c r="W7" s="6">
        <f t="shared" si="4"/>
        <v>119.8338</v>
      </c>
      <c r="X7" s="3">
        <v>1.2</v>
      </c>
      <c r="Y7" s="5">
        <f t="shared" si="5"/>
        <v>121.0338</v>
      </c>
    </row>
    <row r="8" spans="1:25" x14ac:dyDescent="0.2">
      <c r="A8" t="s">
        <v>947</v>
      </c>
      <c r="B8" s="1">
        <v>41317</v>
      </c>
      <c r="C8" s="2" t="str">
        <f t="shared" si="0"/>
        <v>2013</v>
      </c>
      <c r="D8" s="2" t="s">
        <v>853</v>
      </c>
      <c r="E8" s="2" t="s">
        <v>130</v>
      </c>
      <c r="F8" s="2" t="s">
        <v>36</v>
      </c>
      <c r="G8" s="2" t="s">
        <v>37</v>
      </c>
      <c r="H8" s="2" t="s">
        <v>50</v>
      </c>
      <c r="I8" s="2" t="s">
        <v>79</v>
      </c>
      <c r="J8" s="2" t="s">
        <v>66</v>
      </c>
      <c r="K8" s="2" t="s">
        <v>480</v>
      </c>
      <c r="L8" s="2" t="s">
        <v>32</v>
      </c>
      <c r="M8" s="2" t="s">
        <v>33</v>
      </c>
      <c r="N8" s="2" t="s">
        <v>89</v>
      </c>
      <c r="O8" s="1">
        <v>41319</v>
      </c>
      <c r="P8" s="3">
        <v>2.41</v>
      </c>
      <c r="Q8" s="3">
        <v>3.71</v>
      </c>
      <c r="R8" s="3">
        <f t="shared" si="1"/>
        <v>1.2999999999999998</v>
      </c>
      <c r="S8" s="2">
        <v>42</v>
      </c>
      <c r="T8" s="3">
        <f t="shared" si="2"/>
        <v>155.82</v>
      </c>
      <c r="U8" s="4">
        <v>7.0000000000000007E-2</v>
      </c>
      <c r="V8" s="6">
        <f t="shared" si="3"/>
        <v>10.907400000000001</v>
      </c>
      <c r="W8" s="6">
        <f t="shared" si="4"/>
        <v>144.9126</v>
      </c>
      <c r="X8" s="3">
        <v>1.93</v>
      </c>
      <c r="Y8" s="5">
        <f t="shared" si="5"/>
        <v>146.8426</v>
      </c>
    </row>
    <row r="9" spans="1:25" x14ac:dyDescent="0.2">
      <c r="A9" t="s">
        <v>948</v>
      </c>
      <c r="B9" s="1">
        <v>41318</v>
      </c>
      <c r="C9" s="2" t="str">
        <f t="shared" si="0"/>
        <v>2013</v>
      </c>
      <c r="D9" s="2" t="s">
        <v>576</v>
      </c>
      <c r="E9" s="2" t="s">
        <v>498</v>
      </c>
      <c r="F9" s="2" t="s">
        <v>19</v>
      </c>
      <c r="G9" s="2" t="s">
        <v>20</v>
      </c>
      <c r="H9" s="2" t="s">
        <v>21</v>
      </c>
      <c r="I9" s="2" t="s">
        <v>92</v>
      </c>
      <c r="J9" s="2" t="s">
        <v>44</v>
      </c>
      <c r="K9" s="2" t="s">
        <v>61</v>
      </c>
      <c r="L9" s="2" t="s">
        <v>25</v>
      </c>
      <c r="M9" s="2" t="s">
        <v>62</v>
      </c>
      <c r="N9" s="2" t="s">
        <v>63</v>
      </c>
      <c r="O9" s="1">
        <v>41320</v>
      </c>
      <c r="P9" s="3">
        <v>75</v>
      </c>
      <c r="Q9" s="3">
        <v>120.97</v>
      </c>
      <c r="R9" s="3">
        <f t="shared" si="1"/>
        <v>45.97</v>
      </c>
      <c r="S9" s="2">
        <v>6</v>
      </c>
      <c r="T9" s="3">
        <f t="shared" si="2"/>
        <v>725.81999999999994</v>
      </c>
      <c r="U9" s="4">
        <v>0.08</v>
      </c>
      <c r="V9" s="6">
        <f t="shared" si="3"/>
        <v>58.065599999999996</v>
      </c>
      <c r="W9" s="6">
        <f t="shared" si="4"/>
        <v>667.75439999999992</v>
      </c>
      <c r="X9" s="3">
        <v>26.3</v>
      </c>
      <c r="Y9" s="5">
        <f t="shared" si="5"/>
        <v>694.05439999999987</v>
      </c>
    </row>
    <row r="10" spans="1:25" x14ac:dyDescent="0.2">
      <c r="A10" t="s">
        <v>949</v>
      </c>
      <c r="B10" s="1">
        <v>41319</v>
      </c>
      <c r="C10" s="2" t="str">
        <f t="shared" si="0"/>
        <v>2013</v>
      </c>
      <c r="D10" s="2" t="s">
        <v>112</v>
      </c>
      <c r="E10" s="2" t="s">
        <v>113</v>
      </c>
      <c r="F10" s="2" t="s">
        <v>36</v>
      </c>
      <c r="G10" s="2" t="s">
        <v>37</v>
      </c>
      <c r="H10" s="2" t="s">
        <v>29</v>
      </c>
      <c r="I10" s="2" t="s">
        <v>56</v>
      </c>
      <c r="J10" s="2" t="s">
        <v>66</v>
      </c>
      <c r="K10" s="2" t="s">
        <v>223</v>
      </c>
      <c r="L10" s="2" t="s">
        <v>32</v>
      </c>
      <c r="M10" s="2" t="s">
        <v>33</v>
      </c>
      <c r="N10" s="2" t="s">
        <v>27</v>
      </c>
      <c r="O10" s="1">
        <v>41320</v>
      </c>
      <c r="P10" s="3">
        <v>0.9</v>
      </c>
      <c r="Q10" s="3">
        <v>2.1</v>
      </c>
      <c r="R10" s="3">
        <f t="shared" si="1"/>
        <v>1.2000000000000002</v>
      </c>
      <c r="S10" s="2">
        <v>17</v>
      </c>
      <c r="T10" s="3">
        <f t="shared" si="2"/>
        <v>35.700000000000003</v>
      </c>
      <c r="U10" s="4">
        <v>0.03</v>
      </c>
      <c r="V10" s="6">
        <f t="shared" si="3"/>
        <v>1.071</v>
      </c>
      <c r="W10" s="6">
        <f t="shared" si="4"/>
        <v>34.629000000000005</v>
      </c>
      <c r="X10" s="3">
        <v>0.7</v>
      </c>
      <c r="Y10" s="5">
        <f t="shared" si="5"/>
        <v>35.329000000000008</v>
      </c>
    </row>
    <row r="11" spans="1:25" x14ac:dyDescent="0.2">
      <c r="A11" t="s">
        <v>950</v>
      </c>
      <c r="B11" s="1">
        <v>41322</v>
      </c>
      <c r="C11" s="2" t="str">
        <f t="shared" si="0"/>
        <v>2013</v>
      </c>
      <c r="D11" s="2" t="s">
        <v>497</v>
      </c>
      <c r="E11" s="2" t="s">
        <v>498</v>
      </c>
      <c r="F11" s="2" t="s">
        <v>19</v>
      </c>
      <c r="G11" s="2" t="s">
        <v>20</v>
      </c>
      <c r="H11" s="2" t="s">
        <v>21</v>
      </c>
      <c r="I11" s="2" t="s">
        <v>92</v>
      </c>
      <c r="J11" s="2" t="s">
        <v>23</v>
      </c>
      <c r="K11" s="2" t="s">
        <v>163</v>
      </c>
      <c r="L11" s="2" t="s">
        <v>32</v>
      </c>
      <c r="M11" s="2" t="s">
        <v>33</v>
      </c>
      <c r="N11" s="2" t="s">
        <v>27</v>
      </c>
      <c r="O11" s="1">
        <v>41327</v>
      </c>
      <c r="P11" s="3">
        <v>1.0900000000000001</v>
      </c>
      <c r="Q11" s="3">
        <v>2.6</v>
      </c>
      <c r="R11" s="3">
        <f t="shared" si="1"/>
        <v>1.51</v>
      </c>
      <c r="S11" s="2">
        <v>47</v>
      </c>
      <c r="T11" s="3">
        <f t="shared" si="2"/>
        <v>122.2</v>
      </c>
      <c r="U11" s="4">
        <v>0.1</v>
      </c>
      <c r="V11" s="6">
        <f t="shared" si="3"/>
        <v>12.22</v>
      </c>
      <c r="W11" s="6">
        <f t="shared" si="4"/>
        <v>109.98</v>
      </c>
      <c r="X11" s="3">
        <v>2.4</v>
      </c>
      <c r="Y11" s="5">
        <f t="shared" si="5"/>
        <v>112.38000000000001</v>
      </c>
    </row>
    <row r="12" spans="1:25" x14ac:dyDescent="0.2">
      <c r="A12" t="s">
        <v>951</v>
      </c>
      <c r="B12" s="1">
        <v>41323</v>
      </c>
      <c r="C12" s="2" t="str">
        <f t="shared" si="0"/>
        <v>2013</v>
      </c>
      <c r="D12" s="2" t="s">
        <v>852</v>
      </c>
      <c r="E12" s="2" t="s">
        <v>256</v>
      </c>
      <c r="F12" s="2" t="s">
        <v>36</v>
      </c>
      <c r="G12" s="2" t="s">
        <v>37</v>
      </c>
      <c r="H12" s="2" t="s">
        <v>50</v>
      </c>
      <c r="I12" s="2" t="s">
        <v>153</v>
      </c>
      <c r="J12" s="2" t="s">
        <v>66</v>
      </c>
      <c r="K12" s="2" t="s">
        <v>375</v>
      </c>
      <c r="L12" s="2" t="s">
        <v>32</v>
      </c>
      <c r="M12" s="2" t="s">
        <v>26</v>
      </c>
      <c r="N12" s="2" t="s">
        <v>27</v>
      </c>
      <c r="O12" s="1">
        <v>41325</v>
      </c>
      <c r="P12" s="3">
        <v>99.39</v>
      </c>
      <c r="Q12" s="3">
        <v>162.93</v>
      </c>
      <c r="R12" s="3">
        <f t="shared" si="1"/>
        <v>63.540000000000006</v>
      </c>
      <c r="S12" s="2">
        <v>32</v>
      </c>
      <c r="T12" s="3">
        <f t="shared" si="2"/>
        <v>5213.76</v>
      </c>
      <c r="U12" s="4">
        <v>0.09</v>
      </c>
      <c r="V12" s="6">
        <f t="shared" si="3"/>
        <v>469.23840000000001</v>
      </c>
      <c r="W12" s="6">
        <f t="shared" si="4"/>
        <v>4744.5216</v>
      </c>
      <c r="X12" s="3">
        <v>19.989999999999998</v>
      </c>
      <c r="Y12" s="5">
        <f t="shared" si="5"/>
        <v>4764.5115999999998</v>
      </c>
    </row>
    <row r="13" spans="1:25" x14ac:dyDescent="0.2">
      <c r="A13" t="s">
        <v>952</v>
      </c>
      <c r="B13" s="1">
        <v>41325</v>
      </c>
      <c r="C13" s="2" t="str">
        <f t="shared" si="0"/>
        <v>2013</v>
      </c>
      <c r="D13" s="2" t="s">
        <v>851</v>
      </c>
      <c r="E13" s="2" t="s">
        <v>185</v>
      </c>
      <c r="F13" s="2" t="s">
        <v>36</v>
      </c>
      <c r="G13" s="2" t="s">
        <v>37</v>
      </c>
      <c r="H13" s="2" t="s">
        <v>29</v>
      </c>
      <c r="I13" s="2" t="s">
        <v>153</v>
      </c>
      <c r="J13" s="2" t="s">
        <v>66</v>
      </c>
      <c r="K13" s="2" t="s">
        <v>355</v>
      </c>
      <c r="L13" s="2" t="s">
        <v>32</v>
      </c>
      <c r="M13" s="2" t="s">
        <v>33</v>
      </c>
      <c r="N13" s="2" t="s">
        <v>27</v>
      </c>
      <c r="O13" s="1">
        <v>41327</v>
      </c>
      <c r="P13" s="3">
        <v>1.0900000000000001</v>
      </c>
      <c r="Q13" s="3">
        <v>1.68</v>
      </c>
      <c r="R13" s="3">
        <f t="shared" si="1"/>
        <v>0.58999999999999986</v>
      </c>
      <c r="S13" s="2">
        <v>33</v>
      </c>
      <c r="T13" s="3">
        <f t="shared" si="2"/>
        <v>55.44</v>
      </c>
      <c r="U13" s="4">
        <v>0.04</v>
      </c>
      <c r="V13" s="6">
        <f t="shared" si="3"/>
        <v>2.2176</v>
      </c>
      <c r="W13" s="6">
        <f t="shared" si="4"/>
        <v>53.2224</v>
      </c>
      <c r="X13" s="3">
        <v>1</v>
      </c>
      <c r="Y13" s="5">
        <f t="shared" si="5"/>
        <v>54.2224</v>
      </c>
    </row>
    <row r="14" spans="1:25" x14ac:dyDescent="0.2">
      <c r="A14" t="s">
        <v>953</v>
      </c>
      <c r="B14" s="1">
        <v>41327</v>
      </c>
      <c r="C14" s="2" t="str">
        <f t="shared" si="0"/>
        <v>2013</v>
      </c>
      <c r="D14" s="2" t="s">
        <v>742</v>
      </c>
      <c r="E14" s="2" t="s">
        <v>465</v>
      </c>
      <c r="F14" s="2" t="s">
        <v>36</v>
      </c>
      <c r="G14" s="2" t="s">
        <v>37</v>
      </c>
      <c r="H14" s="2" t="s">
        <v>42</v>
      </c>
      <c r="I14" s="2" t="s">
        <v>79</v>
      </c>
      <c r="J14" s="2" t="s">
        <v>52</v>
      </c>
      <c r="K14" s="2" t="s">
        <v>277</v>
      </c>
      <c r="L14" s="2" t="s">
        <v>32</v>
      </c>
      <c r="M14" s="2" t="s">
        <v>26</v>
      </c>
      <c r="N14" s="2" t="s">
        <v>27</v>
      </c>
      <c r="O14" s="1">
        <v>41328</v>
      </c>
      <c r="P14" s="3">
        <v>54.29</v>
      </c>
      <c r="Q14" s="3">
        <v>90.48</v>
      </c>
      <c r="R14" s="3">
        <f t="shared" si="1"/>
        <v>36.190000000000005</v>
      </c>
      <c r="S14" s="2">
        <v>8</v>
      </c>
      <c r="T14" s="3">
        <f t="shared" si="2"/>
        <v>723.84</v>
      </c>
      <c r="U14" s="4">
        <v>7.0000000000000007E-2</v>
      </c>
      <c r="V14" s="6">
        <f t="shared" si="3"/>
        <v>50.668800000000005</v>
      </c>
      <c r="W14" s="6">
        <f t="shared" si="4"/>
        <v>673.1712</v>
      </c>
      <c r="X14" s="3">
        <v>19.989999999999998</v>
      </c>
      <c r="Y14" s="5">
        <f t="shared" si="5"/>
        <v>693.16120000000001</v>
      </c>
    </row>
    <row r="15" spans="1:25" x14ac:dyDescent="0.2">
      <c r="A15" t="s">
        <v>954</v>
      </c>
      <c r="B15" s="1">
        <v>41328</v>
      </c>
      <c r="C15" s="2" t="str">
        <f t="shared" si="0"/>
        <v>2013</v>
      </c>
      <c r="D15" s="2" t="s">
        <v>135</v>
      </c>
      <c r="E15" s="2" t="s">
        <v>136</v>
      </c>
      <c r="F15" s="2" t="s">
        <v>36</v>
      </c>
      <c r="G15" s="2" t="s">
        <v>37</v>
      </c>
      <c r="H15" s="2" t="s">
        <v>50</v>
      </c>
      <c r="I15" s="2" t="s">
        <v>43</v>
      </c>
      <c r="J15" s="2" t="s">
        <v>52</v>
      </c>
      <c r="K15" s="2" t="s">
        <v>300</v>
      </c>
      <c r="L15" s="2" t="s">
        <v>32</v>
      </c>
      <c r="M15" s="2" t="s">
        <v>26</v>
      </c>
      <c r="N15" s="2" t="s">
        <v>27</v>
      </c>
      <c r="O15" s="1">
        <v>41328</v>
      </c>
      <c r="P15" s="3">
        <v>5.33</v>
      </c>
      <c r="Q15" s="3">
        <v>8.6</v>
      </c>
      <c r="R15" s="3">
        <f t="shared" si="1"/>
        <v>3.2699999999999996</v>
      </c>
      <c r="S15" s="2">
        <v>48</v>
      </c>
      <c r="T15" s="3">
        <f t="shared" si="2"/>
        <v>412.79999999999995</v>
      </c>
      <c r="U15" s="4">
        <v>0</v>
      </c>
      <c r="V15" s="6">
        <f t="shared" si="3"/>
        <v>0</v>
      </c>
      <c r="W15" s="6">
        <f t="shared" si="4"/>
        <v>412.79999999999995</v>
      </c>
      <c r="X15" s="3">
        <v>6.19</v>
      </c>
      <c r="Y15" s="5">
        <f t="shared" si="5"/>
        <v>418.98999999999995</v>
      </c>
    </row>
    <row r="16" spans="1:25" x14ac:dyDescent="0.2">
      <c r="A16" t="s">
        <v>955</v>
      </c>
      <c r="B16" s="1">
        <v>41330</v>
      </c>
      <c r="C16" s="2" t="str">
        <f t="shared" si="0"/>
        <v>2013</v>
      </c>
      <c r="D16" s="2" t="s">
        <v>805</v>
      </c>
      <c r="E16" s="2" t="s">
        <v>540</v>
      </c>
      <c r="F16" s="2" t="s">
        <v>19</v>
      </c>
      <c r="G16" s="2" t="s">
        <v>20</v>
      </c>
      <c r="H16" s="2" t="s">
        <v>50</v>
      </c>
      <c r="I16" s="2" t="s">
        <v>22</v>
      </c>
      <c r="J16" s="2" t="s">
        <v>30</v>
      </c>
      <c r="K16" s="2" t="s">
        <v>659</v>
      </c>
      <c r="L16" s="2" t="s">
        <v>32</v>
      </c>
      <c r="M16" s="2" t="s">
        <v>26</v>
      </c>
      <c r="N16" s="2" t="s">
        <v>27</v>
      </c>
      <c r="O16" s="1">
        <v>41332</v>
      </c>
      <c r="P16" s="3">
        <v>4.8899999999999997</v>
      </c>
      <c r="Q16" s="3">
        <v>7.64</v>
      </c>
      <c r="R16" s="3">
        <f t="shared" si="1"/>
        <v>2.75</v>
      </c>
      <c r="S16" s="2">
        <v>18</v>
      </c>
      <c r="T16" s="3">
        <f t="shared" si="2"/>
        <v>137.51999999999998</v>
      </c>
      <c r="U16" s="4">
        <v>0.1</v>
      </c>
      <c r="V16" s="6">
        <f t="shared" si="3"/>
        <v>13.751999999999999</v>
      </c>
      <c r="W16" s="6">
        <f t="shared" si="4"/>
        <v>123.76799999999999</v>
      </c>
      <c r="X16" s="3">
        <v>1.39</v>
      </c>
      <c r="Y16" s="5">
        <f t="shared" si="5"/>
        <v>125.15799999999999</v>
      </c>
    </row>
    <row r="17" spans="1:25" x14ac:dyDescent="0.2">
      <c r="A17" t="s">
        <v>956</v>
      </c>
      <c r="B17" s="1">
        <v>41330</v>
      </c>
      <c r="C17" s="2" t="str">
        <f t="shared" si="0"/>
        <v>2013</v>
      </c>
      <c r="D17" s="2" t="s">
        <v>280</v>
      </c>
      <c r="E17" s="2" t="s">
        <v>281</v>
      </c>
      <c r="F17" s="2" t="s">
        <v>36</v>
      </c>
      <c r="G17" s="2" t="s">
        <v>37</v>
      </c>
      <c r="H17" s="2" t="s">
        <v>50</v>
      </c>
      <c r="I17" s="2" t="s">
        <v>96</v>
      </c>
      <c r="J17" s="2" t="s">
        <v>30</v>
      </c>
      <c r="K17" s="2" t="s">
        <v>277</v>
      </c>
      <c r="L17" s="2" t="s">
        <v>32</v>
      </c>
      <c r="M17" s="2" t="s">
        <v>26</v>
      </c>
      <c r="N17" s="2" t="s">
        <v>27</v>
      </c>
      <c r="O17" s="1">
        <v>41332</v>
      </c>
      <c r="P17" s="3">
        <v>54.29</v>
      </c>
      <c r="Q17" s="3">
        <v>90.48</v>
      </c>
      <c r="R17" s="3">
        <f t="shared" si="1"/>
        <v>36.190000000000005</v>
      </c>
      <c r="S17" s="2">
        <v>3</v>
      </c>
      <c r="T17" s="3">
        <f t="shared" si="2"/>
        <v>271.44</v>
      </c>
      <c r="U17" s="4">
        <v>0.03</v>
      </c>
      <c r="V17" s="6">
        <f t="shared" si="3"/>
        <v>8.1432000000000002</v>
      </c>
      <c r="W17" s="6">
        <f t="shared" si="4"/>
        <v>263.29680000000002</v>
      </c>
      <c r="X17" s="3">
        <v>19.989999999999998</v>
      </c>
      <c r="Y17" s="5">
        <f t="shared" si="5"/>
        <v>283.28680000000003</v>
      </c>
    </row>
    <row r="18" spans="1:25" x14ac:dyDescent="0.2">
      <c r="A18" t="s">
        <v>957</v>
      </c>
      <c r="B18" s="1">
        <v>41331</v>
      </c>
      <c r="C18" s="2" t="str">
        <f t="shared" si="0"/>
        <v>2013</v>
      </c>
      <c r="D18" s="2" t="s">
        <v>645</v>
      </c>
      <c r="E18" s="2" t="s">
        <v>646</v>
      </c>
      <c r="F18" s="2" t="s">
        <v>36</v>
      </c>
      <c r="G18" s="2" t="s">
        <v>37</v>
      </c>
      <c r="H18" s="2" t="s">
        <v>50</v>
      </c>
      <c r="I18" s="2" t="s">
        <v>153</v>
      </c>
      <c r="J18" s="2" t="s">
        <v>44</v>
      </c>
      <c r="K18" s="2" t="s">
        <v>507</v>
      </c>
      <c r="L18" s="2" t="s">
        <v>32</v>
      </c>
      <c r="M18" s="2" t="s">
        <v>26</v>
      </c>
      <c r="N18" s="2" t="s">
        <v>27</v>
      </c>
      <c r="O18" s="1">
        <v>41331</v>
      </c>
      <c r="P18" s="3">
        <v>36.020000000000003</v>
      </c>
      <c r="Q18" s="3">
        <v>58.1</v>
      </c>
      <c r="R18" s="3">
        <f t="shared" si="1"/>
        <v>22.08</v>
      </c>
      <c r="S18" s="2">
        <v>50</v>
      </c>
      <c r="T18" s="3">
        <f t="shared" si="2"/>
        <v>2905</v>
      </c>
      <c r="U18" s="4">
        <v>0.05</v>
      </c>
      <c r="V18" s="6">
        <f t="shared" si="3"/>
        <v>145.25</v>
      </c>
      <c r="W18" s="6">
        <f t="shared" si="4"/>
        <v>2759.75</v>
      </c>
      <c r="X18" s="3">
        <v>1.49</v>
      </c>
      <c r="Y18" s="5">
        <f t="shared" si="5"/>
        <v>2761.24</v>
      </c>
    </row>
    <row r="19" spans="1:25" x14ac:dyDescent="0.2">
      <c r="A19" t="s">
        <v>958</v>
      </c>
      <c r="B19" s="1">
        <v>41340</v>
      </c>
      <c r="C19" s="2" t="str">
        <f t="shared" si="0"/>
        <v>2013</v>
      </c>
      <c r="D19" s="2" t="s">
        <v>259</v>
      </c>
      <c r="E19" s="2" t="s">
        <v>222</v>
      </c>
      <c r="F19" s="2" t="s">
        <v>19</v>
      </c>
      <c r="G19" s="2" t="s">
        <v>20</v>
      </c>
      <c r="H19" s="2" t="s">
        <v>50</v>
      </c>
      <c r="I19" s="2" t="s">
        <v>92</v>
      </c>
      <c r="J19" s="2" t="s">
        <v>66</v>
      </c>
      <c r="K19" s="2" t="s">
        <v>97</v>
      </c>
      <c r="L19" s="2" t="s">
        <v>32</v>
      </c>
      <c r="M19" s="2" t="s">
        <v>33</v>
      </c>
      <c r="N19" s="2" t="s">
        <v>27</v>
      </c>
      <c r="O19" s="1">
        <v>41343</v>
      </c>
      <c r="P19" s="3">
        <v>0.71</v>
      </c>
      <c r="Q19" s="3">
        <v>1.1399999999999999</v>
      </c>
      <c r="R19" s="3">
        <f t="shared" si="1"/>
        <v>0.42999999999999994</v>
      </c>
      <c r="S19" s="2">
        <v>50</v>
      </c>
      <c r="T19" s="3">
        <f t="shared" si="2"/>
        <v>56.999999999999993</v>
      </c>
      <c r="U19" s="4">
        <v>0.06</v>
      </c>
      <c r="V19" s="6">
        <f t="shared" si="3"/>
        <v>3.4199999999999995</v>
      </c>
      <c r="W19" s="6">
        <f t="shared" si="4"/>
        <v>53.579999999999991</v>
      </c>
      <c r="X19" s="3">
        <v>0.7</v>
      </c>
      <c r="Y19" s="5">
        <f t="shared" si="5"/>
        <v>54.279999999999994</v>
      </c>
    </row>
    <row r="20" spans="1:25" x14ac:dyDescent="0.2">
      <c r="A20" t="s">
        <v>959</v>
      </c>
      <c r="B20" s="1">
        <v>41344</v>
      </c>
      <c r="C20" s="2" t="str">
        <f t="shared" si="0"/>
        <v>2013</v>
      </c>
      <c r="D20" s="2" t="s">
        <v>34</v>
      </c>
      <c r="E20" s="2" t="s">
        <v>1920</v>
      </c>
      <c r="F20" s="2" t="s">
        <v>36</v>
      </c>
      <c r="G20" s="2" t="s">
        <v>37</v>
      </c>
      <c r="H20" s="2" t="s">
        <v>21</v>
      </c>
      <c r="I20" s="2" t="s">
        <v>38</v>
      </c>
      <c r="J20" s="2" t="s">
        <v>66</v>
      </c>
      <c r="K20" s="2" t="s">
        <v>623</v>
      </c>
      <c r="L20" s="2" t="s">
        <v>32</v>
      </c>
      <c r="M20" s="2" t="s">
        <v>58</v>
      </c>
      <c r="N20" s="2" t="s">
        <v>27</v>
      </c>
      <c r="O20" s="1">
        <v>41346</v>
      </c>
      <c r="P20" s="3">
        <v>3.42</v>
      </c>
      <c r="Q20" s="3">
        <v>8.34</v>
      </c>
      <c r="R20" s="3">
        <f t="shared" si="1"/>
        <v>4.92</v>
      </c>
      <c r="S20" s="2">
        <v>16</v>
      </c>
      <c r="T20" s="3">
        <f t="shared" si="2"/>
        <v>133.44</v>
      </c>
      <c r="U20" s="4">
        <v>0.03</v>
      </c>
      <c r="V20" s="6">
        <f t="shared" si="3"/>
        <v>4.0031999999999996</v>
      </c>
      <c r="W20" s="6">
        <f t="shared" si="4"/>
        <v>129.43680000000001</v>
      </c>
      <c r="X20" s="3">
        <v>2.64</v>
      </c>
      <c r="Y20" s="5">
        <f t="shared" si="5"/>
        <v>132.07679999999999</v>
      </c>
    </row>
    <row r="21" spans="1:25" x14ac:dyDescent="0.2">
      <c r="A21" t="s">
        <v>960</v>
      </c>
      <c r="B21" s="1">
        <v>41346</v>
      </c>
      <c r="C21" s="2" t="str">
        <f t="shared" si="0"/>
        <v>2013</v>
      </c>
      <c r="D21" s="2" t="s">
        <v>850</v>
      </c>
      <c r="E21" s="2" t="s">
        <v>540</v>
      </c>
      <c r="F21" s="2" t="s">
        <v>19</v>
      </c>
      <c r="G21" s="2" t="s">
        <v>20</v>
      </c>
      <c r="H21" s="2" t="s">
        <v>50</v>
      </c>
      <c r="I21" s="2" t="s">
        <v>22</v>
      </c>
      <c r="J21" s="2" t="s">
        <v>23</v>
      </c>
      <c r="K21" s="2" t="s">
        <v>97</v>
      </c>
      <c r="L21" s="2" t="s">
        <v>32</v>
      </c>
      <c r="M21" s="2" t="s">
        <v>33</v>
      </c>
      <c r="N21" s="2" t="s">
        <v>27</v>
      </c>
      <c r="O21" s="1">
        <v>41346</v>
      </c>
      <c r="P21" s="3">
        <v>0.71</v>
      </c>
      <c r="Q21" s="3">
        <v>1.1399999999999999</v>
      </c>
      <c r="R21" s="3">
        <f t="shared" si="1"/>
        <v>0.42999999999999994</v>
      </c>
      <c r="S21" s="2">
        <v>38</v>
      </c>
      <c r="T21" s="3">
        <f t="shared" si="2"/>
        <v>43.319999999999993</v>
      </c>
      <c r="U21" s="4">
        <v>0.02</v>
      </c>
      <c r="V21" s="6">
        <f t="shared" si="3"/>
        <v>0.86639999999999984</v>
      </c>
      <c r="W21" s="6">
        <f t="shared" si="4"/>
        <v>42.453599999999994</v>
      </c>
      <c r="X21" s="3">
        <v>0.7</v>
      </c>
      <c r="Y21" s="5">
        <f t="shared" si="5"/>
        <v>43.153599999999997</v>
      </c>
    </row>
    <row r="22" spans="1:25" x14ac:dyDescent="0.2">
      <c r="A22" t="s">
        <v>961</v>
      </c>
      <c r="B22" s="1">
        <v>41348</v>
      </c>
      <c r="C22" s="2" t="str">
        <f t="shared" si="0"/>
        <v>2013</v>
      </c>
      <c r="D22" s="2" t="s">
        <v>809</v>
      </c>
      <c r="E22" s="2" t="s">
        <v>580</v>
      </c>
      <c r="F22" s="2" t="s">
        <v>36</v>
      </c>
      <c r="G22" s="2" t="s">
        <v>37</v>
      </c>
      <c r="H22" s="2" t="s">
        <v>50</v>
      </c>
      <c r="I22" s="2" t="s">
        <v>43</v>
      </c>
      <c r="J22" s="2" t="s">
        <v>30</v>
      </c>
      <c r="K22" s="2" t="s">
        <v>80</v>
      </c>
      <c r="L22" s="2" t="s">
        <v>32</v>
      </c>
      <c r="M22" s="2" t="s">
        <v>26</v>
      </c>
      <c r="N22" s="2" t="s">
        <v>27</v>
      </c>
      <c r="O22" s="1">
        <v>41349</v>
      </c>
      <c r="P22" s="3">
        <v>4.59</v>
      </c>
      <c r="Q22" s="3">
        <v>7.28</v>
      </c>
      <c r="R22" s="3">
        <f t="shared" si="1"/>
        <v>2.6900000000000004</v>
      </c>
      <c r="S22" s="2">
        <v>22</v>
      </c>
      <c r="T22" s="3">
        <f t="shared" si="2"/>
        <v>160.16</v>
      </c>
      <c r="U22" s="4">
        <v>0.01</v>
      </c>
      <c r="V22" s="6">
        <f t="shared" si="3"/>
        <v>1.6015999999999999</v>
      </c>
      <c r="W22" s="6">
        <f t="shared" si="4"/>
        <v>158.55840000000001</v>
      </c>
      <c r="X22" s="3">
        <v>11.15</v>
      </c>
      <c r="Y22" s="5">
        <f t="shared" si="5"/>
        <v>169.70840000000001</v>
      </c>
    </row>
    <row r="23" spans="1:25" x14ac:dyDescent="0.2">
      <c r="A23" t="s">
        <v>962</v>
      </c>
      <c r="B23" s="1">
        <v>41349</v>
      </c>
      <c r="C23" s="2" t="str">
        <f t="shared" si="0"/>
        <v>2013</v>
      </c>
      <c r="D23" s="2" t="s">
        <v>307</v>
      </c>
      <c r="E23" s="2" t="s">
        <v>138</v>
      </c>
      <c r="F23" s="2" t="s">
        <v>36</v>
      </c>
      <c r="G23" s="2" t="s">
        <v>37</v>
      </c>
      <c r="H23" s="2" t="s">
        <v>42</v>
      </c>
      <c r="I23" s="2" t="s">
        <v>51</v>
      </c>
      <c r="J23" s="2" t="s">
        <v>23</v>
      </c>
      <c r="K23" s="2" t="s">
        <v>236</v>
      </c>
      <c r="L23" s="2" t="s">
        <v>32</v>
      </c>
      <c r="M23" s="2" t="s">
        <v>33</v>
      </c>
      <c r="N23" s="2" t="s">
        <v>27</v>
      </c>
      <c r="O23" s="1">
        <v>41353</v>
      </c>
      <c r="P23" s="3">
        <v>1.3</v>
      </c>
      <c r="Q23" s="3">
        <v>2.88</v>
      </c>
      <c r="R23" s="3">
        <f t="shared" si="1"/>
        <v>1.5799999999999998</v>
      </c>
      <c r="S23" s="2">
        <v>48</v>
      </c>
      <c r="T23" s="3">
        <f t="shared" si="2"/>
        <v>138.24</v>
      </c>
      <c r="U23" s="4">
        <v>7.0000000000000007E-2</v>
      </c>
      <c r="V23" s="6">
        <f t="shared" si="3"/>
        <v>9.6768000000000018</v>
      </c>
      <c r="W23" s="6">
        <f t="shared" si="4"/>
        <v>128.56319999999999</v>
      </c>
      <c r="X23" s="3">
        <v>1.01</v>
      </c>
      <c r="Y23" s="5">
        <f t="shared" si="5"/>
        <v>129.57319999999999</v>
      </c>
    </row>
    <row r="24" spans="1:25" x14ac:dyDescent="0.2">
      <c r="A24" t="s">
        <v>963</v>
      </c>
      <c r="B24" s="1">
        <v>41356</v>
      </c>
      <c r="C24" s="2" t="str">
        <f t="shared" si="0"/>
        <v>2013</v>
      </c>
      <c r="D24" s="2" t="s">
        <v>831</v>
      </c>
      <c r="E24" s="2" t="s">
        <v>379</v>
      </c>
      <c r="F24" s="2" t="s">
        <v>36</v>
      </c>
      <c r="G24" s="2" t="s">
        <v>37</v>
      </c>
      <c r="H24" s="2" t="s">
        <v>42</v>
      </c>
      <c r="I24" s="2" t="s">
        <v>56</v>
      </c>
      <c r="J24" s="2" t="s">
        <v>44</v>
      </c>
      <c r="K24" s="2" t="s">
        <v>162</v>
      </c>
      <c r="L24" s="2" t="s">
        <v>32</v>
      </c>
      <c r="M24" s="2" t="s">
        <v>33</v>
      </c>
      <c r="N24" s="2" t="s">
        <v>27</v>
      </c>
      <c r="O24" s="1">
        <v>41359</v>
      </c>
      <c r="P24" s="3">
        <v>1.82</v>
      </c>
      <c r="Q24" s="3">
        <v>2.98</v>
      </c>
      <c r="R24" s="3">
        <f t="shared" si="1"/>
        <v>1.1599999999999999</v>
      </c>
      <c r="S24" s="2">
        <v>22</v>
      </c>
      <c r="T24" s="3">
        <f t="shared" si="2"/>
        <v>65.56</v>
      </c>
      <c r="U24" s="4">
        <v>0.04</v>
      </c>
      <c r="V24" s="6">
        <f t="shared" si="3"/>
        <v>2.6224000000000003</v>
      </c>
      <c r="W24" s="6">
        <f t="shared" si="4"/>
        <v>62.937600000000003</v>
      </c>
      <c r="X24" s="3">
        <v>1.58</v>
      </c>
      <c r="Y24" s="5">
        <f t="shared" si="5"/>
        <v>64.517600000000002</v>
      </c>
    </row>
    <row r="25" spans="1:25" x14ac:dyDescent="0.2">
      <c r="A25" t="s">
        <v>964</v>
      </c>
      <c r="B25" s="1">
        <v>41359</v>
      </c>
      <c r="C25" s="2" t="str">
        <f t="shared" si="0"/>
        <v>2013</v>
      </c>
      <c r="D25" s="2" t="s">
        <v>849</v>
      </c>
      <c r="E25" s="2" t="s">
        <v>271</v>
      </c>
      <c r="F25" s="2" t="s">
        <v>36</v>
      </c>
      <c r="G25" s="2" t="s">
        <v>37</v>
      </c>
      <c r="H25" s="2" t="s">
        <v>29</v>
      </c>
      <c r="I25" s="2" t="s">
        <v>102</v>
      </c>
      <c r="J25" s="2" t="s">
        <v>52</v>
      </c>
      <c r="K25" s="2" t="s">
        <v>370</v>
      </c>
      <c r="L25" s="2" t="s">
        <v>25</v>
      </c>
      <c r="M25" s="2" t="s">
        <v>26</v>
      </c>
      <c r="N25" s="2" t="s">
        <v>27</v>
      </c>
      <c r="O25" s="1">
        <v>41361</v>
      </c>
      <c r="P25" s="3">
        <v>81.59</v>
      </c>
      <c r="Q25" s="3">
        <v>159.99</v>
      </c>
      <c r="R25" s="3">
        <f t="shared" si="1"/>
        <v>78.400000000000006</v>
      </c>
      <c r="S25" s="2">
        <v>30</v>
      </c>
      <c r="T25" s="3">
        <f t="shared" si="2"/>
        <v>4799.7000000000007</v>
      </c>
      <c r="U25" s="4">
        <v>0.01</v>
      </c>
      <c r="V25" s="6">
        <f t="shared" si="3"/>
        <v>47.997000000000007</v>
      </c>
      <c r="W25" s="6">
        <f t="shared" si="4"/>
        <v>4751.7030000000004</v>
      </c>
      <c r="X25" s="3">
        <v>5.5</v>
      </c>
      <c r="Y25" s="5">
        <f t="shared" si="5"/>
        <v>4757.2030000000004</v>
      </c>
    </row>
    <row r="26" spans="1:25" x14ac:dyDescent="0.2">
      <c r="A26" t="s">
        <v>965</v>
      </c>
      <c r="B26" s="1">
        <v>41360</v>
      </c>
      <c r="C26" s="2" t="str">
        <f t="shared" si="0"/>
        <v>2013</v>
      </c>
      <c r="D26" s="2" t="s">
        <v>553</v>
      </c>
      <c r="E26" s="2" t="s">
        <v>182</v>
      </c>
      <c r="F26" s="2" t="s">
        <v>36</v>
      </c>
      <c r="G26" s="2" t="s">
        <v>37</v>
      </c>
      <c r="H26" s="2" t="s">
        <v>21</v>
      </c>
      <c r="I26" s="2" t="s">
        <v>96</v>
      </c>
      <c r="J26" s="2" t="s">
        <v>23</v>
      </c>
      <c r="K26" s="2" t="s">
        <v>300</v>
      </c>
      <c r="L26" s="2" t="s">
        <v>32</v>
      </c>
      <c r="M26" s="2" t="s">
        <v>26</v>
      </c>
      <c r="N26" s="2" t="s">
        <v>27</v>
      </c>
      <c r="O26" s="1">
        <v>41367</v>
      </c>
      <c r="P26" s="3">
        <v>5.33</v>
      </c>
      <c r="Q26" s="3">
        <v>8.6</v>
      </c>
      <c r="R26" s="3">
        <f t="shared" si="1"/>
        <v>3.2699999999999996</v>
      </c>
      <c r="S26" s="2">
        <v>37</v>
      </c>
      <c r="T26" s="3">
        <f t="shared" si="2"/>
        <v>318.2</v>
      </c>
      <c r="U26" s="4">
        <v>0.04</v>
      </c>
      <c r="V26" s="6">
        <f t="shared" si="3"/>
        <v>12.728</v>
      </c>
      <c r="W26" s="6">
        <f t="shared" si="4"/>
        <v>305.47199999999998</v>
      </c>
      <c r="X26" s="3">
        <v>6.19</v>
      </c>
      <c r="Y26" s="5">
        <f t="shared" si="5"/>
        <v>311.66199999999998</v>
      </c>
    </row>
    <row r="27" spans="1:25" x14ac:dyDescent="0.2">
      <c r="A27" t="s">
        <v>966</v>
      </c>
      <c r="B27" s="1">
        <v>41360</v>
      </c>
      <c r="C27" s="2" t="str">
        <f t="shared" si="0"/>
        <v>2013</v>
      </c>
      <c r="D27" s="2" t="s">
        <v>455</v>
      </c>
      <c r="E27" s="2" t="s">
        <v>138</v>
      </c>
      <c r="F27" s="2" t="s">
        <v>36</v>
      </c>
      <c r="G27" s="2" t="s">
        <v>37</v>
      </c>
      <c r="H27" s="2" t="s">
        <v>42</v>
      </c>
      <c r="I27" s="2" t="s">
        <v>51</v>
      </c>
      <c r="J27" s="2" t="s">
        <v>30</v>
      </c>
      <c r="K27" s="2" t="s">
        <v>197</v>
      </c>
      <c r="L27" s="2" t="s">
        <v>32</v>
      </c>
      <c r="M27" s="2" t="s">
        <v>26</v>
      </c>
      <c r="N27" s="2" t="s">
        <v>27</v>
      </c>
      <c r="O27" s="1">
        <v>41360</v>
      </c>
      <c r="P27" s="3">
        <v>3.52</v>
      </c>
      <c r="Q27" s="3">
        <v>5.68</v>
      </c>
      <c r="R27" s="3">
        <f t="shared" si="1"/>
        <v>2.1599999999999997</v>
      </c>
      <c r="S27" s="2">
        <v>24</v>
      </c>
      <c r="T27" s="3">
        <f t="shared" si="2"/>
        <v>136.32</v>
      </c>
      <c r="U27" s="4">
        <v>0.06</v>
      </c>
      <c r="V27" s="6">
        <f t="shared" si="3"/>
        <v>8.1791999999999998</v>
      </c>
      <c r="W27" s="6">
        <f t="shared" si="4"/>
        <v>128.14079999999998</v>
      </c>
      <c r="X27" s="3">
        <v>1.39</v>
      </c>
      <c r="Y27" s="5">
        <f t="shared" si="5"/>
        <v>129.53079999999997</v>
      </c>
    </row>
    <row r="28" spans="1:25" x14ac:dyDescent="0.2">
      <c r="A28" t="s">
        <v>967</v>
      </c>
      <c r="B28" s="1">
        <v>41363</v>
      </c>
      <c r="C28" s="2" t="str">
        <f t="shared" si="0"/>
        <v>2013</v>
      </c>
      <c r="D28" s="2" t="s">
        <v>821</v>
      </c>
      <c r="E28" s="2" t="s">
        <v>60</v>
      </c>
      <c r="F28" s="2" t="s">
        <v>36</v>
      </c>
      <c r="G28" s="2" t="s">
        <v>37</v>
      </c>
      <c r="H28" s="2" t="s">
        <v>50</v>
      </c>
      <c r="I28" s="2" t="s">
        <v>56</v>
      </c>
      <c r="J28" s="2" t="s">
        <v>52</v>
      </c>
      <c r="K28" s="2" t="s">
        <v>139</v>
      </c>
      <c r="L28" s="2" t="s">
        <v>32</v>
      </c>
      <c r="M28" s="2" t="s">
        <v>58</v>
      </c>
      <c r="N28" s="2" t="s">
        <v>27</v>
      </c>
      <c r="O28" s="1">
        <v>41364</v>
      </c>
      <c r="P28" s="3">
        <v>0.94</v>
      </c>
      <c r="Q28" s="3">
        <v>2.08</v>
      </c>
      <c r="R28" s="3">
        <f t="shared" si="1"/>
        <v>1.1400000000000001</v>
      </c>
      <c r="S28" s="2">
        <v>4</v>
      </c>
      <c r="T28" s="3">
        <f t="shared" si="2"/>
        <v>8.32</v>
      </c>
      <c r="U28" s="4">
        <v>0.02</v>
      </c>
      <c r="V28" s="6">
        <f t="shared" si="3"/>
        <v>0.16640000000000002</v>
      </c>
      <c r="W28" s="6">
        <f t="shared" si="4"/>
        <v>8.1536000000000008</v>
      </c>
      <c r="X28" s="3">
        <v>2.56</v>
      </c>
      <c r="Y28" s="5">
        <f t="shared" si="5"/>
        <v>10.713600000000001</v>
      </c>
    </row>
    <row r="29" spans="1:25" x14ac:dyDescent="0.2">
      <c r="A29" t="s">
        <v>968</v>
      </c>
      <c r="B29" s="1">
        <v>41383</v>
      </c>
      <c r="C29" s="2" t="str">
        <f t="shared" si="0"/>
        <v>2013</v>
      </c>
      <c r="D29" s="2" t="s">
        <v>502</v>
      </c>
      <c r="E29" s="2" t="s">
        <v>46</v>
      </c>
      <c r="F29" s="2" t="s">
        <v>19</v>
      </c>
      <c r="G29" s="2" t="s">
        <v>20</v>
      </c>
      <c r="H29" s="2" t="s">
        <v>50</v>
      </c>
      <c r="I29" s="2" t="s">
        <v>22</v>
      </c>
      <c r="J29" s="2" t="s">
        <v>52</v>
      </c>
      <c r="K29" s="2" t="s">
        <v>300</v>
      </c>
      <c r="L29" s="2" t="s">
        <v>32</v>
      </c>
      <c r="M29" s="2" t="s">
        <v>26</v>
      </c>
      <c r="N29" s="2" t="s">
        <v>27</v>
      </c>
      <c r="O29" s="1">
        <v>41384</v>
      </c>
      <c r="P29" s="3">
        <v>5.33</v>
      </c>
      <c r="Q29" s="3">
        <v>8.6</v>
      </c>
      <c r="R29" s="3">
        <f t="shared" si="1"/>
        <v>3.2699999999999996</v>
      </c>
      <c r="S29" s="2">
        <v>36</v>
      </c>
      <c r="T29" s="3">
        <f t="shared" si="2"/>
        <v>309.59999999999997</v>
      </c>
      <c r="U29" s="4">
        <v>0.06</v>
      </c>
      <c r="V29" s="6">
        <f t="shared" si="3"/>
        <v>18.575999999999997</v>
      </c>
      <c r="W29" s="6">
        <f t="shared" si="4"/>
        <v>291.02399999999994</v>
      </c>
      <c r="X29" s="3">
        <v>6.19</v>
      </c>
      <c r="Y29" s="5">
        <f t="shared" si="5"/>
        <v>297.21399999999994</v>
      </c>
    </row>
    <row r="30" spans="1:25" x14ac:dyDescent="0.2">
      <c r="A30" t="s">
        <v>969</v>
      </c>
      <c r="B30" s="1">
        <v>41384</v>
      </c>
      <c r="C30" s="2" t="str">
        <f t="shared" si="0"/>
        <v>2013</v>
      </c>
      <c r="D30" s="2" t="s">
        <v>284</v>
      </c>
      <c r="E30" s="2" t="s">
        <v>18</v>
      </c>
      <c r="F30" s="2" t="s">
        <v>19</v>
      </c>
      <c r="G30" s="2" t="s">
        <v>20</v>
      </c>
      <c r="H30" s="2" t="s">
        <v>42</v>
      </c>
      <c r="I30" s="2" t="s">
        <v>22</v>
      </c>
      <c r="J30" s="2" t="s">
        <v>52</v>
      </c>
      <c r="K30" s="2" t="s">
        <v>146</v>
      </c>
      <c r="L30" s="2" t="s">
        <v>32</v>
      </c>
      <c r="M30" s="2" t="s">
        <v>33</v>
      </c>
      <c r="N30" s="2" t="s">
        <v>27</v>
      </c>
      <c r="O30" s="1">
        <v>41386</v>
      </c>
      <c r="P30" s="3">
        <v>2.52</v>
      </c>
      <c r="Q30" s="3">
        <v>4</v>
      </c>
      <c r="R30" s="3">
        <f t="shared" si="1"/>
        <v>1.48</v>
      </c>
      <c r="S30" s="2">
        <v>31</v>
      </c>
      <c r="T30" s="3">
        <f t="shared" si="2"/>
        <v>124</v>
      </c>
      <c r="U30" s="4">
        <v>0.01</v>
      </c>
      <c r="V30" s="6">
        <f t="shared" si="3"/>
        <v>1.24</v>
      </c>
      <c r="W30" s="6">
        <f t="shared" si="4"/>
        <v>122.76</v>
      </c>
      <c r="X30" s="3">
        <v>1.3</v>
      </c>
      <c r="Y30" s="5">
        <f t="shared" si="5"/>
        <v>124.06</v>
      </c>
    </row>
    <row r="31" spans="1:25" x14ac:dyDescent="0.2">
      <c r="A31" t="s">
        <v>970</v>
      </c>
      <c r="B31" s="1">
        <v>41391</v>
      </c>
      <c r="C31" s="2" t="str">
        <f t="shared" si="0"/>
        <v>2013</v>
      </c>
      <c r="D31" s="2" t="s">
        <v>848</v>
      </c>
      <c r="E31" s="2" t="s">
        <v>656</v>
      </c>
      <c r="F31" s="2" t="s">
        <v>36</v>
      </c>
      <c r="G31" s="2" t="s">
        <v>37</v>
      </c>
      <c r="H31" s="2" t="s">
        <v>21</v>
      </c>
      <c r="I31" s="2" t="s">
        <v>153</v>
      </c>
      <c r="J31" s="2" t="s">
        <v>44</v>
      </c>
      <c r="K31" s="2" t="s">
        <v>847</v>
      </c>
      <c r="L31" s="2" t="s">
        <v>32</v>
      </c>
      <c r="M31" s="2" t="s">
        <v>26</v>
      </c>
      <c r="N31" s="2" t="s">
        <v>89</v>
      </c>
      <c r="O31" s="1">
        <v>41392</v>
      </c>
      <c r="P31" s="3">
        <v>7.61</v>
      </c>
      <c r="Q31" s="3">
        <v>12.28</v>
      </c>
      <c r="R31" s="3">
        <f t="shared" si="1"/>
        <v>4.669999999999999</v>
      </c>
      <c r="S31" s="2">
        <v>29</v>
      </c>
      <c r="T31" s="3">
        <f t="shared" si="2"/>
        <v>356.12</v>
      </c>
      <c r="U31" s="4">
        <v>0</v>
      </c>
      <c r="V31" s="6">
        <f t="shared" si="3"/>
        <v>0</v>
      </c>
      <c r="W31" s="6">
        <f t="shared" si="4"/>
        <v>356.12</v>
      </c>
      <c r="X31" s="3">
        <v>6.35</v>
      </c>
      <c r="Y31" s="5">
        <f t="shared" si="5"/>
        <v>362.47</v>
      </c>
    </row>
    <row r="32" spans="1:25" x14ac:dyDescent="0.2">
      <c r="A32" t="s">
        <v>971</v>
      </c>
      <c r="B32" s="1">
        <v>41392</v>
      </c>
      <c r="C32" s="2" t="str">
        <f t="shared" si="0"/>
        <v>2013</v>
      </c>
      <c r="D32" s="2" t="s">
        <v>762</v>
      </c>
      <c r="E32" s="2" t="s">
        <v>246</v>
      </c>
      <c r="F32" s="2" t="s">
        <v>19</v>
      </c>
      <c r="G32" s="2" t="s">
        <v>20</v>
      </c>
      <c r="H32" s="2" t="s">
        <v>50</v>
      </c>
      <c r="I32" s="2" t="s">
        <v>22</v>
      </c>
      <c r="J32" s="2" t="s">
        <v>30</v>
      </c>
      <c r="K32" s="2" t="s">
        <v>47</v>
      </c>
      <c r="L32" s="2" t="s">
        <v>32</v>
      </c>
      <c r="M32" s="2" t="s">
        <v>26</v>
      </c>
      <c r="N32" s="2" t="s">
        <v>27</v>
      </c>
      <c r="O32" s="1">
        <v>41394</v>
      </c>
      <c r="P32" s="3">
        <v>1.59</v>
      </c>
      <c r="Q32" s="3">
        <v>2.61</v>
      </c>
      <c r="R32" s="3">
        <f t="shared" si="1"/>
        <v>1.0199999999999998</v>
      </c>
      <c r="S32" s="2">
        <v>9</v>
      </c>
      <c r="T32" s="3">
        <f t="shared" si="2"/>
        <v>23.49</v>
      </c>
      <c r="U32" s="4">
        <v>0.06</v>
      </c>
      <c r="V32" s="6">
        <f t="shared" si="3"/>
        <v>1.4093999999999998</v>
      </c>
      <c r="W32" s="6">
        <f t="shared" si="4"/>
        <v>22.080599999999997</v>
      </c>
      <c r="X32" s="3">
        <v>0.5</v>
      </c>
      <c r="Y32" s="5">
        <f t="shared" si="5"/>
        <v>22.580599999999997</v>
      </c>
    </row>
    <row r="33" spans="1:25" x14ac:dyDescent="0.2">
      <c r="A33" t="s">
        <v>972</v>
      </c>
      <c r="B33" s="1">
        <v>41392</v>
      </c>
      <c r="C33" s="2" t="str">
        <f t="shared" si="0"/>
        <v>2013</v>
      </c>
      <c r="D33" s="2" t="s">
        <v>424</v>
      </c>
      <c r="E33" s="2" t="s">
        <v>1925</v>
      </c>
      <c r="F33" s="2" t="s">
        <v>36</v>
      </c>
      <c r="G33" s="2" t="s">
        <v>37</v>
      </c>
      <c r="H33" s="2" t="s">
        <v>50</v>
      </c>
      <c r="I33" s="2" t="s">
        <v>83</v>
      </c>
      <c r="J33" s="2" t="s">
        <v>30</v>
      </c>
      <c r="K33" s="2" t="s">
        <v>24</v>
      </c>
      <c r="L33" s="2" t="s">
        <v>25</v>
      </c>
      <c r="M33" s="2" t="s">
        <v>26</v>
      </c>
      <c r="N33" s="2" t="s">
        <v>27</v>
      </c>
      <c r="O33" s="1">
        <v>41392</v>
      </c>
      <c r="P33" s="3">
        <v>6.39</v>
      </c>
      <c r="Q33" s="3">
        <v>19.98</v>
      </c>
      <c r="R33" s="3">
        <f t="shared" si="1"/>
        <v>13.59</v>
      </c>
      <c r="S33" s="2">
        <v>7</v>
      </c>
      <c r="T33" s="3">
        <f t="shared" si="2"/>
        <v>139.86000000000001</v>
      </c>
      <c r="U33" s="4">
        <v>0.01</v>
      </c>
      <c r="V33" s="6">
        <f t="shared" si="3"/>
        <v>1.3986000000000001</v>
      </c>
      <c r="W33" s="6">
        <f t="shared" si="4"/>
        <v>138.46140000000003</v>
      </c>
      <c r="X33" s="3">
        <v>4</v>
      </c>
      <c r="Y33" s="5">
        <f t="shared" si="5"/>
        <v>142.46140000000003</v>
      </c>
    </row>
    <row r="34" spans="1:25" x14ac:dyDescent="0.2">
      <c r="A34" t="s">
        <v>973</v>
      </c>
      <c r="B34" s="1">
        <v>41394</v>
      </c>
      <c r="C34" s="2" t="str">
        <f t="shared" si="0"/>
        <v>2013</v>
      </c>
      <c r="D34" s="2" t="s">
        <v>326</v>
      </c>
      <c r="E34" s="2" t="s">
        <v>199</v>
      </c>
      <c r="F34" s="2" t="s">
        <v>19</v>
      </c>
      <c r="G34" s="2" t="s">
        <v>20</v>
      </c>
      <c r="H34" s="2" t="s">
        <v>50</v>
      </c>
      <c r="I34" s="2" t="s">
        <v>92</v>
      </c>
      <c r="J34" s="2" t="s">
        <v>30</v>
      </c>
      <c r="K34" s="2" t="s">
        <v>117</v>
      </c>
      <c r="L34" s="2" t="s">
        <v>25</v>
      </c>
      <c r="M34" s="2" t="s">
        <v>26</v>
      </c>
      <c r="N34" s="2" t="s">
        <v>89</v>
      </c>
      <c r="O34" s="1">
        <v>41395</v>
      </c>
      <c r="P34" s="3">
        <v>32.020000000000003</v>
      </c>
      <c r="Q34" s="3">
        <v>152.47999999999999</v>
      </c>
      <c r="R34" s="3">
        <f t="shared" si="1"/>
        <v>120.45999999999998</v>
      </c>
      <c r="S34" s="2">
        <v>16</v>
      </c>
      <c r="T34" s="3">
        <f t="shared" si="2"/>
        <v>2439.6799999999998</v>
      </c>
      <c r="U34" s="4">
        <v>0.1</v>
      </c>
      <c r="V34" s="6">
        <f t="shared" si="3"/>
        <v>243.96799999999999</v>
      </c>
      <c r="W34" s="6">
        <f t="shared" si="4"/>
        <v>2195.712</v>
      </c>
      <c r="X34" s="3">
        <v>4</v>
      </c>
      <c r="Y34" s="5">
        <f t="shared" si="5"/>
        <v>2199.712</v>
      </c>
    </row>
    <row r="35" spans="1:25" x14ac:dyDescent="0.2">
      <c r="A35" t="s">
        <v>974</v>
      </c>
      <c r="B35" s="1">
        <v>41394</v>
      </c>
      <c r="C35" s="2" t="str">
        <f t="shared" si="0"/>
        <v>2013</v>
      </c>
      <c r="D35" s="2" t="s">
        <v>187</v>
      </c>
      <c r="E35" s="2" t="s">
        <v>188</v>
      </c>
      <c r="F35" s="2" t="s">
        <v>36</v>
      </c>
      <c r="G35" s="2" t="s">
        <v>37</v>
      </c>
      <c r="H35" s="2" t="s">
        <v>42</v>
      </c>
      <c r="I35" s="2" t="s">
        <v>75</v>
      </c>
      <c r="J35" s="2" t="s">
        <v>52</v>
      </c>
      <c r="K35" s="2" t="s">
        <v>847</v>
      </c>
      <c r="L35" s="2" t="s">
        <v>32</v>
      </c>
      <c r="M35" s="2" t="s">
        <v>26</v>
      </c>
      <c r="N35" s="2" t="s">
        <v>27</v>
      </c>
      <c r="O35" s="1">
        <v>41396</v>
      </c>
      <c r="P35" s="3">
        <v>7.61</v>
      </c>
      <c r="Q35" s="3">
        <v>12.28</v>
      </c>
      <c r="R35" s="3">
        <f t="shared" si="1"/>
        <v>4.669999999999999</v>
      </c>
      <c r="S35" s="2">
        <v>27</v>
      </c>
      <c r="T35" s="3">
        <f t="shared" si="2"/>
        <v>331.56</v>
      </c>
      <c r="U35" s="4">
        <v>0.03</v>
      </c>
      <c r="V35" s="6">
        <f t="shared" si="3"/>
        <v>9.9467999999999996</v>
      </c>
      <c r="W35" s="6">
        <f t="shared" si="4"/>
        <v>321.61320000000001</v>
      </c>
      <c r="X35" s="3">
        <v>6.35</v>
      </c>
      <c r="Y35" s="5">
        <f t="shared" si="5"/>
        <v>327.96320000000003</v>
      </c>
    </row>
    <row r="36" spans="1:25" x14ac:dyDescent="0.2">
      <c r="A36" t="s">
        <v>975</v>
      </c>
      <c r="B36" s="1">
        <v>41394</v>
      </c>
      <c r="C36" s="2" t="str">
        <f t="shared" si="0"/>
        <v>2013</v>
      </c>
      <c r="D36" s="2" t="s">
        <v>801</v>
      </c>
      <c r="E36" s="2" t="s">
        <v>465</v>
      </c>
      <c r="F36" s="2" t="s">
        <v>36</v>
      </c>
      <c r="G36" s="2" t="s">
        <v>37</v>
      </c>
      <c r="H36" s="2" t="s">
        <v>29</v>
      </c>
      <c r="I36" s="2" t="s">
        <v>79</v>
      </c>
      <c r="J36" s="2" t="s">
        <v>52</v>
      </c>
      <c r="K36" s="2" t="s">
        <v>128</v>
      </c>
      <c r="L36" s="2" t="s">
        <v>25</v>
      </c>
      <c r="M36" s="2" t="s">
        <v>26</v>
      </c>
      <c r="N36" s="2" t="s">
        <v>27</v>
      </c>
      <c r="O36" s="1">
        <v>41396</v>
      </c>
      <c r="P36" s="3">
        <v>10.07</v>
      </c>
      <c r="Q36" s="3">
        <v>15.98</v>
      </c>
      <c r="R36" s="3">
        <f t="shared" si="1"/>
        <v>5.91</v>
      </c>
      <c r="S36" s="2">
        <v>39</v>
      </c>
      <c r="T36" s="3">
        <f t="shared" si="2"/>
        <v>623.22</v>
      </c>
      <c r="U36" s="4">
        <v>0.09</v>
      </c>
      <c r="V36" s="6">
        <f t="shared" si="3"/>
        <v>56.089800000000004</v>
      </c>
      <c r="W36" s="6">
        <f t="shared" si="4"/>
        <v>567.13020000000006</v>
      </c>
      <c r="X36" s="3">
        <v>4</v>
      </c>
      <c r="Y36" s="5">
        <f t="shared" si="5"/>
        <v>571.13020000000006</v>
      </c>
    </row>
    <row r="37" spans="1:25" x14ac:dyDescent="0.2">
      <c r="A37" t="s">
        <v>976</v>
      </c>
      <c r="B37" s="1">
        <v>41395</v>
      </c>
      <c r="C37" s="2" t="str">
        <f t="shared" si="0"/>
        <v>2013</v>
      </c>
      <c r="D37" s="2" t="s">
        <v>525</v>
      </c>
      <c r="E37" s="2" t="s">
        <v>498</v>
      </c>
      <c r="F37" s="2" t="s">
        <v>19</v>
      </c>
      <c r="G37" s="2" t="s">
        <v>20</v>
      </c>
      <c r="H37" s="2" t="s">
        <v>50</v>
      </c>
      <c r="I37" s="2" t="s">
        <v>92</v>
      </c>
      <c r="J37" s="2" t="s">
        <v>52</v>
      </c>
      <c r="K37" s="2" t="s">
        <v>295</v>
      </c>
      <c r="L37" s="2" t="s">
        <v>32</v>
      </c>
      <c r="M37" s="2" t="s">
        <v>58</v>
      </c>
      <c r="N37" s="2" t="s">
        <v>27</v>
      </c>
      <c r="O37" s="1">
        <v>41397</v>
      </c>
      <c r="P37" s="3">
        <v>4.79</v>
      </c>
      <c r="Q37" s="3">
        <v>11.97</v>
      </c>
      <c r="R37" s="3">
        <f t="shared" si="1"/>
        <v>7.1800000000000006</v>
      </c>
      <c r="S37" s="2">
        <v>7</v>
      </c>
      <c r="T37" s="3">
        <f t="shared" si="2"/>
        <v>83.79</v>
      </c>
      <c r="U37" s="4">
        <v>0.05</v>
      </c>
      <c r="V37" s="6">
        <f t="shared" si="3"/>
        <v>4.1895000000000007</v>
      </c>
      <c r="W37" s="6">
        <f t="shared" si="4"/>
        <v>79.600500000000011</v>
      </c>
      <c r="X37" s="3">
        <v>5.81</v>
      </c>
      <c r="Y37" s="5">
        <f t="shared" si="5"/>
        <v>85.410500000000013</v>
      </c>
    </row>
    <row r="38" spans="1:25" x14ac:dyDescent="0.2">
      <c r="A38" t="s">
        <v>977</v>
      </c>
      <c r="B38" s="1">
        <v>41396</v>
      </c>
      <c r="C38" s="2" t="str">
        <f t="shared" si="0"/>
        <v>2013</v>
      </c>
      <c r="D38" s="2" t="s">
        <v>841</v>
      </c>
      <c r="E38" s="2" t="s">
        <v>199</v>
      </c>
      <c r="F38" s="2" t="s">
        <v>19</v>
      </c>
      <c r="G38" s="2" t="s">
        <v>20</v>
      </c>
      <c r="H38" s="2" t="s">
        <v>21</v>
      </c>
      <c r="I38" s="2" t="s">
        <v>92</v>
      </c>
      <c r="J38" s="2" t="s">
        <v>52</v>
      </c>
      <c r="K38" s="2" t="s">
        <v>818</v>
      </c>
      <c r="L38" s="2" t="s">
        <v>32</v>
      </c>
      <c r="M38" s="2" t="s">
        <v>26</v>
      </c>
      <c r="N38" s="2" t="s">
        <v>27</v>
      </c>
      <c r="O38" s="1">
        <v>41397</v>
      </c>
      <c r="P38" s="3">
        <v>8.7100000000000009</v>
      </c>
      <c r="Q38" s="3">
        <v>14.28</v>
      </c>
      <c r="R38" s="3">
        <f t="shared" si="1"/>
        <v>5.5699999999999985</v>
      </c>
      <c r="S38" s="2">
        <v>42</v>
      </c>
      <c r="T38" s="3">
        <f t="shared" si="2"/>
        <v>599.76</v>
      </c>
      <c r="U38" s="4">
        <v>0.1</v>
      </c>
      <c r="V38" s="6">
        <f t="shared" si="3"/>
        <v>59.975999999999999</v>
      </c>
      <c r="W38" s="6">
        <f t="shared" si="4"/>
        <v>539.78399999999999</v>
      </c>
      <c r="X38" s="3">
        <v>2.99</v>
      </c>
      <c r="Y38" s="5">
        <f t="shared" si="5"/>
        <v>542.774</v>
      </c>
    </row>
    <row r="39" spans="1:25" x14ac:dyDescent="0.2">
      <c r="A39" t="s">
        <v>978</v>
      </c>
      <c r="B39" s="1">
        <v>41396</v>
      </c>
      <c r="C39" s="2" t="str">
        <f t="shared" si="0"/>
        <v>2013</v>
      </c>
      <c r="D39" s="2" t="s">
        <v>285</v>
      </c>
      <c r="E39" s="2" t="s">
        <v>286</v>
      </c>
      <c r="F39" s="2" t="s">
        <v>36</v>
      </c>
      <c r="G39" s="2" t="s">
        <v>37</v>
      </c>
      <c r="H39" s="2" t="s">
        <v>42</v>
      </c>
      <c r="I39" s="2" t="s">
        <v>102</v>
      </c>
      <c r="J39" s="2" t="s">
        <v>66</v>
      </c>
      <c r="K39" s="2" t="s">
        <v>277</v>
      </c>
      <c r="L39" s="2" t="s">
        <v>32</v>
      </c>
      <c r="M39" s="2" t="s">
        <v>26</v>
      </c>
      <c r="N39" s="2" t="s">
        <v>27</v>
      </c>
      <c r="O39" s="1">
        <v>41397</v>
      </c>
      <c r="P39" s="3">
        <v>54.29</v>
      </c>
      <c r="Q39" s="3">
        <v>90.48</v>
      </c>
      <c r="R39" s="3">
        <f t="shared" si="1"/>
        <v>36.190000000000005</v>
      </c>
      <c r="S39" s="2">
        <v>15</v>
      </c>
      <c r="T39" s="3">
        <f t="shared" si="2"/>
        <v>1357.2</v>
      </c>
      <c r="U39" s="4">
        <v>0.05</v>
      </c>
      <c r="V39" s="6">
        <f t="shared" si="3"/>
        <v>67.86</v>
      </c>
      <c r="W39" s="6">
        <f t="shared" si="4"/>
        <v>1289.3400000000001</v>
      </c>
      <c r="X39" s="3">
        <v>19.989999999999998</v>
      </c>
      <c r="Y39" s="5">
        <f t="shared" si="5"/>
        <v>1309.3300000000002</v>
      </c>
    </row>
    <row r="40" spans="1:25" x14ac:dyDescent="0.2">
      <c r="A40" t="s">
        <v>979</v>
      </c>
      <c r="B40" s="1">
        <v>41397</v>
      </c>
      <c r="C40" s="2" t="str">
        <f t="shared" si="0"/>
        <v>2013</v>
      </c>
      <c r="D40" s="2" t="s">
        <v>846</v>
      </c>
      <c r="E40" s="2" t="s">
        <v>159</v>
      </c>
      <c r="F40" s="2" t="s">
        <v>36</v>
      </c>
      <c r="G40" s="2" t="s">
        <v>37</v>
      </c>
      <c r="H40" s="2" t="s">
        <v>42</v>
      </c>
      <c r="I40" s="2" t="s">
        <v>83</v>
      </c>
      <c r="J40" s="2" t="s">
        <v>66</v>
      </c>
      <c r="K40" s="2" t="s">
        <v>197</v>
      </c>
      <c r="L40" s="2" t="s">
        <v>32</v>
      </c>
      <c r="M40" s="2" t="s">
        <v>26</v>
      </c>
      <c r="N40" s="2" t="s">
        <v>27</v>
      </c>
      <c r="O40" s="1">
        <v>41399</v>
      </c>
      <c r="P40" s="3">
        <v>3.52</v>
      </c>
      <c r="Q40" s="3">
        <v>5.68</v>
      </c>
      <c r="R40" s="3">
        <f t="shared" si="1"/>
        <v>2.1599999999999997</v>
      </c>
      <c r="S40" s="2">
        <v>20</v>
      </c>
      <c r="T40" s="3">
        <f t="shared" si="2"/>
        <v>113.6</v>
      </c>
      <c r="U40" s="4">
        <v>7.0000000000000007E-2</v>
      </c>
      <c r="V40" s="6">
        <f t="shared" si="3"/>
        <v>7.952</v>
      </c>
      <c r="W40" s="6">
        <f t="shared" si="4"/>
        <v>105.648</v>
      </c>
      <c r="X40" s="3">
        <v>1.39</v>
      </c>
      <c r="Y40" s="5">
        <f t="shared" si="5"/>
        <v>107.038</v>
      </c>
    </row>
    <row r="41" spans="1:25" x14ac:dyDescent="0.2">
      <c r="A41" t="s">
        <v>980</v>
      </c>
      <c r="B41" s="1">
        <v>41398</v>
      </c>
      <c r="C41" s="2" t="str">
        <f t="shared" si="0"/>
        <v>2013</v>
      </c>
      <c r="D41" s="2" t="s">
        <v>605</v>
      </c>
      <c r="E41" s="2" t="s">
        <v>281</v>
      </c>
      <c r="F41" s="2" t="s">
        <v>36</v>
      </c>
      <c r="G41" s="2" t="s">
        <v>37</v>
      </c>
      <c r="H41" s="2" t="s">
        <v>50</v>
      </c>
      <c r="I41" s="2" t="s">
        <v>96</v>
      </c>
      <c r="J41" s="2" t="s">
        <v>66</v>
      </c>
      <c r="K41" s="2" t="s">
        <v>488</v>
      </c>
      <c r="L41" s="2" t="s">
        <v>32</v>
      </c>
      <c r="M41" s="2" t="s">
        <v>33</v>
      </c>
      <c r="N41" s="2" t="s">
        <v>27</v>
      </c>
      <c r="O41" s="1">
        <v>41400</v>
      </c>
      <c r="P41" s="3">
        <v>3.47</v>
      </c>
      <c r="Q41" s="3">
        <v>6.68</v>
      </c>
      <c r="R41" s="3">
        <f t="shared" si="1"/>
        <v>3.2099999999999995</v>
      </c>
      <c r="S41" s="2">
        <v>41</v>
      </c>
      <c r="T41" s="3">
        <f t="shared" si="2"/>
        <v>273.88</v>
      </c>
      <c r="U41" s="4">
        <v>0.08</v>
      </c>
      <c r="V41" s="6">
        <f t="shared" si="3"/>
        <v>21.910399999999999</v>
      </c>
      <c r="W41" s="6">
        <f t="shared" si="4"/>
        <v>251.96959999999999</v>
      </c>
      <c r="X41" s="3">
        <v>1.5</v>
      </c>
      <c r="Y41" s="5">
        <f t="shared" si="5"/>
        <v>253.46959999999999</v>
      </c>
    </row>
    <row r="42" spans="1:25" x14ac:dyDescent="0.2">
      <c r="A42" t="s">
        <v>860</v>
      </c>
      <c r="B42" s="1">
        <v>41399</v>
      </c>
      <c r="C42" s="2" t="str">
        <f t="shared" si="0"/>
        <v>2013</v>
      </c>
      <c r="D42" s="2" t="s">
        <v>629</v>
      </c>
      <c r="E42" s="2" t="s">
        <v>373</v>
      </c>
      <c r="F42" s="2" t="s">
        <v>36</v>
      </c>
      <c r="G42" s="2" t="s">
        <v>37</v>
      </c>
      <c r="H42" s="2" t="s">
        <v>50</v>
      </c>
      <c r="I42" s="2" t="s">
        <v>51</v>
      </c>
      <c r="J42" s="2" t="s">
        <v>30</v>
      </c>
      <c r="K42" s="2" t="s">
        <v>447</v>
      </c>
      <c r="L42" s="2" t="s">
        <v>25</v>
      </c>
      <c r="M42" s="2" t="s">
        <v>58</v>
      </c>
      <c r="N42" s="2" t="s">
        <v>27</v>
      </c>
      <c r="O42" s="1">
        <v>41400</v>
      </c>
      <c r="P42" s="3">
        <v>1.87</v>
      </c>
      <c r="Q42" s="3">
        <v>2.2253000000000003</v>
      </c>
      <c r="R42" s="3">
        <f t="shared" si="1"/>
        <v>0.35530000000000017</v>
      </c>
      <c r="S42" s="2">
        <v>41</v>
      </c>
      <c r="T42" s="3">
        <f t="shared" si="2"/>
        <v>91.237300000000005</v>
      </c>
      <c r="U42" s="4">
        <v>0.06</v>
      </c>
      <c r="V42" s="6">
        <f t="shared" si="3"/>
        <v>5.4742379999999997</v>
      </c>
      <c r="W42" s="6">
        <f t="shared" si="4"/>
        <v>85.763062000000005</v>
      </c>
      <c r="X42" s="3">
        <v>2.83</v>
      </c>
      <c r="Y42" s="5">
        <f t="shared" si="5"/>
        <v>88.593062000000003</v>
      </c>
    </row>
    <row r="43" spans="1:25" x14ac:dyDescent="0.2">
      <c r="A43" t="s">
        <v>861</v>
      </c>
      <c r="B43" s="1">
        <v>41399</v>
      </c>
      <c r="C43" s="2" t="str">
        <f t="shared" si="0"/>
        <v>2013</v>
      </c>
      <c r="D43" s="2" t="s">
        <v>629</v>
      </c>
      <c r="E43" s="2" t="s">
        <v>373</v>
      </c>
      <c r="F43" s="2" t="s">
        <v>36</v>
      </c>
      <c r="G43" s="2" t="s">
        <v>37</v>
      </c>
      <c r="H43" s="2" t="s">
        <v>50</v>
      </c>
      <c r="I43" s="2" t="s">
        <v>51</v>
      </c>
      <c r="J43" s="2" t="s">
        <v>30</v>
      </c>
      <c r="K43" s="2" t="s">
        <v>488</v>
      </c>
      <c r="L43" s="2" t="s">
        <v>32</v>
      </c>
      <c r="M43" s="2" t="s">
        <v>33</v>
      </c>
      <c r="N43" s="2" t="s">
        <v>27</v>
      </c>
      <c r="O43" s="1">
        <v>41400</v>
      </c>
      <c r="P43" s="3">
        <v>3.47</v>
      </c>
      <c r="Q43" s="3">
        <v>6.68</v>
      </c>
      <c r="R43" s="3">
        <f t="shared" si="1"/>
        <v>3.2099999999999995</v>
      </c>
      <c r="S43" s="2">
        <v>2</v>
      </c>
      <c r="T43" s="3">
        <f t="shared" si="2"/>
        <v>13.36</v>
      </c>
      <c r="U43" s="4">
        <v>0.01</v>
      </c>
      <c r="V43" s="6">
        <f t="shared" si="3"/>
        <v>0.1336</v>
      </c>
      <c r="W43" s="6">
        <f t="shared" si="4"/>
        <v>13.2264</v>
      </c>
      <c r="X43" s="3">
        <v>1.5</v>
      </c>
      <c r="Y43" s="5">
        <f t="shared" si="5"/>
        <v>14.7264</v>
      </c>
    </row>
    <row r="44" spans="1:25" x14ac:dyDescent="0.2">
      <c r="A44" t="s">
        <v>981</v>
      </c>
      <c r="B44" s="1">
        <v>41399</v>
      </c>
      <c r="C44" s="2" t="str">
        <f t="shared" si="0"/>
        <v>2013</v>
      </c>
      <c r="D44" s="2" t="s">
        <v>840</v>
      </c>
      <c r="E44" s="2" t="s">
        <v>251</v>
      </c>
      <c r="F44" s="2" t="s">
        <v>19</v>
      </c>
      <c r="G44" s="2" t="s">
        <v>20</v>
      </c>
      <c r="H44" s="2" t="s">
        <v>50</v>
      </c>
      <c r="I44" s="2" t="s">
        <v>92</v>
      </c>
      <c r="J44" s="2" t="s">
        <v>23</v>
      </c>
      <c r="K44" s="2" t="s">
        <v>128</v>
      </c>
      <c r="L44" s="2" t="s">
        <v>25</v>
      </c>
      <c r="M44" s="2" t="s">
        <v>26</v>
      </c>
      <c r="N44" s="2" t="s">
        <v>27</v>
      </c>
      <c r="O44" s="1">
        <v>41404</v>
      </c>
      <c r="P44" s="3">
        <v>10.07</v>
      </c>
      <c r="Q44" s="3">
        <v>15.98</v>
      </c>
      <c r="R44" s="3">
        <f t="shared" si="1"/>
        <v>5.91</v>
      </c>
      <c r="S44" s="2">
        <v>34</v>
      </c>
      <c r="T44" s="3">
        <f t="shared" si="2"/>
        <v>543.32000000000005</v>
      </c>
      <c r="U44" s="4">
        <v>0.1</v>
      </c>
      <c r="V44" s="6">
        <f t="shared" si="3"/>
        <v>54.332000000000008</v>
      </c>
      <c r="W44" s="6">
        <f t="shared" si="4"/>
        <v>488.98800000000006</v>
      </c>
      <c r="X44" s="3">
        <v>4</v>
      </c>
      <c r="Y44" s="5">
        <f t="shared" si="5"/>
        <v>492.98800000000006</v>
      </c>
    </row>
    <row r="45" spans="1:25" x14ac:dyDescent="0.2">
      <c r="A45" t="s">
        <v>982</v>
      </c>
      <c r="B45" s="1">
        <v>41401</v>
      </c>
      <c r="C45" s="2" t="str">
        <f t="shared" si="0"/>
        <v>2013</v>
      </c>
      <c r="D45" s="2" t="s">
        <v>175</v>
      </c>
      <c r="E45" s="2" t="s">
        <v>176</v>
      </c>
      <c r="F45" s="2" t="s">
        <v>36</v>
      </c>
      <c r="G45" s="2" t="s">
        <v>37</v>
      </c>
      <c r="H45" s="2" t="s">
        <v>42</v>
      </c>
      <c r="I45" s="2" t="s">
        <v>102</v>
      </c>
      <c r="J45" s="2" t="s">
        <v>52</v>
      </c>
      <c r="K45" s="2" t="s">
        <v>295</v>
      </c>
      <c r="L45" s="2" t="s">
        <v>32</v>
      </c>
      <c r="M45" s="2" t="s">
        <v>58</v>
      </c>
      <c r="N45" s="2" t="s">
        <v>27</v>
      </c>
      <c r="O45" s="1">
        <v>41403</v>
      </c>
      <c r="P45" s="3">
        <v>4.79</v>
      </c>
      <c r="Q45" s="3">
        <v>11.97</v>
      </c>
      <c r="R45" s="3">
        <f t="shared" si="1"/>
        <v>7.1800000000000006</v>
      </c>
      <c r="S45" s="2">
        <v>18</v>
      </c>
      <c r="T45" s="3">
        <f t="shared" si="2"/>
        <v>215.46</v>
      </c>
      <c r="U45" s="4">
        <v>0.08</v>
      </c>
      <c r="V45" s="6">
        <f t="shared" si="3"/>
        <v>17.236800000000002</v>
      </c>
      <c r="W45" s="6">
        <f t="shared" si="4"/>
        <v>198.22320000000002</v>
      </c>
      <c r="X45" s="3">
        <v>5.81</v>
      </c>
      <c r="Y45" s="5">
        <f t="shared" si="5"/>
        <v>204.03320000000002</v>
      </c>
    </row>
    <row r="46" spans="1:25" x14ac:dyDescent="0.2">
      <c r="A46" t="s">
        <v>983</v>
      </c>
      <c r="B46" s="1">
        <v>41403</v>
      </c>
      <c r="C46" s="2" t="str">
        <f t="shared" si="0"/>
        <v>2013</v>
      </c>
      <c r="D46" s="2" t="s">
        <v>844</v>
      </c>
      <c r="E46" s="2" t="s">
        <v>196</v>
      </c>
      <c r="F46" s="2" t="s">
        <v>36</v>
      </c>
      <c r="G46" s="2" t="s">
        <v>37</v>
      </c>
      <c r="H46" s="2" t="s">
        <v>21</v>
      </c>
      <c r="I46" s="2" t="s">
        <v>102</v>
      </c>
      <c r="J46" s="2" t="s">
        <v>66</v>
      </c>
      <c r="K46" s="2" t="s">
        <v>84</v>
      </c>
      <c r="L46" s="2" t="s">
        <v>25</v>
      </c>
      <c r="M46" s="2" t="s">
        <v>85</v>
      </c>
      <c r="N46" s="2" t="s">
        <v>89</v>
      </c>
      <c r="O46" s="1">
        <v>41404</v>
      </c>
      <c r="P46" s="3">
        <v>8.82</v>
      </c>
      <c r="Q46" s="3">
        <v>20.99</v>
      </c>
      <c r="R46" s="3">
        <f t="shared" si="1"/>
        <v>12.169999999999998</v>
      </c>
      <c r="S46" s="2">
        <v>8</v>
      </c>
      <c r="T46" s="3">
        <f t="shared" si="2"/>
        <v>167.92</v>
      </c>
      <c r="U46" s="4">
        <v>0.09</v>
      </c>
      <c r="V46" s="6">
        <f t="shared" si="3"/>
        <v>15.112799999999998</v>
      </c>
      <c r="W46" s="6">
        <f t="shared" si="4"/>
        <v>152.80719999999999</v>
      </c>
      <c r="X46" s="3">
        <v>4.8099999999999996</v>
      </c>
      <c r="Y46" s="5">
        <f t="shared" si="5"/>
        <v>157.6172</v>
      </c>
    </row>
    <row r="47" spans="1:25" x14ac:dyDescent="0.2">
      <c r="A47" t="s">
        <v>984</v>
      </c>
      <c r="B47" s="1">
        <v>41403</v>
      </c>
      <c r="C47" s="2" t="str">
        <f t="shared" si="0"/>
        <v>2013</v>
      </c>
      <c r="D47" s="2" t="s">
        <v>845</v>
      </c>
      <c r="E47" s="2" t="s">
        <v>18</v>
      </c>
      <c r="F47" s="2" t="s">
        <v>19</v>
      </c>
      <c r="G47" s="2" t="s">
        <v>20</v>
      </c>
      <c r="H47" s="2" t="s">
        <v>29</v>
      </c>
      <c r="I47" s="2" t="s">
        <v>22</v>
      </c>
      <c r="J47" s="2" t="s">
        <v>66</v>
      </c>
      <c r="K47" s="2" t="s">
        <v>355</v>
      </c>
      <c r="L47" s="2" t="s">
        <v>32</v>
      </c>
      <c r="M47" s="2" t="s">
        <v>33</v>
      </c>
      <c r="N47" s="2" t="s">
        <v>27</v>
      </c>
      <c r="O47" s="1">
        <v>41405</v>
      </c>
      <c r="P47" s="3">
        <v>1.0900000000000001</v>
      </c>
      <c r="Q47" s="3">
        <v>1.68</v>
      </c>
      <c r="R47" s="3">
        <f t="shared" si="1"/>
        <v>0.58999999999999986</v>
      </c>
      <c r="S47" s="2">
        <v>18</v>
      </c>
      <c r="T47" s="3">
        <f t="shared" si="2"/>
        <v>30.24</v>
      </c>
      <c r="U47" s="4">
        <v>0.06</v>
      </c>
      <c r="V47" s="6">
        <f t="shared" si="3"/>
        <v>1.8143999999999998</v>
      </c>
      <c r="W47" s="6">
        <f t="shared" si="4"/>
        <v>28.425599999999999</v>
      </c>
      <c r="X47" s="3">
        <v>1</v>
      </c>
      <c r="Y47" s="5">
        <f t="shared" si="5"/>
        <v>29.425599999999999</v>
      </c>
    </row>
    <row r="48" spans="1:25" x14ac:dyDescent="0.2">
      <c r="A48" t="s">
        <v>985</v>
      </c>
      <c r="B48" s="1">
        <v>41407</v>
      </c>
      <c r="C48" s="2" t="str">
        <f t="shared" si="0"/>
        <v>2013</v>
      </c>
      <c r="D48" s="2" t="s">
        <v>45</v>
      </c>
      <c r="E48" s="2" t="s">
        <v>1911</v>
      </c>
      <c r="F48" s="2" t="s">
        <v>19</v>
      </c>
      <c r="G48" s="2" t="s">
        <v>20</v>
      </c>
      <c r="H48" s="2" t="s">
        <v>21</v>
      </c>
      <c r="I48" s="2" t="s">
        <v>22</v>
      </c>
      <c r="J48" s="2" t="s">
        <v>30</v>
      </c>
      <c r="K48" s="2" t="s">
        <v>146</v>
      </c>
      <c r="L48" s="2" t="s">
        <v>32</v>
      </c>
      <c r="M48" s="2" t="s">
        <v>33</v>
      </c>
      <c r="N48" s="2" t="s">
        <v>89</v>
      </c>
      <c r="O48" s="1">
        <v>41409</v>
      </c>
      <c r="P48" s="3">
        <v>2.52</v>
      </c>
      <c r="Q48" s="3">
        <v>4</v>
      </c>
      <c r="R48" s="3">
        <f t="shared" si="1"/>
        <v>1.48</v>
      </c>
      <c r="S48" s="2">
        <v>19</v>
      </c>
      <c r="T48" s="3">
        <f t="shared" si="2"/>
        <v>76</v>
      </c>
      <c r="U48" s="4">
        <v>0.09</v>
      </c>
      <c r="V48" s="6">
        <f t="shared" si="3"/>
        <v>6.84</v>
      </c>
      <c r="W48" s="6">
        <f t="shared" si="4"/>
        <v>69.16</v>
      </c>
      <c r="X48" s="3">
        <v>1.3</v>
      </c>
      <c r="Y48" s="5">
        <f t="shared" si="5"/>
        <v>70.459999999999994</v>
      </c>
    </row>
    <row r="49" spans="1:25" x14ac:dyDescent="0.2">
      <c r="A49" t="s">
        <v>986</v>
      </c>
      <c r="B49" s="1">
        <v>41408</v>
      </c>
      <c r="C49" s="2" t="str">
        <f t="shared" si="0"/>
        <v>2013</v>
      </c>
      <c r="D49" s="2" t="s">
        <v>842</v>
      </c>
      <c r="E49" s="2" t="s">
        <v>276</v>
      </c>
      <c r="F49" s="2" t="s">
        <v>19</v>
      </c>
      <c r="G49" s="2" t="s">
        <v>20</v>
      </c>
      <c r="H49" s="2" t="s">
        <v>21</v>
      </c>
      <c r="I49" s="2" t="s">
        <v>22</v>
      </c>
      <c r="J49" s="2" t="s">
        <v>44</v>
      </c>
      <c r="K49" s="2" t="s">
        <v>287</v>
      </c>
      <c r="L49" s="2" t="s">
        <v>32</v>
      </c>
      <c r="M49" s="2" t="s">
        <v>26</v>
      </c>
      <c r="N49" s="2" t="s">
        <v>27</v>
      </c>
      <c r="O49" s="1">
        <v>41409</v>
      </c>
      <c r="P49" s="3">
        <v>13.88</v>
      </c>
      <c r="Q49" s="3">
        <v>22.38</v>
      </c>
      <c r="R49" s="3">
        <f t="shared" si="1"/>
        <v>8.4999999999999982</v>
      </c>
      <c r="S49" s="2">
        <v>26</v>
      </c>
      <c r="T49" s="3">
        <f t="shared" si="2"/>
        <v>581.88</v>
      </c>
      <c r="U49" s="4">
        <v>0.1</v>
      </c>
      <c r="V49" s="6">
        <f t="shared" si="3"/>
        <v>58.188000000000002</v>
      </c>
      <c r="W49" s="6">
        <f t="shared" si="4"/>
        <v>523.69200000000001</v>
      </c>
      <c r="X49" s="3">
        <v>15.1</v>
      </c>
      <c r="Y49" s="5">
        <f t="shared" si="5"/>
        <v>538.79200000000003</v>
      </c>
    </row>
    <row r="50" spans="1:25" x14ac:dyDescent="0.2">
      <c r="A50" t="s">
        <v>987</v>
      </c>
      <c r="B50" s="1">
        <v>41408</v>
      </c>
      <c r="C50" s="2" t="str">
        <f t="shared" si="0"/>
        <v>2013</v>
      </c>
      <c r="D50" s="2" t="s">
        <v>843</v>
      </c>
      <c r="E50" s="2" t="s">
        <v>41</v>
      </c>
      <c r="F50" s="2" t="s">
        <v>36</v>
      </c>
      <c r="G50" s="2" t="s">
        <v>37</v>
      </c>
      <c r="H50" s="2" t="s">
        <v>50</v>
      </c>
      <c r="I50" s="2" t="s">
        <v>43</v>
      </c>
      <c r="J50" s="2" t="s">
        <v>52</v>
      </c>
      <c r="K50" s="2" t="s">
        <v>365</v>
      </c>
      <c r="L50" s="2" t="s">
        <v>32</v>
      </c>
      <c r="M50" s="2" t="s">
        <v>33</v>
      </c>
      <c r="N50" s="2" t="s">
        <v>27</v>
      </c>
      <c r="O50" s="1">
        <v>41410</v>
      </c>
      <c r="P50" s="3">
        <v>21.56</v>
      </c>
      <c r="Q50" s="3">
        <v>36.549999999999997</v>
      </c>
      <c r="R50" s="3">
        <f t="shared" si="1"/>
        <v>14.989999999999998</v>
      </c>
      <c r="S50" s="2">
        <v>45</v>
      </c>
      <c r="T50" s="3">
        <f t="shared" si="2"/>
        <v>1644.7499999999998</v>
      </c>
      <c r="U50" s="4">
        <v>0.1</v>
      </c>
      <c r="V50" s="6">
        <f t="shared" si="3"/>
        <v>164.47499999999999</v>
      </c>
      <c r="W50" s="6">
        <f t="shared" si="4"/>
        <v>1480.2749999999999</v>
      </c>
      <c r="X50" s="3">
        <v>13.89</v>
      </c>
      <c r="Y50" s="5">
        <f t="shared" si="5"/>
        <v>1494.165</v>
      </c>
    </row>
    <row r="51" spans="1:25" x14ac:dyDescent="0.2">
      <c r="A51" t="s">
        <v>988</v>
      </c>
      <c r="B51" s="1">
        <v>41409</v>
      </c>
      <c r="C51" s="2" t="str">
        <f t="shared" si="0"/>
        <v>2013</v>
      </c>
      <c r="D51" s="2" t="s">
        <v>514</v>
      </c>
      <c r="E51" s="2" t="s">
        <v>194</v>
      </c>
      <c r="F51" s="2" t="s">
        <v>36</v>
      </c>
      <c r="G51" s="2" t="s">
        <v>37</v>
      </c>
      <c r="H51" s="2" t="s">
        <v>29</v>
      </c>
      <c r="I51" s="2" t="s">
        <v>51</v>
      </c>
      <c r="J51" s="2" t="s">
        <v>44</v>
      </c>
      <c r="K51" s="2" t="s">
        <v>319</v>
      </c>
      <c r="L51" s="2" t="s">
        <v>25</v>
      </c>
      <c r="M51" s="2" t="s">
        <v>26</v>
      </c>
      <c r="N51" s="2" t="s">
        <v>89</v>
      </c>
      <c r="O51" s="1">
        <v>41410</v>
      </c>
      <c r="P51" s="3">
        <v>19.78</v>
      </c>
      <c r="Q51" s="3">
        <v>45.99</v>
      </c>
      <c r="R51" s="3">
        <f t="shared" si="1"/>
        <v>26.21</v>
      </c>
      <c r="S51" s="2">
        <v>14</v>
      </c>
      <c r="T51" s="3">
        <f t="shared" si="2"/>
        <v>643.86</v>
      </c>
      <c r="U51" s="4">
        <v>0.02</v>
      </c>
      <c r="V51" s="6">
        <f t="shared" si="3"/>
        <v>12.8772</v>
      </c>
      <c r="W51" s="6">
        <f t="shared" si="4"/>
        <v>630.9828</v>
      </c>
      <c r="X51" s="3">
        <v>4.99</v>
      </c>
      <c r="Y51" s="5">
        <f t="shared" si="5"/>
        <v>635.97280000000001</v>
      </c>
    </row>
    <row r="52" spans="1:25" x14ac:dyDescent="0.2">
      <c r="A52" t="s">
        <v>989</v>
      </c>
      <c r="B52" s="1">
        <v>41413</v>
      </c>
      <c r="C52" s="2" t="str">
        <f t="shared" si="0"/>
        <v>2013</v>
      </c>
      <c r="D52" s="2" t="s">
        <v>160</v>
      </c>
      <c r="E52" s="2" t="s">
        <v>161</v>
      </c>
      <c r="F52" s="2" t="s">
        <v>36</v>
      </c>
      <c r="G52" s="2" t="s">
        <v>37</v>
      </c>
      <c r="H52" s="2" t="s">
        <v>21</v>
      </c>
      <c r="I52" s="2" t="s">
        <v>51</v>
      </c>
      <c r="J52" s="2" t="s">
        <v>44</v>
      </c>
      <c r="K52" s="2" t="s">
        <v>239</v>
      </c>
      <c r="L52" s="2" t="s">
        <v>25</v>
      </c>
      <c r="M52" s="2" t="s">
        <v>85</v>
      </c>
      <c r="N52" s="2" t="s">
        <v>27</v>
      </c>
      <c r="O52" s="1">
        <v>41414</v>
      </c>
      <c r="P52" s="3">
        <v>9.91</v>
      </c>
      <c r="Q52" s="3">
        <v>15.99</v>
      </c>
      <c r="R52" s="3">
        <f t="shared" si="1"/>
        <v>6.08</v>
      </c>
      <c r="S52" s="2">
        <v>7</v>
      </c>
      <c r="T52" s="3">
        <f t="shared" si="2"/>
        <v>111.93</v>
      </c>
      <c r="U52" s="4">
        <v>0.03</v>
      </c>
      <c r="V52" s="6">
        <f t="shared" si="3"/>
        <v>3.3578999999999999</v>
      </c>
      <c r="W52" s="6">
        <f t="shared" si="4"/>
        <v>108.57210000000001</v>
      </c>
      <c r="X52" s="3">
        <v>11.28</v>
      </c>
      <c r="Y52" s="5">
        <f t="shared" si="5"/>
        <v>119.85210000000001</v>
      </c>
    </row>
    <row r="53" spans="1:25" x14ac:dyDescent="0.2">
      <c r="A53" t="s">
        <v>990</v>
      </c>
      <c r="B53" s="1">
        <v>41413</v>
      </c>
      <c r="C53" s="2" t="str">
        <f t="shared" si="0"/>
        <v>2013</v>
      </c>
      <c r="D53" s="2" t="s">
        <v>841</v>
      </c>
      <c r="E53" s="2" t="s">
        <v>199</v>
      </c>
      <c r="F53" s="2" t="s">
        <v>19</v>
      </c>
      <c r="G53" s="2" t="s">
        <v>20</v>
      </c>
      <c r="H53" s="2" t="s">
        <v>21</v>
      </c>
      <c r="I53" s="2" t="s">
        <v>92</v>
      </c>
      <c r="J53" s="2" t="s">
        <v>52</v>
      </c>
      <c r="K53" s="2" t="s">
        <v>53</v>
      </c>
      <c r="L53" s="2" t="s">
        <v>32</v>
      </c>
      <c r="M53" s="2" t="s">
        <v>33</v>
      </c>
      <c r="N53" s="2" t="s">
        <v>27</v>
      </c>
      <c r="O53" s="1">
        <v>41414</v>
      </c>
      <c r="P53" s="3">
        <v>3.75</v>
      </c>
      <c r="Q53" s="3">
        <v>7.08</v>
      </c>
      <c r="R53" s="3">
        <f t="shared" si="1"/>
        <v>3.33</v>
      </c>
      <c r="S53" s="2">
        <v>29</v>
      </c>
      <c r="T53" s="3">
        <f t="shared" si="2"/>
        <v>205.32</v>
      </c>
      <c r="U53" s="4">
        <v>0.04</v>
      </c>
      <c r="V53" s="6">
        <f t="shared" si="3"/>
        <v>8.2127999999999997</v>
      </c>
      <c r="W53" s="6">
        <f t="shared" si="4"/>
        <v>197.10720000000001</v>
      </c>
      <c r="X53" s="3">
        <v>2.35</v>
      </c>
      <c r="Y53" s="5">
        <f t="shared" si="5"/>
        <v>199.4572</v>
      </c>
    </row>
    <row r="54" spans="1:25" x14ac:dyDescent="0.2">
      <c r="A54" t="s">
        <v>991</v>
      </c>
      <c r="B54" s="1">
        <v>41414</v>
      </c>
      <c r="C54" s="2" t="str">
        <f t="shared" si="0"/>
        <v>2013</v>
      </c>
      <c r="D54" s="2" t="s">
        <v>471</v>
      </c>
      <c r="E54" s="2" t="s">
        <v>357</v>
      </c>
      <c r="F54" s="2" t="s">
        <v>36</v>
      </c>
      <c r="G54" s="2" t="s">
        <v>37</v>
      </c>
      <c r="H54" s="2" t="s">
        <v>50</v>
      </c>
      <c r="I54" s="2" t="s">
        <v>96</v>
      </c>
      <c r="J54" s="2" t="s">
        <v>44</v>
      </c>
      <c r="K54" s="2" t="s">
        <v>149</v>
      </c>
      <c r="L54" s="2" t="s">
        <v>150</v>
      </c>
      <c r="M54" s="2" t="s">
        <v>58</v>
      </c>
      <c r="N54" s="2" t="s">
        <v>27</v>
      </c>
      <c r="O54" s="1">
        <v>41415</v>
      </c>
      <c r="P54" s="3">
        <v>5.5</v>
      </c>
      <c r="Q54" s="3">
        <v>12.22</v>
      </c>
      <c r="R54" s="3">
        <f t="shared" si="1"/>
        <v>6.7200000000000006</v>
      </c>
      <c r="S54" s="2">
        <v>35</v>
      </c>
      <c r="T54" s="3">
        <f t="shared" si="2"/>
        <v>427.70000000000005</v>
      </c>
      <c r="U54" s="4">
        <v>0</v>
      </c>
      <c r="V54" s="6">
        <f t="shared" si="3"/>
        <v>0</v>
      </c>
      <c r="W54" s="6">
        <f t="shared" si="4"/>
        <v>427.70000000000005</v>
      </c>
      <c r="X54" s="3">
        <v>2.85</v>
      </c>
      <c r="Y54" s="5">
        <f t="shared" si="5"/>
        <v>430.55000000000007</v>
      </c>
    </row>
    <row r="55" spans="1:25" x14ac:dyDescent="0.2">
      <c r="A55" t="s">
        <v>992</v>
      </c>
      <c r="B55" s="1">
        <v>41414</v>
      </c>
      <c r="C55" s="2" t="str">
        <f t="shared" si="0"/>
        <v>2013</v>
      </c>
      <c r="D55" s="2" t="s">
        <v>378</v>
      </c>
      <c r="E55" s="2" t="s">
        <v>379</v>
      </c>
      <c r="F55" s="2" t="s">
        <v>36</v>
      </c>
      <c r="G55" s="2" t="s">
        <v>37</v>
      </c>
      <c r="H55" s="2" t="s">
        <v>42</v>
      </c>
      <c r="I55" s="2" t="s">
        <v>56</v>
      </c>
      <c r="J55" s="2" t="s">
        <v>52</v>
      </c>
      <c r="K55" s="2" t="s">
        <v>39</v>
      </c>
      <c r="L55" s="2" t="s">
        <v>32</v>
      </c>
      <c r="M55" s="2" t="s">
        <v>26</v>
      </c>
      <c r="N55" s="2" t="s">
        <v>27</v>
      </c>
      <c r="O55" s="1">
        <v>41416</v>
      </c>
      <c r="P55" s="3">
        <v>13.64</v>
      </c>
      <c r="Q55" s="3">
        <v>20.98</v>
      </c>
      <c r="R55" s="3">
        <f t="shared" si="1"/>
        <v>7.34</v>
      </c>
      <c r="S55" s="2">
        <v>47</v>
      </c>
      <c r="T55" s="3">
        <f t="shared" si="2"/>
        <v>986.06000000000006</v>
      </c>
      <c r="U55" s="4">
        <v>0.1</v>
      </c>
      <c r="V55" s="6">
        <f t="shared" si="3"/>
        <v>98.606000000000009</v>
      </c>
      <c r="W55" s="6">
        <f t="shared" si="4"/>
        <v>887.45400000000006</v>
      </c>
      <c r="X55" s="3">
        <v>1.49</v>
      </c>
      <c r="Y55" s="5">
        <f t="shared" si="5"/>
        <v>888.94400000000007</v>
      </c>
    </row>
    <row r="56" spans="1:25" x14ac:dyDescent="0.2">
      <c r="A56" t="s">
        <v>993</v>
      </c>
      <c r="B56" s="1">
        <v>41415</v>
      </c>
      <c r="C56" s="2" t="str">
        <f t="shared" si="0"/>
        <v>2013</v>
      </c>
      <c r="D56" s="2" t="s">
        <v>840</v>
      </c>
      <c r="E56" s="2" t="s">
        <v>251</v>
      </c>
      <c r="F56" s="2" t="s">
        <v>19</v>
      </c>
      <c r="G56" s="2" t="s">
        <v>20</v>
      </c>
      <c r="H56" s="2" t="s">
        <v>29</v>
      </c>
      <c r="I56" s="2" t="s">
        <v>92</v>
      </c>
      <c r="J56" s="2" t="s">
        <v>44</v>
      </c>
      <c r="K56" s="2" t="s">
        <v>623</v>
      </c>
      <c r="L56" s="2" t="s">
        <v>32</v>
      </c>
      <c r="M56" s="2" t="s">
        <v>58</v>
      </c>
      <c r="N56" s="2" t="s">
        <v>27</v>
      </c>
      <c r="O56" s="1">
        <v>41415</v>
      </c>
      <c r="P56" s="3">
        <v>3.42</v>
      </c>
      <c r="Q56" s="3">
        <v>8.34</v>
      </c>
      <c r="R56" s="3">
        <f t="shared" si="1"/>
        <v>4.92</v>
      </c>
      <c r="S56" s="2">
        <v>24</v>
      </c>
      <c r="T56" s="3">
        <f t="shared" si="2"/>
        <v>200.16</v>
      </c>
      <c r="U56" s="4">
        <v>0.1</v>
      </c>
      <c r="V56" s="6">
        <f t="shared" si="3"/>
        <v>20.016000000000002</v>
      </c>
      <c r="W56" s="6">
        <f t="shared" si="4"/>
        <v>180.14400000000001</v>
      </c>
      <c r="X56" s="3">
        <v>2.64</v>
      </c>
      <c r="Y56" s="5">
        <f t="shared" si="5"/>
        <v>182.78399999999999</v>
      </c>
    </row>
    <row r="57" spans="1:25" x14ac:dyDescent="0.2">
      <c r="A57" t="s">
        <v>994</v>
      </c>
      <c r="B57" s="1">
        <v>41416</v>
      </c>
      <c r="C57" s="2" t="str">
        <f t="shared" si="0"/>
        <v>2013</v>
      </c>
      <c r="D57" s="2" t="s">
        <v>392</v>
      </c>
      <c r="E57" s="2" t="s">
        <v>1902</v>
      </c>
      <c r="F57" s="2" t="s">
        <v>1881</v>
      </c>
      <c r="G57" s="2" t="s">
        <v>1882</v>
      </c>
      <c r="H57" s="2" t="s">
        <v>42</v>
      </c>
      <c r="I57" s="2" t="s">
        <v>51</v>
      </c>
      <c r="J57" s="2" t="s">
        <v>66</v>
      </c>
      <c r="K57" s="2" t="s">
        <v>80</v>
      </c>
      <c r="L57" s="2" t="s">
        <v>32</v>
      </c>
      <c r="M57" s="2" t="s">
        <v>26</v>
      </c>
      <c r="N57" s="2" t="s">
        <v>89</v>
      </c>
      <c r="O57" s="1">
        <v>41417</v>
      </c>
      <c r="P57" s="3">
        <v>4.59</v>
      </c>
      <c r="Q57" s="3">
        <v>7.28</v>
      </c>
      <c r="R57" s="3">
        <f t="shared" si="1"/>
        <v>2.6900000000000004</v>
      </c>
      <c r="S57" s="2">
        <v>2</v>
      </c>
      <c r="T57" s="3">
        <f t="shared" si="2"/>
        <v>14.56</v>
      </c>
      <c r="U57" s="4">
        <v>0.08</v>
      </c>
      <c r="V57" s="6">
        <f t="shared" si="3"/>
        <v>1.1648000000000001</v>
      </c>
      <c r="W57" s="6">
        <f t="shared" si="4"/>
        <v>13.395200000000001</v>
      </c>
      <c r="X57" s="3">
        <v>11.15</v>
      </c>
      <c r="Y57" s="5">
        <f t="shared" si="5"/>
        <v>24.545200000000001</v>
      </c>
    </row>
    <row r="58" spans="1:25" x14ac:dyDescent="0.2">
      <c r="A58" t="s">
        <v>995</v>
      </c>
      <c r="B58" s="1">
        <v>41416</v>
      </c>
      <c r="C58" s="2" t="str">
        <f t="shared" si="0"/>
        <v>2013</v>
      </c>
      <c r="D58" s="2" t="s">
        <v>461</v>
      </c>
      <c r="E58" s="2" t="s">
        <v>1914</v>
      </c>
      <c r="F58" s="2" t="s">
        <v>19</v>
      </c>
      <c r="G58" s="2" t="s">
        <v>20</v>
      </c>
      <c r="H58" s="2" t="s">
        <v>50</v>
      </c>
      <c r="I58" s="2" t="s">
        <v>92</v>
      </c>
      <c r="J58" s="2" t="s">
        <v>66</v>
      </c>
      <c r="K58" s="2" t="s">
        <v>120</v>
      </c>
      <c r="L58" s="2" t="s">
        <v>32</v>
      </c>
      <c r="M58" s="2" t="s">
        <v>26</v>
      </c>
      <c r="N58" s="2" t="s">
        <v>27</v>
      </c>
      <c r="O58" s="1">
        <v>41418</v>
      </c>
      <c r="P58" s="3">
        <v>1.18</v>
      </c>
      <c r="Q58" s="3">
        <v>1.88</v>
      </c>
      <c r="R58" s="3">
        <f t="shared" si="1"/>
        <v>0.7</v>
      </c>
      <c r="S58" s="2">
        <v>1</v>
      </c>
      <c r="T58" s="3">
        <f t="shared" si="2"/>
        <v>1.88</v>
      </c>
      <c r="U58" s="4">
        <v>0.05</v>
      </c>
      <c r="V58" s="6">
        <f t="shared" si="3"/>
        <v>9.4E-2</v>
      </c>
      <c r="W58" s="6">
        <f t="shared" si="4"/>
        <v>1.7859999999999998</v>
      </c>
      <c r="X58" s="3">
        <v>1.49</v>
      </c>
      <c r="Y58" s="5">
        <f t="shared" si="5"/>
        <v>3.2759999999999998</v>
      </c>
    </row>
    <row r="59" spans="1:25" x14ac:dyDescent="0.2">
      <c r="A59" t="s">
        <v>996</v>
      </c>
      <c r="B59" s="1">
        <v>41417</v>
      </c>
      <c r="C59" s="2" t="str">
        <f t="shared" si="0"/>
        <v>2013</v>
      </c>
      <c r="D59" s="2" t="s">
        <v>839</v>
      </c>
      <c r="E59" s="2" t="s">
        <v>1928</v>
      </c>
      <c r="F59" s="2" t="s">
        <v>36</v>
      </c>
      <c r="G59" s="2" t="s">
        <v>37</v>
      </c>
      <c r="H59" s="2" t="s">
        <v>21</v>
      </c>
      <c r="I59" s="2" t="s">
        <v>51</v>
      </c>
      <c r="J59" s="2" t="s">
        <v>30</v>
      </c>
      <c r="K59" s="2" t="s">
        <v>643</v>
      </c>
      <c r="L59" s="2" t="s">
        <v>25</v>
      </c>
      <c r="M59" s="2" t="s">
        <v>26</v>
      </c>
      <c r="N59" s="2" t="s">
        <v>89</v>
      </c>
      <c r="O59" s="1">
        <v>41419</v>
      </c>
      <c r="P59" s="3">
        <v>6.4</v>
      </c>
      <c r="Q59" s="3">
        <v>29.1</v>
      </c>
      <c r="R59" s="3">
        <f t="shared" si="1"/>
        <v>22.700000000000003</v>
      </c>
      <c r="S59" s="2">
        <v>33</v>
      </c>
      <c r="T59" s="3">
        <f t="shared" si="2"/>
        <v>960.30000000000007</v>
      </c>
      <c r="U59" s="4">
        <v>0.01</v>
      </c>
      <c r="V59" s="6">
        <f t="shared" si="3"/>
        <v>9.6030000000000015</v>
      </c>
      <c r="W59" s="6">
        <f t="shared" si="4"/>
        <v>950.69700000000012</v>
      </c>
      <c r="X59" s="3">
        <v>4</v>
      </c>
      <c r="Y59" s="5">
        <f t="shared" si="5"/>
        <v>954.69700000000012</v>
      </c>
    </row>
    <row r="60" spans="1:25" x14ac:dyDescent="0.2">
      <c r="A60" t="s">
        <v>997</v>
      </c>
      <c r="B60" s="1">
        <v>41420</v>
      </c>
      <c r="C60" s="2" t="str">
        <f t="shared" si="0"/>
        <v>2013</v>
      </c>
      <c r="D60" s="2" t="s">
        <v>838</v>
      </c>
      <c r="E60" s="2" t="s">
        <v>271</v>
      </c>
      <c r="F60" s="2" t="s">
        <v>36</v>
      </c>
      <c r="G60" s="2" t="s">
        <v>37</v>
      </c>
      <c r="H60" s="2" t="s">
        <v>42</v>
      </c>
      <c r="I60" s="2" t="s">
        <v>102</v>
      </c>
      <c r="J60" s="2" t="s">
        <v>66</v>
      </c>
      <c r="K60" s="2" t="s">
        <v>227</v>
      </c>
      <c r="L60" s="2" t="s">
        <v>32</v>
      </c>
      <c r="M60" s="2" t="s">
        <v>26</v>
      </c>
      <c r="N60" s="2" t="s">
        <v>27</v>
      </c>
      <c r="O60" s="1">
        <v>41420</v>
      </c>
      <c r="P60" s="3">
        <v>3.84</v>
      </c>
      <c r="Q60" s="3">
        <v>6.3</v>
      </c>
      <c r="R60" s="3">
        <f t="shared" si="1"/>
        <v>2.46</v>
      </c>
      <c r="S60" s="2">
        <v>42</v>
      </c>
      <c r="T60" s="3">
        <f t="shared" si="2"/>
        <v>264.59999999999997</v>
      </c>
      <c r="U60" s="4">
        <v>7.0000000000000007E-2</v>
      </c>
      <c r="V60" s="6">
        <f t="shared" si="3"/>
        <v>18.521999999999998</v>
      </c>
      <c r="W60" s="6">
        <f t="shared" si="4"/>
        <v>246.07799999999997</v>
      </c>
      <c r="X60" s="3">
        <v>0.5</v>
      </c>
      <c r="Y60" s="5">
        <f t="shared" si="5"/>
        <v>246.57799999999997</v>
      </c>
    </row>
    <row r="61" spans="1:25" x14ac:dyDescent="0.2">
      <c r="A61" t="s">
        <v>998</v>
      </c>
      <c r="B61" s="1">
        <v>41421</v>
      </c>
      <c r="C61" s="2" t="str">
        <f t="shared" si="0"/>
        <v>2013</v>
      </c>
      <c r="D61" s="2" t="s">
        <v>837</v>
      </c>
      <c r="E61" s="2" t="s">
        <v>359</v>
      </c>
      <c r="F61" s="2" t="s">
        <v>36</v>
      </c>
      <c r="G61" s="2" t="s">
        <v>37</v>
      </c>
      <c r="H61" s="2" t="s">
        <v>21</v>
      </c>
      <c r="I61" s="2" t="s">
        <v>51</v>
      </c>
      <c r="J61" s="2" t="s">
        <v>30</v>
      </c>
      <c r="K61" s="2" t="s">
        <v>70</v>
      </c>
      <c r="L61" s="2" t="s">
        <v>25</v>
      </c>
      <c r="M61" s="2" t="s">
        <v>26</v>
      </c>
      <c r="N61" s="2" t="s">
        <v>27</v>
      </c>
      <c r="O61" s="1">
        <v>41422</v>
      </c>
      <c r="P61" s="3">
        <v>156.5</v>
      </c>
      <c r="Q61" s="3">
        <v>300.97000000000003</v>
      </c>
      <c r="R61" s="3">
        <f t="shared" si="1"/>
        <v>144.47000000000003</v>
      </c>
      <c r="S61" s="2">
        <v>14</v>
      </c>
      <c r="T61" s="3">
        <f t="shared" si="2"/>
        <v>4213.58</v>
      </c>
      <c r="U61" s="4">
        <v>0.1</v>
      </c>
      <c r="V61" s="6">
        <f t="shared" si="3"/>
        <v>421.358</v>
      </c>
      <c r="W61" s="6">
        <f t="shared" si="4"/>
        <v>3792.2219999999998</v>
      </c>
      <c r="X61" s="3">
        <v>7.18</v>
      </c>
      <c r="Y61" s="5">
        <f t="shared" si="5"/>
        <v>3799.4019999999996</v>
      </c>
    </row>
    <row r="62" spans="1:25" x14ac:dyDescent="0.2">
      <c r="A62" t="s">
        <v>999</v>
      </c>
      <c r="B62" s="1">
        <v>41422</v>
      </c>
      <c r="C62" s="2" t="str">
        <f t="shared" si="0"/>
        <v>2013</v>
      </c>
      <c r="D62" s="2" t="s">
        <v>528</v>
      </c>
      <c r="E62" s="2" t="s">
        <v>258</v>
      </c>
      <c r="F62" s="2" t="s">
        <v>36</v>
      </c>
      <c r="G62" s="2" t="s">
        <v>37</v>
      </c>
      <c r="H62" s="2" t="s">
        <v>50</v>
      </c>
      <c r="I62" s="2" t="s">
        <v>102</v>
      </c>
      <c r="J62" s="2" t="s">
        <v>23</v>
      </c>
      <c r="K62" s="2" t="s">
        <v>207</v>
      </c>
      <c r="L62" s="2" t="s">
        <v>32</v>
      </c>
      <c r="M62" s="2" t="s">
        <v>33</v>
      </c>
      <c r="N62" s="2" t="s">
        <v>27</v>
      </c>
      <c r="O62" s="1">
        <v>41426</v>
      </c>
      <c r="P62" s="3">
        <v>2.29</v>
      </c>
      <c r="Q62" s="3">
        <v>3.58</v>
      </c>
      <c r="R62" s="3">
        <f t="shared" si="1"/>
        <v>1.29</v>
      </c>
      <c r="S62" s="2">
        <v>38</v>
      </c>
      <c r="T62" s="3">
        <f t="shared" si="2"/>
        <v>136.04</v>
      </c>
      <c r="U62" s="4">
        <v>0.06</v>
      </c>
      <c r="V62" s="6">
        <f t="shared" si="3"/>
        <v>8.1623999999999999</v>
      </c>
      <c r="W62" s="6">
        <f t="shared" si="4"/>
        <v>127.87759999999999</v>
      </c>
      <c r="X62" s="3">
        <v>1.63</v>
      </c>
      <c r="Y62" s="5">
        <f t="shared" si="5"/>
        <v>129.5076</v>
      </c>
    </row>
    <row r="63" spans="1:25" x14ac:dyDescent="0.2">
      <c r="A63" t="s">
        <v>1000</v>
      </c>
      <c r="B63" s="1">
        <v>41423</v>
      </c>
      <c r="C63" s="2" t="str">
        <f t="shared" si="0"/>
        <v>2013</v>
      </c>
      <c r="D63" s="2" t="s">
        <v>706</v>
      </c>
      <c r="E63" s="2" t="s">
        <v>1888</v>
      </c>
      <c r="F63" s="2" t="s">
        <v>1881</v>
      </c>
      <c r="G63" s="2" t="s">
        <v>1882</v>
      </c>
      <c r="H63" s="2" t="s">
        <v>21</v>
      </c>
      <c r="I63" s="2" t="s">
        <v>75</v>
      </c>
      <c r="J63" s="2" t="s">
        <v>44</v>
      </c>
      <c r="K63" s="2" t="s">
        <v>332</v>
      </c>
      <c r="L63" s="2" t="s">
        <v>32</v>
      </c>
      <c r="M63" s="2" t="s">
        <v>26</v>
      </c>
      <c r="N63" s="2" t="s">
        <v>89</v>
      </c>
      <c r="O63" s="1">
        <v>41423</v>
      </c>
      <c r="P63" s="3">
        <v>2.25</v>
      </c>
      <c r="Q63" s="3">
        <v>3.69</v>
      </c>
      <c r="R63" s="3">
        <f t="shared" si="1"/>
        <v>1.44</v>
      </c>
      <c r="S63" s="2">
        <v>35</v>
      </c>
      <c r="T63" s="3">
        <f t="shared" si="2"/>
        <v>129.15</v>
      </c>
      <c r="U63" s="4">
        <v>0.03</v>
      </c>
      <c r="V63" s="6">
        <f t="shared" si="3"/>
        <v>3.8744999999999998</v>
      </c>
      <c r="W63" s="6">
        <f t="shared" si="4"/>
        <v>125.27550000000001</v>
      </c>
      <c r="X63" s="3">
        <v>2.5</v>
      </c>
      <c r="Y63" s="5">
        <f t="shared" si="5"/>
        <v>127.77550000000001</v>
      </c>
    </row>
    <row r="64" spans="1:25" x14ac:dyDescent="0.2">
      <c r="A64" t="s">
        <v>1001</v>
      </c>
      <c r="B64" s="1">
        <v>41423</v>
      </c>
      <c r="C64" s="2" t="str">
        <f t="shared" si="0"/>
        <v>2013</v>
      </c>
      <c r="D64" s="2" t="s">
        <v>171</v>
      </c>
      <c r="E64" s="2" t="s">
        <v>1920</v>
      </c>
      <c r="F64" s="2" t="s">
        <v>1881</v>
      </c>
      <c r="G64" s="2" t="s">
        <v>1882</v>
      </c>
      <c r="H64" s="2" t="s">
        <v>42</v>
      </c>
      <c r="I64" s="2" t="s">
        <v>75</v>
      </c>
      <c r="J64" s="2" t="s">
        <v>30</v>
      </c>
      <c r="K64" s="2" t="s">
        <v>449</v>
      </c>
      <c r="L64" s="2" t="s">
        <v>32</v>
      </c>
      <c r="M64" s="2" t="s">
        <v>26</v>
      </c>
      <c r="N64" s="2" t="s">
        <v>89</v>
      </c>
      <c r="O64" s="1">
        <v>41423</v>
      </c>
      <c r="P64" s="3">
        <v>12.39</v>
      </c>
      <c r="Q64" s="3">
        <v>19.98</v>
      </c>
      <c r="R64" s="3">
        <f t="shared" si="1"/>
        <v>7.59</v>
      </c>
      <c r="S64" s="2">
        <v>13</v>
      </c>
      <c r="T64" s="3">
        <f t="shared" si="2"/>
        <v>259.74</v>
      </c>
      <c r="U64" s="4">
        <v>0.1</v>
      </c>
      <c r="V64" s="6">
        <f t="shared" si="3"/>
        <v>25.974000000000004</v>
      </c>
      <c r="W64" s="6">
        <f t="shared" si="4"/>
        <v>233.76600000000002</v>
      </c>
      <c r="X64" s="3">
        <v>5.77</v>
      </c>
      <c r="Y64" s="5">
        <f t="shared" si="5"/>
        <v>239.53600000000003</v>
      </c>
    </row>
    <row r="65" spans="1:25" x14ac:dyDescent="0.2">
      <c r="A65" t="s">
        <v>1002</v>
      </c>
      <c r="B65" s="1">
        <v>41425</v>
      </c>
      <c r="C65" s="2" t="str">
        <f t="shared" si="0"/>
        <v>2013</v>
      </c>
      <c r="D65" s="2" t="s">
        <v>767</v>
      </c>
      <c r="E65" s="2" t="s">
        <v>768</v>
      </c>
      <c r="F65" s="2" t="s">
        <v>36</v>
      </c>
      <c r="G65" s="2" t="s">
        <v>37</v>
      </c>
      <c r="H65" s="2" t="s">
        <v>50</v>
      </c>
      <c r="I65" s="2" t="s">
        <v>56</v>
      </c>
      <c r="J65" s="2" t="s">
        <v>30</v>
      </c>
      <c r="K65" s="2" t="s">
        <v>154</v>
      </c>
      <c r="L65" s="2" t="s">
        <v>32</v>
      </c>
      <c r="M65" s="2" t="s">
        <v>26</v>
      </c>
      <c r="N65" s="2" t="s">
        <v>27</v>
      </c>
      <c r="O65" s="1">
        <v>41425</v>
      </c>
      <c r="P65" s="3">
        <v>8.92</v>
      </c>
      <c r="Q65" s="3">
        <v>29.74</v>
      </c>
      <c r="R65" s="3">
        <f t="shared" si="1"/>
        <v>20.82</v>
      </c>
      <c r="S65" s="2">
        <v>14</v>
      </c>
      <c r="T65" s="3">
        <f t="shared" si="2"/>
        <v>416.35999999999996</v>
      </c>
      <c r="U65" s="4">
        <v>0.02</v>
      </c>
      <c r="V65" s="6">
        <f t="shared" si="3"/>
        <v>8.3271999999999995</v>
      </c>
      <c r="W65" s="6">
        <f t="shared" si="4"/>
        <v>408.03279999999995</v>
      </c>
      <c r="X65" s="3">
        <v>6.64</v>
      </c>
      <c r="Y65" s="5">
        <f t="shared" si="5"/>
        <v>414.67279999999994</v>
      </c>
    </row>
    <row r="66" spans="1:25" x14ac:dyDescent="0.2">
      <c r="A66" t="s">
        <v>1003</v>
      </c>
      <c r="B66" s="1">
        <v>41425</v>
      </c>
      <c r="C66" s="2" t="str">
        <f t="shared" si="0"/>
        <v>2013</v>
      </c>
      <c r="D66" s="2" t="s">
        <v>310</v>
      </c>
      <c r="E66" s="2" t="s">
        <v>138</v>
      </c>
      <c r="F66" s="2" t="s">
        <v>36</v>
      </c>
      <c r="G66" s="2" t="s">
        <v>37</v>
      </c>
      <c r="H66" s="2" t="s">
        <v>42</v>
      </c>
      <c r="I66" s="2" t="s">
        <v>51</v>
      </c>
      <c r="J66" s="2" t="s">
        <v>52</v>
      </c>
      <c r="K66" s="2" t="s">
        <v>111</v>
      </c>
      <c r="L66" s="2" t="s">
        <v>25</v>
      </c>
      <c r="M66" s="2" t="s">
        <v>26</v>
      </c>
      <c r="N66" s="2" t="s">
        <v>27</v>
      </c>
      <c r="O66" s="1">
        <v>41427</v>
      </c>
      <c r="P66" s="3">
        <v>60.59</v>
      </c>
      <c r="Q66" s="3">
        <v>100.98</v>
      </c>
      <c r="R66" s="3">
        <f t="shared" si="1"/>
        <v>40.39</v>
      </c>
      <c r="S66" s="2">
        <v>33</v>
      </c>
      <c r="T66" s="3">
        <f t="shared" si="2"/>
        <v>3332.34</v>
      </c>
      <c r="U66" s="4">
        <v>0.05</v>
      </c>
      <c r="V66" s="6">
        <f t="shared" si="3"/>
        <v>166.61700000000002</v>
      </c>
      <c r="W66" s="6">
        <f t="shared" si="4"/>
        <v>3165.723</v>
      </c>
      <c r="X66" s="3">
        <v>7.18</v>
      </c>
      <c r="Y66" s="5">
        <f t="shared" si="5"/>
        <v>3172.9029999999998</v>
      </c>
    </row>
    <row r="67" spans="1:25" x14ac:dyDescent="0.2">
      <c r="A67" t="s">
        <v>1004</v>
      </c>
      <c r="B67" s="1">
        <v>41425</v>
      </c>
      <c r="C67" s="2" t="str">
        <f t="shared" si="0"/>
        <v>2013</v>
      </c>
      <c r="D67" s="2" t="s">
        <v>681</v>
      </c>
      <c r="E67" s="2" t="s">
        <v>251</v>
      </c>
      <c r="F67" s="2" t="s">
        <v>19</v>
      </c>
      <c r="G67" s="2" t="s">
        <v>20</v>
      </c>
      <c r="H67" s="2" t="s">
        <v>29</v>
      </c>
      <c r="I67" s="2" t="s">
        <v>92</v>
      </c>
      <c r="J67" s="2" t="s">
        <v>23</v>
      </c>
      <c r="K67" s="2" t="s">
        <v>297</v>
      </c>
      <c r="L67" s="2" t="s">
        <v>32</v>
      </c>
      <c r="M67" s="2" t="s">
        <v>33</v>
      </c>
      <c r="N67" s="2" t="s">
        <v>27</v>
      </c>
      <c r="O67" s="1">
        <v>41429</v>
      </c>
      <c r="P67" s="3">
        <v>3.48</v>
      </c>
      <c r="Q67" s="3">
        <v>5.43</v>
      </c>
      <c r="R67" s="3">
        <f t="shared" si="1"/>
        <v>1.9499999999999997</v>
      </c>
      <c r="S67" s="2">
        <v>29</v>
      </c>
      <c r="T67" s="3">
        <f t="shared" si="2"/>
        <v>157.47</v>
      </c>
      <c r="U67" s="4">
        <v>7.0000000000000007E-2</v>
      </c>
      <c r="V67" s="6">
        <f t="shared" si="3"/>
        <v>11.022900000000002</v>
      </c>
      <c r="W67" s="6">
        <f t="shared" si="4"/>
        <v>146.44710000000001</v>
      </c>
      <c r="X67" s="3">
        <v>0.95</v>
      </c>
      <c r="Y67" s="5">
        <f t="shared" si="5"/>
        <v>147.39709999999999</v>
      </c>
    </row>
    <row r="68" spans="1:25" x14ac:dyDescent="0.2">
      <c r="A68" t="s">
        <v>1005</v>
      </c>
      <c r="B68" s="1">
        <v>41427</v>
      </c>
      <c r="C68" s="2" t="str">
        <f t="shared" si="0"/>
        <v>2013</v>
      </c>
      <c r="D68" s="2" t="s">
        <v>836</v>
      </c>
      <c r="E68" s="2" t="s">
        <v>60</v>
      </c>
      <c r="F68" s="2" t="s">
        <v>36</v>
      </c>
      <c r="G68" s="2" t="s">
        <v>37</v>
      </c>
      <c r="H68" s="2" t="s">
        <v>42</v>
      </c>
      <c r="I68" s="2" t="s">
        <v>56</v>
      </c>
      <c r="J68" s="2" t="s">
        <v>23</v>
      </c>
      <c r="K68" s="2" t="s">
        <v>215</v>
      </c>
      <c r="L68" s="2" t="s">
        <v>25</v>
      </c>
      <c r="M68" s="2" t="s">
        <v>58</v>
      </c>
      <c r="N68" s="2" t="s">
        <v>27</v>
      </c>
      <c r="O68" s="1">
        <v>41429</v>
      </c>
      <c r="P68" s="3">
        <v>20.18</v>
      </c>
      <c r="Q68" s="3">
        <v>35.409999999999997</v>
      </c>
      <c r="R68" s="3">
        <f t="shared" si="1"/>
        <v>15.229999999999997</v>
      </c>
      <c r="S68" s="2">
        <v>38</v>
      </c>
      <c r="T68" s="3">
        <f t="shared" si="2"/>
        <v>1345.58</v>
      </c>
      <c r="U68" s="4">
        <v>0.03</v>
      </c>
      <c r="V68" s="6">
        <f t="shared" si="3"/>
        <v>40.367399999999996</v>
      </c>
      <c r="W68" s="6">
        <f t="shared" si="4"/>
        <v>1305.2125999999998</v>
      </c>
      <c r="X68" s="3">
        <v>1.99</v>
      </c>
      <c r="Y68" s="5">
        <f t="shared" si="5"/>
        <v>1307.2025999999998</v>
      </c>
    </row>
    <row r="69" spans="1:25" x14ac:dyDescent="0.2">
      <c r="A69" t="s">
        <v>1006</v>
      </c>
      <c r="B69" s="1">
        <v>41429</v>
      </c>
      <c r="C69" s="2" t="str">
        <f t="shared" si="0"/>
        <v>2013</v>
      </c>
      <c r="D69" s="2" t="s">
        <v>835</v>
      </c>
      <c r="E69" s="2" t="s">
        <v>444</v>
      </c>
      <c r="F69" s="2" t="s">
        <v>36</v>
      </c>
      <c r="G69" s="2" t="s">
        <v>37</v>
      </c>
      <c r="H69" s="2" t="s">
        <v>42</v>
      </c>
      <c r="I69" s="2" t="s">
        <v>142</v>
      </c>
      <c r="J69" s="2" t="s">
        <v>52</v>
      </c>
      <c r="K69" s="2" t="s">
        <v>630</v>
      </c>
      <c r="L69" s="2" t="s">
        <v>32</v>
      </c>
      <c r="M69" s="2" t="s">
        <v>33</v>
      </c>
      <c r="N69" s="2" t="s">
        <v>27</v>
      </c>
      <c r="O69" s="1">
        <v>41431</v>
      </c>
      <c r="P69" s="3">
        <v>1.76</v>
      </c>
      <c r="Q69" s="3">
        <v>3.38</v>
      </c>
      <c r="R69" s="3">
        <f t="shared" si="1"/>
        <v>1.6199999999999999</v>
      </c>
      <c r="S69" s="2">
        <v>34</v>
      </c>
      <c r="T69" s="3">
        <f t="shared" si="2"/>
        <v>114.92</v>
      </c>
      <c r="U69" s="4">
        <v>7.0000000000000007E-2</v>
      </c>
      <c r="V69" s="6">
        <f t="shared" si="3"/>
        <v>8.0444000000000013</v>
      </c>
      <c r="W69" s="6">
        <f t="shared" si="4"/>
        <v>106.87560000000001</v>
      </c>
      <c r="X69" s="3">
        <v>0.85</v>
      </c>
      <c r="Y69" s="5">
        <f t="shared" si="5"/>
        <v>107.7256</v>
      </c>
    </row>
    <row r="70" spans="1:25" x14ac:dyDescent="0.2">
      <c r="A70" t="s">
        <v>1007</v>
      </c>
      <c r="B70" s="1">
        <v>41430</v>
      </c>
      <c r="C70" s="2" t="str">
        <f t="shared" ref="C70:C133" si="6">TEXT(B70,"yyyy")</f>
        <v>2013</v>
      </c>
      <c r="D70" s="2" t="s">
        <v>372</v>
      </c>
      <c r="E70" s="2" t="s">
        <v>373</v>
      </c>
      <c r="F70" s="2" t="s">
        <v>36</v>
      </c>
      <c r="G70" s="2" t="s">
        <v>37</v>
      </c>
      <c r="H70" s="2" t="s">
        <v>21</v>
      </c>
      <c r="I70" s="2" t="s">
        <v>51</v>
      </c>
      <c r="J70" s="2" t="s">
        <v>66</v>
      </c>
      <c r="K70" s="2" t="s">
        <v>507</v>
      </c>
      <c r="L70" s="2" t="s">
        <v>32</v>
      </c>
      <c r="M70" s="2" t="s">
        <v>26</v>
      </c>
      <c r="N70" s="2" t="s">
        <v>89</v>
      </c>
      <c r="O70" s="1">
        <v>41432</v>
      </c>
      <c r="P70" s="3">
        <v>36.020000000000003</v>
      </c>
      <c r="Q70" s="3">
        <v>58.1</v>
      </c>
      <c r="R70" s="3">
        <f t="shared" ref="R70:R133" si="7">Q70-P70</f>
        <v>22.08</v>
      </c>
      <c r="S70" s="2">
        <v>10</v>
      </c>
      <c r="T70" s="3">
        <f t="shared" ref="T70:T133" si="8">Q70*S70</f>
        <v>581</v>
      </c>
      <c r="U70" s="4">
        <v>0.09</v>
      </c>
      <c r="V70" s="6">
        <f t="shared" ref="V70:V133" si="9">T70*U70</f>
        <v>52.29</v>
      </c>
      <c r="W70" s="6">
        <f t="shared" ref="W70:W133" si="10">T70-V70</f>
        <v>528.71</v>
      </c>
      <c r="X70" s="3">
        <v>1.49</v>
      </c>
      <c r="Y70" s="5">
        <f t="shared" ref="Y70:Y133" si="11">W70+X70</f>
        <v>530.20000000000005</v>
      </c>
    </row>
    <row r="71" spans="1:25" x14ac:dyDescent="0.2">
      <c r="A71" t="s">
        <v>1008</v>
      </c>
      <c r="B71" s="1">
        <v>41430</v>
      </c>
      <c r="C71" s="2" t="str">
        <f t="shared" si="6"/>
        <v>2013</v>
      </c>
      <c r="D71" s="2" t="s">
        <v>631</v>
      </c>
      <c r="E71" s="2" t="s">
        <v>182</v>
      </c>
      <c r="F71" s="2" t="s">
        <v>36</v>
      </c>
      <c r="G71" s="2" t="s">
        <v>37</v>
      </c>
      <c r="H71" s="2" t="s">
        <v>50</v>
      </c>
      <c r="I71" s="2" t="s">
        <v>96</v>
      </c>
      <c r="J71" s="2" t="s">
        <v>23</v>
      </c>
      <c r="K71" s="2" t="s">
        <v>70</v>
      </c>
      <c r="L71" s="2" t="s">
        <v>25</v>
      </c>
      <c r="M71" s="2" t="s">
        <v>26</v>
      </c>
      <c r="N71" s="2" t="s">
        <v>27</v>
      </c>
      <c r="O71" s="1">
        <v>41430</v>
      </c>
      <c r="P71" s="3">
        <v>156.5</v>
      </c>
      <c r="Q71" s="3">
        <v>300.97000000000003</v>
      </c>
      <c r="R71" s="3">
        <f t="shared" si="7"/>
        <v>144.47000000000003</v>
      </c>
      <c r="S71" s="2">
        <v>38</v>
      </c>
      <c r="T71" s="3">
        <f t="shared" si="8"/>
        <v>11436.86</v>
      </c>
      <c r="U71" s="4">
        <v>0.09</v>
      </c>
      <c r="V71" s="6">
        <f t="shared" si="9"/>
        <v>1029.3173999999999</v>
      </c>
      <c r="W71" s="6">
        <f t="shared" si="10"/>
        <v>10407.542600000001</v>
      </c>
      <c r="X71" s="3">
        <v>7.18</v>
      </c>
      <c r="Y71" s="5">
        <f t="shared" si="11"/>
        <v>10414.722600000001</v>
      </c>
    </row>
    <row r="72" spans="1:25" x14ac:dyDescent="0.2">
      <c r="A72" t="s">
        <v>1009</v>
      </c>
      <c r="B72" s="1">
        <v>41431</v>
      </c>
      <c r="C72" s="2" t="str">
        <f t="shared" si="6"/>
        <v>2013</v>
      </c>
      <c r="D72" s="2" t="s">
        <v>164</v>
      </c>
      <c r="E72" s="2" t="s">
        <v>55</v>
      </c>
      <c r="F72" s="2" t="s">
        <v>36</v>
      </c>
      <c r="G72" s="2" t="s">
        <v>37</v>
      </c>
      <c r="H72" s="2" t="s">
        <v>42</v>
      </c>
      <c r="I72" s="2" t="s">
        <v>56</v>
      </c>
      <c r="J72" s="2" t="s">
        <v>30</v>
      </c>
      <c r="K72" s="2" t="s">
        <v>623</v>
      </c>
      <c r="L72" s="2" t="s">
        <v>32</v>
      </c>
      <c r="M72" s="2" t="s">
        <v>58</v>
      </c>
      <c r="N72" s="2" t="s">
        <v>27</v>
      </c>
      <c r="O72" s="1">
        <v>41433</v>
      </c>
      <c r="P72" s="3">
        <v>3.42</v>
      </c>
      <c r="Q72" s="3">
        <v>8.34</v>
      </c>
      <c r="R72" s="3">
        <f t="shared" si="7"/>
        <v>4.92</v>
      </c>
      <c r="S72" s="2">
        <v>30</v>
      </c>
      <c r="T72" s="3">
        <f t="shared" si="8"/>
        <v>250.2</v>
      </c>
      <c r="U72" s="4">
        <v>0.02</v>
      </c>
      <c r="V72" s="6">
        <f t="shared" si="9"/>
        <v>5.0039999999999996</v>
      </c>
      <c r="W72" s="6">
        <f t="shared" si="10"/>
        <v>245.196</v>
      </c>
      <c r="X72" s="3">
        <v>2.64</v>
      </c>
      <c r="Y72" s="5">
        <f t="shared" si="11"/>
        <v>247.83599999999998</v>
      </c>
    </row>
    <row r="73" spans="1:25" x14ac:dyDescent="0.2">
      <c r="A73" t="s">
        <v>1010</v>
      </c>
      <c r="B73" s="1">
        <v>41432</v>
      </c>
      <c r="C73" s="2" t="str">
        <f t="shared" si="6"/>
        <v>2013</v>
      </c>
      <c r="D73" s="2" t="s">
        <v>696</v>
      </c>
      <c r="E73" s="2" t="s">
        <v>123</v>
      </c>
      <c r="F73" s="2" t="s">
        <v>36</v>
      </c>
      <c r="G73" s="2" t="s">
        <v>37</v>
      </c>
      <c r="H73" s="2" t="s">
        <v>50</v>
      </c>
      <c r="I73" s="2" t="s">
        <v>124</v>
      </c>
      <c r="J73" s="2" t="s">
        <v>52</v>
      </c>
      <c r="K73" s="2" t="s">
        <v>111</v>
      </c>
      <c r="L73" s="2" t="s">
        <v>25</v>
      </c>
      <c r="M73" s="2" t="s">
        <v>26</v>
      </c>
      <c r="N73" s="2" t="s">
        <v>27</v>
      </c>
      <c r="O73" s="1">
        <v>41433</v>
      </c>
      <c r="P73" s="3">
        <v>60.59</v>
      </c>
      <c r="Q73" s="3">
        <v>100.98</v>
      </c>
      <c r="R73" s="3">
        <f t="shared" si="7"/>
        <v>40.39</v>
      </c>
      <c r="S73" s="2">
        <v>29</v>
      </c>
      <c r="T73" s="3">
        <f t="shared" si="8"/>
        <v>2928.42</v>
      </c>
      <c r="U73" s="4">
        <v>0.03</v>
      </c>
      <c r="V73" s="6">
        <f t="shared" si="9"/>
        <v>87.852599999999995</v>
      </c>
      <c r="W73" s="6">
        <f t="shared" si="10"/>
        <v>2840.5673999999999</v>
      </c>
      <c r="X73" s="3">
        <v>7.18</v>
      </c>
      <c r="Y73" s="5">
        <f t="shared" si="11"/>
        <v>2847.7473999999997</v>
      </c>
    </row>
    <row r="74" spans="1:25" x14ac:dyDescent="0.2">
      <c r="A74" t="s">
        <v>1011</v>
      </c>
      <c r="B74" s="1">
        <v>41434</v>
      </c>
      <c r="C74" s="2" t="str">
        <f t="shared" si="6"/>
        <v>2013</v>
      </c>
      <c r="D74" s="2" t="s">
        <v>343</v>
      </c>
      <c r="E74" s="2" t="s">
        <v>1918</v>
      </c>
      <c r="F74" s="2" t="s">
        <v>36</v>
      </c>
      <c r="G74" s="2" t="s">
        <v>37</v>
      </c>
      <c r="H74" s="2" t="s">
        <v>50</v>
      </c>
      <c r="I74" s="2" t="s">
        <v>75</v>
      </c>
      <c r="J74" s="2" t="s">
        <v>52</v>
      </c>
      <c r="K74" s="2" t="s">
        <v>347</v>
      </c>
      <c r="L74" s="2" t="s">
        <v>32</v>
      </c>
      <c r="M74" s="2" t="s">
        <v>26</v>
      </c>
      <c r="N74" s="2" t="s">
        <v>27</v>
      </c>
      <c r="O74" s="1">
        <v>41434</v>
      </c>
      <c r="P74" s="3">
        <v>178.83</v>
      </c>
      <c r="Q74" s="3">
        <v>415.88</v>
      </c>
      <c r="R74" s="3">
        <f t="shared" si="7"/>
        <v>237.04999999999998</v>
      </c>
      <c r="S74" s="2">
        <v>2</v>
      </c>
      <c r="T74" s="3">
        <f t="shared" si="8"/>
        <v>831.76</v>
      </c>
      <c r="U74" s="4">
        <v>7.0000000000000007E-2</v>
      </c>
      <c r="V74" s="6">
        <f t="shared" si="9"/>
        <v>58.223200000000006</v>
      </c>
      <c r="W74" s="6">
        <f t="shared" si="10"/>
        <v>773.53679999999997</v>
      </c>
      <c r="X74" s="3">
        <v>11.37</v>
      </c>
      <c r="Y74" s="5">
        <f t="shared" si="11"/>
        <v>784.90679999999998</v>
      </c>
    </row>
    <row r="75" spans="1:25" x14ac:dyDescent="0.2">
      <c r="A75" t="s">
        <v>1012</v>
      </c>
      <c r="B75" s="1">
        <v>41435</v>
      </c>
      <c r="C75" s="2" t="str">
        <f t="shared" si="6"/>
        <v>2013</v>
      </c>
      <c r="D75" s="2" t="s">
        <v>738</v>
      </c>
      <c r="E75" s="2" t="s">
        <v>74</v>
      </c>
      <c r="F75" s="2" t="s">
        <v>36</v>
      </c>
      <c r="G75" s="2" t="s">
        <v>37</v>
      </c>
      <c r="H75" s="2" t="s">
        <v>42</v>
      </c>
      <c r="I75" s="2" t="s">
        <v>75</v>
      </c>
      <c r="J75" s="2" t="s">
        <v>30</v>
      </c>
      <c r="K75" s="2" t="s">
        <v>146</v>
      </c>
      <c r="L75" s="2" t="s">
        <v>32</v>
      </c>
      <c r="M75" s="2" t="s">
        <v>33</v>
      </c>
      <c r="N75" s="2" t="s">
        <v>27</v>
      </c>
      <c r="O75" s="1">
        <v>41437</v>
      </c>
      <c r="P75" s="3">
        <v>2.52</v>
      </c>
      <c r="Q75" s="3">
        <v>4</v>
      </c>
      <c r="R75" s="3">
        <f t="shared" si="7"/>
        <v>1.48</v>
      </c>
      <c r="S75" s="2">
        <v>39</v>
      </c>
      <c r="T75" s="3">
        <f t="shared" si="8"/>
        <v>156</v>
      </c>
      <c r="U75" s="4">
        <v>0.08</v>
      </c>
      <c r="V75" s="6">
        <f t="shared" si="9"/>
        <v>12.48</v>
      </c>
      <c r="W75" s="6">
        <f t="shared" si="10"/>
        <v>143.52000000000001</v>
      </c>
      <c r="X75" s="3">
        <v>1.3</v>
      </c>
      <c r="Y75" s="5">
        <f t="shared" si="11"/>
        <v>144.82000000000002</v>
      </c>
    </row>
    <row r="76" spans="1:25" x14ac:dyDescent="0.2">
      <c r="A76" t="s">
        <v>1013</v>
      </c>
      <c r="B76" s="1">
        <v>41436</v>
      </c>
      <c r="C76" s="2" t="str">
        <f t="shared" si="6"/>
        <v>2013</v>
      </c>
      <c r="D76" s="2" t="s">
        <v>382</v>
      </c>
      <c r="E76" s="2" t="s">
        <v>74</v>
      </c>
      <c r="F76" s="2" t="s">
        <v>36</v>
      </c>
      <c r="G76" s="2" t="s">
        <v>37</v>
      </c>
      <c r="H76" s="2" t="s">
        <v>29</v>
      </c>
      <c r="I76" s="2" t="s">
        <v>75</v>
      </c>
      <c r="J76" s="2" t="s">
        <v>23</v>
      </c>
      <c r="K76" s="2" t="s">
        <v>93</v>
      </c>
      <c r="L76" s="2" t="s">
        <v>32</v>
      </c>
      <c r="M76" s="2" t="s">
        <v>26</v>
      </c>
      <c r="N76" s="2" t="s">
        <v>27</v>
      </c>
      <c r="O76" s="1">
        <v>41438</v>
      </c>
      <c r="P76" s="3">
        <v>19.829999999999998</v>
      </c>
      <c r="Q76" s="3">
        <v>30.98</v>
      </c>
      <c r="R76" s="3">
        <f t="shared" si="7"/>
        <v>11.150000000000002</v>
      </c>
      <c r="S76" s="2">
        <v>49</v>
      </c>
      <c r="T76" s="3">
        <f t="shared" si="8"/>
        <v>1518.02</v>
      </c>
      <c r="U76" s="4">
        <v>0.09</v>
      </c>
      <c r="V76" s="6">
        <f t="shared" si="9"/>
        <v>136.62180000000001</v>
      </c>
      <c r="W76" s="6">
        <f t="shared" si="10"/>
        <v>1381.3982000000001</v>
      </c>
      <c r="X76" s="3">
        <v>19.510000000000002</v>
      </c>
      <c r="Y76" s="5">
        <f t="shared" si="11"/>
        <v>1400.9082000000001</v>
      </c>
    </row>
    <row r="77" spans="1:25" x14ac:dyDescent="0.2">
      <c r="A77" t="s">
        <v>1014</v>
      </c>
      <c r="B77" s="1">
        <v>41440</v>
      </c>
      <c r="C77" s="2" t="str">
        <f t="shared" si="6"/>
        <v>2013</v>
      </c>
      <c r="D77" s="2" t="s">
        <v>129</v>
      </c>
      <c r="E77" s="2" t="s">
        <v>130</v>
      </c>
      <c r="F77" s="2" t="s">
        <v>36</v>
      </c>
      <c r="G77" s="2" t="s">
        <v>37</v>
      </c>
      <c r="H77" s="2" t="s">
        <v>42</v>
      </c>
      <c r="I77" s="2" t="s">
        <v>79</v>
      </c>
      <c r="J77" s="2" t="s">
        <v>30</v>
      </c>
      <c r="K77" s="2" t="s">
        <v>70</v>
      </c>
      <c r="L77" s="2" t="s">
        <v>25</v>
      </c>
      <c r="M77" s="2" t="s">
        <v>26</v>
      </c>
      <c r="N77" s="2" t="s">
        <v>27</v>
      </c>
      <c r="O77" s="1">
        <v>41442</v>
      </c>
      <c r="P77" s="3">
        <v>156.5</v>
      </c>
      <c r="Q77" s="3">
        <v>300.97000000000003</v>
      </c>
      <c r="R77" s="3">
        <f t="shared" si="7"/>
        <v>144.47000000000003</v>
      </c>
      <c r="S77" s="2">
        <v>5</v>
      </c>
      <c r="T77" s="3">
        <f t="shared" si="8"/>
        <v>1504.8500000000001</v>
      </c>
      <c r="U77" s="4">
        <v>7.0000000000000007E-2</v>
      </c>
      <c r="V77" s="6">
        <f t="shared" si="9"/>
        <v>105.33950000000002</v>
      </c>
      <c r="W77" s="6">
        <f t="shared" si="10"/>
        <v>1399.5105000000001</v>
      </c>
      <c r="X77" s="3">
        <v>7.18</v>
      </c>
      <c r="Y77" s="5">
        <f t="shared" si="11"/>
        <v>1406.6905000000002</v>
      </c>
    </row>
    <row r="78" spans="1:25" x14ac:dyDescent="0.2">
      <c r="A78" t="s">
        <v>1015</v>
      </c>
      <c r="B78" s="1">
        <v>41440</v>
      </c>
      <c r="C78" s="2" t="str">
        <f t="shared" si="6"/>
        <v>2013</v>
      </c>
      <c r="D78" s="2" t="s">
        <v>413</v>
      </c>
      <c r="E78" s="2" t="s">
        <v>18</v>
      </c>
      <c r="F78" s="2" t="s">
        <v>19</v>
      </c>
      <c r="G78" s="2" t="s">
        <v>20</v>
      </c>
      <c r="H78" s="2" t="s">
        <v>29</v>
      </c>
      <c r="I78" s="2" t="s">
        <v>22</v>
      </c>
      <c r="J78" s="2" t="s">
        <v>44</v>
      </c>
      <c r="K78" s="2" t="s">
        <v>334</v>
      </c>
      <c r="L78" s="2" t="s">
        <v>32</v>
      </c>
      <c r="M78" s="2" t="s">
        <v>33</v>
      </c>
      <c r="N78" s="2" t="s">
        <v>89</v>
      </c>
      <c r="O78" s="1">
        <v>41442</v>
      </c>
      <c r="P78" s="3">
        <v>2.9</v>
      </c>
      <c r="Q78" s="3">
        <v>4.76</v>
      </c>
      <c r="R78" s="3">
        <f t="shared" si="7"/>
        <v>1.8599999999999999</v>
      </c>
      <c r="S78" s="2">
        <v>27</v>
      </c>
      <c r="T78" s="3">
        <f t="shared" si="8"/>
        <v>128.51999999999998</v>
      </c>
      <c r="U78" s="4">
        <v>7.0000000000000007E-2</v>
      </c>
      <c r="V78" s="6">
        <f t="shared" si="9"/>
        <v>8.9963999999999995</v>
      </c>
      <c r="W78" s="6">
        <f t="shared" si="10"/>
        <v>119.52359999999999</v>
      </c>
      <c r="X78" s="3">
        <v>0.88</v>
      </c>
      <c r="Y78" s="5">
        <f t="shared" si="11"/>
        <v>120.40359999999998</v>
      </c>
    </row>
    <row r="79" spans="1:25" x14ac:dyDescent="0.2">
      <c r="A79" t="s">
        <v>1016</v>
      </c>
      <c r="B79" s="1">
        <v>41441</v>
      </c>
      <c r="C79" s="2" t="str">
        <f t="shared" si="6"/>
        <v>2013</v>
      </c>
      <c r="D79" s="2" t="s">
        <v>601</v>
      </c>
      <c r="E79" s="2" t="s">
        <v>400</v>
      </c>
      <c r="F79" s="2" t="s">
        <v>19</v>
      </c>
      <c r="G79" s="2" t="s">
        <v>20</v>
      </c>
      <c r="H79" s="2" t="s">
        <v>50</v>
      </c>
      <c r="I79" s="2" t="s">
        <v>22</v>
      </c>
      <c r="J79" s="2" t="s">
        <v>23</v>
      </c>
      <c r="K79" s="2" t="s">
        <v>70</v>
      </c>
      <c r="L79" s="2" t="s">
        <v>25</v>
      </c>
      <c r="M79" s="2" t="s">
        <v>26</v>
      </c>
      <c r="N79" s="2" t="s">
        <v>27</v>
      </c>
      <c r="O79" s="1">
        <v>41441</v>
      </c>
      <c r="P79" s="3">
        <v>156.5</v>
      </c>
      <c r="Q79" s="3">
        <v>300.97000000000003</v>
      </c>
      <c r="R79" s="3">
        <f t="shared" si="7"/>
        <v>144.47000000000003</v>
      </c>
      <c r="S79" s="2">
        <v>1</v>
      </c>
      <c r="T79" s="3">
        <f t="shared" si="8"/>
        <v>300.97000000000003</v>
      </c>
      <c r="U79" s="4">
        <v>0.06</v>
      </c>
      <c r="V79" s="6">
        <f t="shared" si="9"/>
        <v>18.058199999999999</v>
      </c>
      <c r="W79" s="6">
        <f t="shared" si="10"/>
        <v>282.91180000000003</v>
      </c>
      <c r="X79" s="3">
        <v>7.18</v>
      </c>
      <c r="Y79" s="5">
        <f t="shared" si="11"/>
        <v>290.09180000000003</v>
      </c>
    </row>
    <row r="80" spans="1:25" x14ac:dyDescent="0.2">
      <c r="A80" t="s">
        <v>1017</v>
      </c>
      <c r="B80" s="1">
        <v>41445</v>
      </c>
      <c r="C80" s="2" t="str">
        <f t="shared" si="6"/>
        <v>2013</v>
      </c>
      <c r="D80" s="2" t="s">
        <v>831</v>
      </c>
      <c r="E80" s="2" t="s">
        <v>379</v>
      </c>
      <c r="F80" s="2" t="s">
        <v>36</v>
      </c>
      <c r="G80" s="2" t="s">
        <v>37</v>
      </c>
      <c r="H80" s="2" t="s">
        <v>42</v>
      </c>
      <c r="I80" s="2" t="s">
        <v>56</v>
      </c>
      <c r="J80" s="2" t="s">
        <v>30</v>
      </c>
      <c r="K80" s="2" t="s">
        <v>207</v>
      </c>
      <c r="L80" s="2" t="s">
        <v>32</v>
      </c>
      <c r="M80" s="2" t="s">
        <v>33</v>
      </c>
      <c r="N80" s="2" t="s">
        <v>27</v>
      </c>
      <c r="O80" s="1">
        <v>41446</v>
      </c>
      <c r="P80" s="3">
        <v>2.29</v>
      </c>
      <c r="Q80" s="3">
        <v>3.58</v>
      </c>
      <c r="R80" s="3">
        <f t="shared" si="7"/>
        <v>1.29</v>
      </c>
      <c r="S80" s="2">
        <v>10</v>
      </c>
      <c r="T80" s="3">
        <f t="shared" si="8"/>
        <v>35.799999999999997</v>
      </c>
      <c r="U80" s="4">
        <v>0.05</v>
      </c>
      <c r="V80" s="6">
        <f t="shared" si="9"/>
        <v>1.79</v>
      </c>
      <c r="W80" s="6">
        <f t="shared" si="10"/>
        <v>34.01</v>
      </c>
      <c r="X80" s="3">
        <v>1.63</v>
      </c>
      <c r="Y80" s="5">
        <f t="shared" si="11"/>
        <v>35.64</v>
      </c>
    </row>
    <row r="81" spans="1:25" x14ac:dyDescent="0.2">
      <c r="A81" t="s">
        <v>1018</v>
      </c>
      <c r="B81" s="1">
        <v>41446</v>
      </c>
      <c r="C81" s="2" t="str">
        <f t="shared" si="6"/>
        <v>2013</v>
      </c>
      <c r="D81" s="2" t="s">
        <v>611</v>
      </c>
      <c r="E81" s="2" t="s">
        <v>161</v>
      </c>
      <c r="F81" s="2" t="s">
        <v>36</v>
      </c>
      <c r="G81" s="2" t="s">
        <v>37</v>
      </c>
      <c r="H81" s="2" t="s">
        <v>50</v>
      </c>
      <c r="I81" s="2" t="s">
        <v>51</v>
      </c>
      <c r="J81" s="2" t="s">
        <v>30</v>
      </c>
      <c r="K81" s="2" t="s">
        <v>375</v>
      </c>
      <c r="L81" s="2" t="s">
        <v>32</v>
      </c>
      <c r="M81" s="2" t="s">
        <v>26</v>
      </c>
      <c r="N81" s="2" t="s">
        <v>27</v>
      </c>
      <c r="O81" s="1">
        <v>41447</v>
      </c>
      <c r="P81" s="3">
        <v>99.39</v>
      </c>
      <c r="Q81" s="3">
        <v>162.93</v>
      </c>
      <c r="R81" s="3">
        <f t="shared" si="7"/>
        <v>63.540000000000006</v>
      </c>
      <c r="S81" s="2">
        <v>7</v>
      </c>
      <c r="T81" s="3">
        <f t="shared" si="8"/>
        <v>1140.51</v>
      </c>
      <c r="U81" s="4">
        <v>0.03</v>
      </c>
      <c r="V81" s="6">
        <f t="shared" si="9"/>
        <v>34.215299999999999</v>
      </c>
      <c r="W81" s="6">
        <f t="shared" si="10"/>
        <v>1106.2946999999999</v>
      </c>
      <c r="X81" s="3">
        <v>19.989999999999998</v>
      </c>
      <c r="Y81" s="5">
        <f t="shared" si="11"/>
        <v>1126.2846999999999</v>
      </c>
    </row>
    <row r="82" spans="1:25" x14ac:dyDescent="0.2">
      <c r="A82" t="s">
        <v>1019</v>
      </c>
      <c r="B82" s="1">
        <v>41446</v>
      </c>
      <c r="C82" s="2" t="str">
        <f t="shared" si="6"/>
        <v>2013</v>
      </c>
      <c r="D82" s="2" t="s">
        <v>700</v>
      </c>
      <c r="E82" s="2" t="s">
        <v>69</v>
      </c>
      <c r="F82" s="2" t="s">
        <v>19</v>
      </c>
      <c r="G82" s="2" t="s">
        <v>20</v>
      </c>
      <c r="H82" s="2" t="s">
        <v>42</v>
      </c>
      <c r="I82" s="2" t="s">
        <v>22</v>
      </c>
      <c r="J82" s="2" t="s">
        <v>44</v>
      </c>
      <c r="K82" s="2" t="s">
        <v>116</v>
      </c>
      <c r="L82" s="2" t="s">
        <v>32</v>
      </c>
      <c r="M82" s="2" t="s">
        <v>33</v>
      </c>
      <c r="N82" s="2" t="s">
        <v>89</v>
      </c>
      <c r="O82" s="1">
        <v>41448</v>
      </c>
      <c r="P82" s="3">
        <v>1.6</v>
      </c>
      <c r="Q82" s="3">
        <v>2.62</v>
      </c>
      <c r="R82" s="3">
        <f t="shared" si="7"/>
        <v>1.02</v>
      </c>
      <c r="S82" s="2">
        <v>34</v>
      </c>
      <c r="T82" s="3">
        <f t="shared" si="8"/>
        <v>89.08</v>
      </c>
      <c r="U82" s="4">
        <v>0.08</v>
      </c>
      <c r="V82" s="6">
        <f t="shared" si="9"/>
        <v>7.1264000000000003</v>
      </c>
      <c r="W82" s="6">
        <f t="shared" si="10"/>
        <v>81.953599999999994</v>
      </c>
      <c r="X82" s="3">
        <v>0.8</v>
      </c>
      <c r="Y82" s="5">
        <f t="shared" si="11"/>
        <v>82.753599999999992</v>
      </c>
    </row>
    <row r="83" spans="1:25" x14ac:dyDescent="0.2">
      <c r="A83" t="s">
        <v>1020</v>
      </c>
      <c r="B83" s="1">
        <v>41449</v>
      </c>
      <c r="C83" s="2" t="str">
        <f t="shared" si="6"/>
        <v>2013</v>
      </c>
      <c r="D83" s="2" t="s">
        <v>834</v>
      </c>
      <c r="E83" s="2" t="s">
        <v>336</v>
      </c>
      <c r="F83" s="2" t="s">
        <v>36</v>
      </c>
      <c r="G83" s="2" t="s">
        <v>37</v>
      </c>
      <c r="H83" s="2" t="s">
        <v>50</v>
      </c>
      <c r="I83" s="2" t="s">
        <v>79</v>
      </c>
      <c r="J83" s="2" t="s">
        <v>44</v>
      </c>
      <c r="K83" s="2" t="s">
        <v>189</v>
      </c>
      <c r="L83" s="2" t="s">
        <v>32</v>
      </c>
      <c r="M83" s="2" t="s">
        <v>26</v>
      </c>
      <c r="N83" s="2" t="s">
        <v>27</v>
      </c>
      <c r="O83" s="1">
        <v>41450</v>
      </c>
      <c r="P83" s="3">
        <v>3.4</v>
      </c>
      <c r="Q83" s="3">
        <v>5.4</v>
      </c>
      <c r="R83" s="3">
        <f t="shared" si="7"/>
        <v>2.0000000000000004</v>
      </c>
      <c r="S83" s="2">
        <v>25</v>
      </c>
      <c r="T83" s="3">
        <f t="shared" si="8"/>
        <v>135</v>
      </c>
      <c r="U83" s="4">
        <v>0.09</v>
      </c>
      <c r="V83" s="6">
        <f t="shared" si="9"/>
        <v>12.15</v>
      </c>
      <c r="W83" s="6">
        <f t="shared" si="10"/>
        <v>122.85</v>
      </c>
      <c r="X83" s="3">
        <v>7.78</v>
      </c>
      <c r="Y83" s="5">
        <f t="shared" si="11"/>
        <v>130.63</v>
      </c>
    </row>
    <row r="84" spans="1:25" x14ac:dyDescent="0.2">
      <c r="A84" t="s">
        <v>1021</v>
      </c>
      <c r="B84" s="1">
        <v>41450</v>
      </c>
      <c r="C84" s="2" t="str">
        <f t="shared" si="6"/>
        <v>2013</v>
      </c>
      <c r="D84" s="2" t="s">
        <v>479</v>
      </c>
      <c r="E84" s="2" t="s">
        <v>1906</v>
      </c>
      <c r="F84" s="2" t="s">
        <v>1881</v>
      </c>
      <c r="G84" s="2" t="s">
        <v>1882</v>
      </c>
      <c r="H84" s="2" t="s">
        <v>21</v>
      </c>
      <c r="I84" s="2" t="s">
        <v>51</v>
      </c>
      <c r="J84" s="2" t="s">
        <v>44</v>
      </c>
      <c r="K84" s="2" t="s">
        <v>323</v>
      </c>
      <c r="L84" s="2" t="s">
        <v>32</v>
      </c>
      <c r="M84" s="2" t="s">
        <v>33</v>
      </c>
      <c r="N84" s="2" t="s">
        <v>27</v>
      </c>
      <c r="O84" s="1">
        <v>41451</v>
      </c>
      <c r="P84" s="3">
        <v>11.11</v>
      </c>
      <c r="Q84" s="3">
        <v>19.84</v>
      </c>
      <c r="R84" s="3">
        <f t="shared" si="7"/>
        <v>8.73</v>
      </c>
      <c r="S84" s="2">
        <v>26</v>
      </c>
      <c r="T84" s="3">
        <f t="shared" si="8"/>
        <v>515.84</v>
      </c>
      <c r="U84" s="4">
        <v>7.0000000000000007E-2</v>
      </c>
      <c r="V84" s="6">
        <f t="shared" si="9"/>
        <v>36.108800000000002</v>
      </c>
      <c r="W84" s="6">
        <f t="shared" si="10"/>
        <v>479.73120000000006</v>
      </c>
      <c r="X84" s="3">
        <v>4.0999999999999996</v>
      </c>
      <c r="Y84" s="5">
        <f t="shared" si="11"/>
        <v>483.83120000000008</v>
      </c>
    </row>
    <row r="85" spans="1:25" x14ac:dyDescent="0.2">
      <c r="A85" t="s">
        <v>1022</v>
      </c>
      <c r="B85" s="1">
        <v>41451</v>
      </c>
      <c r="C85" s="2" t="str">
        <f t="shared" si="6"/>
        <v>2013</v>
      </c>
      <c r="D85" s="2" t="s">
        <v>406</v>
      </c>
      <c r="E85" s="2" t="s">
        <v>1903</v>
      </c>
      <c r="F85" s="2" t="s">
        <v>1881</v>
      </c>
      <c r="G85" s="2" t="s">
        <v>1882</v>
      </c>
      <c r="H85" s="2" t="s">
        <v>50</v>
      </c>
      <c r="I85" s="2" t="s">
        <v>43</v>
      </c>
      <c r="J85" s="2" t="s">
        <v>66</v>
      </c>
      <c r="K85" s="2" t="s">
        <v>162</v>
      </c>
      <c r="L85" s="2" t="s">
        <v>32</v>
      </c>
      <c r="M85" s="2" t="s">
        <v>33</v>
      </c>
      <c r="N85" s="2" t="s">
        <v>27</v>
      </c>
      <c r="O85" s="1">
        <v>41452</v>
      </c>
      <c r="P85" s="3">
        <v>1.82</v>
      </c>
      <c r="Q85" s="3">
        <v>2.98</v>
      </c>
      <c r="R85" s="3">
        <f t="shared" si="7"/>
        <v>1.1599999999999999</v>
      </c>
      <c r="S85" s="2">
        <v>3</v>
      </c>
      <c r="T85" s="3">
        <f t="shared" si="8"/>
        <v>8.94</v>
      </c>
      <c r="U85" s="4">
        <v>0.09</v>
      </c>
      <c r="V85" s="6">
        <f t="shared" si="9"/>
        <v>0.80459999999999987</v>
      </c>
      <c r="W85" s="6">
        <f t="shared" si="10"/>
        <v>8.1353999999999989</v>
      </c>
      <c r="X85" s="3">
        <v>1.58</v>
      </c>
      <c r="Y85" s="5">
        <f t="shared" si="11"/>
        <v>9.7153999999999989</v>
      </c>
    </row>
    <row r="86" spans="1:25" x14ac:dyDescent="0.2">
      <c r="A86" t="s">
        <v>1023</v>
      </c>
      <c r="B86" s="1">
        <v>41454</v>
      </c>
      <c r="C86" s="2" t="str">
        <f t="shared" si="6"/>
        <v>2013</v>
      </c>
      <c r="D86" s="2" t="s">
        <v>804</v>
      </c>
      <c r="E86" s="2" t="s">
        <v>540</v>
      </c>
      <c r="F86" s="2" t="s">
        <v>19</v>
      </c>
      <c r="G86" s="2" t="s">
        <v>20</v>
      </c>
      <c r="H86" s="2" t="s">
        <v>21</v>
      </c>
      <c r="I86" s="2" t="s">
        <v>92</v>
      </c>
      <c r="J86" s="2" t="s">
        <v>30</v>
      </c>
      <c r="K86" s="2" t="s">
        <v>403</v>
      </c>
      <c r="L86" s="2" t="s">
        <v>32</v>
      </c>
      <c r="M86" s="2" t="s">
        <v>26</v>
      </c>
      <c r="N86" s="2" t="s">
        <v>27</v>
      </c>
      <c r="O86" s="1">
        <v>41456</v>
      </c>
      <c r="P86" s="3">
        <v>1.33</v>
      </c>
      <c r="Q86" s="3">
        <v>2.08</v>
      </c>
      <c r="R86" s="3">
        <f t="shared" si="7"/>
        <v>0.75</v>
      </c>
      <c r="S86" s="2">
        <v>44</v>
      </c>
      <c r="T86" s="3">
        <f t="shared" si="8"/>
        <v>91.52000000000001</v>
      </c>
      <c r="U86" s="4">
        <v>0.04</v>
      </c>
      <c r="V86" s="6">
        <f t="shared" si="9"/>
        <v>3.6608000000000005</v>
      </c>
      <c r="W86" s="6">
        <f t="shared" si="10"/>
        <v>87.859200000000016</v>
      </c>
      <c r="X86" s="3">
        <v>1.49</v>
      </c>
      <c r="Y86" s="5">
        <f t="shared" si="11"/>
        <v>89.34920000000001</v>
      </c>
    </row>
    <row r="87" spans="1:25" x14ac:dyDescent="0.2">
      <c r="A87" t="s">
        <v>1024</v>
      </c>
      <c r="B87" s="1">
        <v>41454</v>
      </c>
      <c r="C87" s="2" t="str">
        <f t="shared" si="6"/>
        <v>2013</v>
      </c>
      <c r="D87" s="2" t="s">
        <v>833</v>
      </c>
      <c r="E87" s="2" t="s">
        <v>231</v>
      </c>
      <c r="F87" s="2" t="s">
        <v>36</v>
      </c>
      <c r="G87" s="2" t="s">
        <v>37</v>
      </c>
      <c r="H87" s="2" t="s">
        <v>42</v>
      </c>
      <c r="I87" s="2" t="s">
        <v>79</v>
      </c>
      <c r="J87" s="2" t="s">
        <v>52</v>
      </c>
      <c r="K87" s="2" t="s">
        <v>526</v>
      </c>
      <c r="L87" s="2" t="s">
        <v>25</v>
      </c>
      <c r="M87" s="2" t="s">
        <v>85</v>
      </c>
      <c r="N87" s="2" t="s">
        <v>27</v>
      </c>
      <c r="O87" s="1">
        <v>41456</v>
      </c>
      <c r="P87" s="3">
        <v>7.92</v>
      </c>
      <c r="Q87" s="3">
        <v>12.99</v>
      </c>
      <c r="R87" s="3">
        <f t="shared" si="7"/>
        <v>5.07</v>
      </c>
      <c r="S87" s="2">
        <v>49</v>
      </c>
      <c r="T87" s="3">
        <f t="shared" si="8"/>
        <v>636.51</v>
      </c>
      <c r="U87" s="4">
        <v>7.0000000000000007E-2</v>
      </c>
      <c r="V87" s="6">
        <f t="shared" si="9"/>
        <v>44.555700000000002</v>
      </c>
      <c r="W87" s="6">
        <f t="shared" si="10"/>
        <v>591.95429999999999</v>
      </c>
      <c r="X87" s="3">
        <v>9.44</v>
      </c>
      <c r="Y87" s="5">
        <f t="shared" si="11"/>
        <v>601.39430000000004</v>
      </c>
    </row>
    <row r="88" spans="1:25" x14ac:dyDescent="0.2">
      <c r="A88" t="s">
        <v>1025</v>
      </c>
      <c r="B88" s="1">
        <v>41455</v>
      </c>
      <c r="C88" s="2" t="str">
        <f t="shared" si="6"/>
        <v>2013</v>
      </c>
      <c r="D88" s="2" t="s">
        <v>520</v>
      </c>
      <c r="E88" s="2" t="s">
        <v>188</v>
      </c>
      <c r="F88" s="2" t="s">
        <v>36</v>
      </c>
      <c r="G88" s="2" t="s">
        <v>37</v>
      </c>
      <c r="H88" s="2" t="s">
        <v>42</v>
      </c>
      <c r="I88" s="2" t="s">
        <v>75</v>
      </c>
      <c r="J88" s="2" t="s">
        <v>23</v>
      </c>
      <c r="K88" s="2" t="s">
        <v>24</v>
      </c>
      <c r="L88" s="2" t="s">
        <v>25</v>
      </c>
      <c r="M88" s="2" t="s">
        <v>26</v>
      </c>
      <c r="N88" s="2" t="s">
        <v>27</v>
      </c>
      <c r="O88" s="1">
        <v>41459</v>
      </c>
      <c r="P88" s="3">
        <v>6.39</v>
      </c>
      <c r="Q88" s="3">
        <v>19.98</v>
      </c>
      <c r="R88" s="3">
        <f t="shared" si="7"/>
        <v>13.59</v>
      </c>
      <c r="S88" s="2">
        <v>19</v>
      </c>
      <c r="T88" s="3">
        <f t="shared" si="8"/>
        <v>379.62</v>
      </c>
      <c r="U88" s="4">
        <v>0.08</v>
      </c>
      <c r="V88" s="6">
        <f t="shared" si="9"/>
        <v>30.369600000000002</v>
      </c>
      <c r="W88" s="6">
        <f t="shared" si="10"/>
        <v>349.25040000000001</v>
      </c>
      <c r="X88" s="3">
        <v>4</v>
      </c>
      <c r="Y88" s="5">
        <f t="shared" si="11"/>
        <v>353.25040000000001</v>
      </c>
    </row>
    <row r="89" spans="1:25" x14ac:dyDescent="0.2">
      <c r="A89" t="s">
        <v>1026</v>
      </c>
      <c r="B89" s="1">
        <v>41457</v>
      </c>
      <c r="C89" s="2" t="str">
        <f t="shared" si="6"/>
        <v>2013</v>
      </c>
      <c r="D89" s="2" t="s">
        <v>832</v>
      </c>
      <c r="E89" s="2" t="s">
        <v>152</v>
      </c>
      <c r="F89" s="2" t="s">
        <v>36</v>
      </c>
      <c r="G89" s="2" t="s">
        <v>37</v>
      </c>
      <c r="H89" s="2" t="s">
        <v>29</v>
      </c>
      <c r="I89" s="2" t="s">
        <v>153</v>
      </c>
      <c r="J89" s="2" t="s">
        <v>44</v>
      </c>
      <c r="K89" s="2" t="s">
        <v>447</v>
      </c>
      <c r="L89" s="2" t="s">
        <v>25</v>
      </c>
      <c r="M89" s="2" t="s">
        <v>58</v>
      </c>
      <c r="N89" s="2" t="s">
        <v>89</v>
      </c>
      <c r="O89" s="1">
        <v>41458</v>
      </c>
      <c r="P89" s="3">
        <v>1.87</v>
      </c>
      <c r="Q89" s="3">
        <v>8.1199999999999992</v>
      </c>
      <c r="R89" s="3">
        <f t="shared" si="7"/>
        <v>6.2499999999999991</v>
      </c>
      <c r="S89" s="2">
        <v>32</v>
      </c>
      <c r="T89" s="3">
        <f t="shared" si="8"/>
        <v>259.83999999999997</v>
      </c>
      <c r="U89" s="4">
        <v>0.08</v>
      </c>
      <c r="V89" s="6">
        <f t="shared" si="9"/>
        <v>20.787199999999999</v>
      </c>
      <c r="W89" s="6">
        <f t="shared" si="10"/>
        <v>239.05279999999999</v>
      </c>
      <c r="X89" s="3">
        <v>2.83</v>
      </c>
      <c r="Y89" s="5">
        <f t="shared" si="11"/>
        <v>241.8828</v>
      </c>
    </row>
    <row r="90" spans="1:25" x14ac:dyDescent="0.2">
      <c r="A90" t="s">
        <v>1027</v>
      </c>
      <c r="B90" s="1">
        <v>41458</v>
      </c>
      <c r="C90" s="2" t="str">
        <f t="shared" si="6"/>
        <v>2013</v>
      </c>
      <c r="D90" s="2" t="s">
        <v>542</v>
      </c>
      <c r="E90" s="2" t="s">
        <v>246</v>
      </c>
      <c r="F90" s="2" t="s">
        <v>19</v>
      </c>
      <c r="G90" s="2" t="s">
        <v>20</v>
      </c>
      <c r="H90" s="2" t="s">
        <v>21</v>
      </c>
      <c r="I90" s="2" t="s">
        <v>22</v>
      </c>
      <c r="J90" s="2" t="s">
        <v>44</v>
      </c>
      <c r="K90" s="2" t="s">
        <v>211</v>
      </c>
      <c r="L90" s="2" t="s">
        <v>32</v>
      </c>
      <c r="M90" s="2" t="s">
        <v>26</v>
      </c>
      <c r="N90" s="2" t="s">
        <v>27</v>
      </c>
      <c r="O90" s="1">
        <v>41460</v>
      </c>
      <c r="P90" s="3">
        <v>1.98</v>
      </c>
      <c r="Q90" s="3">
        <v>3.15</v>
      </c>
      <c r="R90" s="3">
        <f t="shared" si="7"/>
        <v>1.17</v>
      </c>
      <c r="S90" s="2">
        <v>23</v>
      </c>
      <c r="T90" s="3">
        <f t="shared" si="8"/>
        <v>72.45</v>
      </c>
      <c r="U90" s="4">
        <v>0.01</v>
      </c>
      <c r="V90" s="6">
        <f t="shared" si="9"/>
        <v>0.72450000000000003</v>
      </c>
      <c r="W90" s="6">
        <f t="shared" si="10"/>
        <v>71.725499999999997</v>
      </c>
      <c r="X90" s="3">
        <v>0.49</v>
      </c>
      <c r="Y90" s="5">
        <f t="shared" si="11"/>
        <v>72.215499999999992</v>
      </c>
    </row>
    <row r="91" spans="1:25" x14ac:dyDescent="0.2">
      <c r="A91" t="s">
        <v>1028</v>
      </c>
      <c r="B91" s="1">
        <v>41458</v>
      </c>
      <c r="C91" s="2" t="str">
        <f t="shared" si="6"/>
        <v>2013</v>
      </c>
      <c r="D91" s="2" t="s">
        <v>543</v>
      </c>
      <c r="E91" s="2" t="s">
        <v>115</v>
      </c>
      <c r="F91" s="2" t="s">
        <v>36</v>
      </c>
      <c r="G91" s="2" t="s">
        <v>37</v>
      </c>
      <c r="H91" s="2" t="s">
        <v>50</v>
      </c>
      <c r="I91" s="2" t="s">
        <v>51</v>
      </c>
      <c r="J91" s="2" t="s">
        <v>52</v>
      </c>
      <c r="K91" s="2" t="s">
        <v>274</v>
      </c>
      <c r="L91" s="2" t="s">
        <v>32</v>
      </c>
      <c r="M91" s="2" t="s">
        <v>26</v>
      </c>
      <c r="N91" s="2" t="s">
        <v>27</v>
      </c>
      <c r="O91" s="1">
        <v>41460</v>
      </c>
      <c r="P91" s="3">
        <v>16.850000000000001</v>
      </c>
      <c r="Q91" s="3">
        <v>27.18</v>
      </c>
      <c r="R91" s="3">
        <f t="shared" si="7"/>
        <v>10.329999999999998</v>
      </c>
      <c r="S91" s="2">
        <v>34</v>
      </c>
      <c r="T91" s="3">
        <f t="shared" si="8"/>
        <v>924.12</v>
      </c>
      <c r="U91" s="4">
        <v>0.1</v>
      </c>
      <c r="V91" s="6">
        <f t="shared" si="9"/>
        <v>92.412000000000006</v>
      </c>
      <c r="W91" s="6">
        <f t="shared" si="10"/>
        <v>831.70799999999997</v>
      </c>
      <c r="X91" s="3">
        <v>8.23</v>
      </c>
      <c r="Y91" s="5">
        <f t="shared" si="11"/>
        <v>839.93799999999999</v>
      </c>
    </row>
    <row r="92" spans="1:25" x14ac:dyDescent="0.2">
      <c r="A92" t="s">
        <v>1029</v>
      </c>
      <c r="B92" s="1">
        <v>41459</v>
      </c>
      <c r="C92" s="2" t="str">
        <f t="shared" si="6"/>
        <v>2013</v>
      </c>
      <c r="D92" s="2" t="s">
        <v>724</v>
      </c>
      <c r="E92" s="2" t="s">
        <v>69</v>
      </c>
      <c r="F92" s="2" t="s">
        <v>19</v>
      </c>
      <c r="G92" s="2" t="s">
        <v>20</v>
      </c>
      <c r="H92" s="2" t="s">
        <v>42</v>
      </c>
      <c r="I92" s="2" t="s">
        <v>22</v>
      </c>
      <c r="J92" s="2" t="s">
        <v>66</v>
      </c>
      <c r="K92" s="2" t="s">
        <v>116</v>
      </c>
      <c r="L92" s="2" t="s">
        <v>32</v>
      </c>
      <c r="M92" s="2" t="s">
        <v>33</v>
      </c>
      <c r="N92" s="2" t="s">
        <v>27</v>
      </c>
      <c r="O92" s="1">
        <v>41460</v>
      </c>
      <c r="P92" s="3">
        <v>1.6</v>
      </c>
      <c r="Q92" s="3">
        <v>2.62</v>
      </c>
      <c r="R92" s="3">
        <f t="shared" si="7"/>
        <v>1.02</v>
      </c>
      <c r="S92" s="2">
        <v>21</v>
      </c>
      <c r="T92" s="3">
        <f t="shared" si="8"/>
        <v>55.02</v>
      </c>
      <c r="U92" s="4">
        <v>0.05</v>
      </c>
      <c r="V92" s="6">
        <f t="shared" si="9"/>
        <v>2.7510000000000003</v>
      </c>
      <c r="W92" s="6">
        <f t="shared" si="10"/>
        <v>52.269000000000005</v>
      </c>
      <c r="X92" s="3">
        <v>0.8</v>
      </c>
      <c r="Y92" s="5">
        <f t="shared" si="11"/>
        <v>53.069000000000003</v>
      </c>
    </row>
    <row r="93" spans="1:25" x14ac:dyDescent="0.2">
      <c r="A93" t="s">
        <v>862</v>
      </c>
      <c r="B93" s="1">
        <v>41460</v>
      </c>
      <c r="C93" s="2" t="str">
        <f t="shared" si="6"/>
        <v>2013</v>
      </c>
      <c r="D93" s="2" t="s">
        <v>425</v>
      </c>
      <c r="E93" s="2" t="s">
        <v>1930</v>
      </c>
      <c r="F93" s="2" t="s">
        <v>19</v>
      </c>
      <c r="G93" s="2" t="s">
        <v>20</v>
      </c>
      <c r="H93" s="2" t="s">
        <v>50</v>
      </c>
      <c r="I93" s="2" t="s">
        <v>22</v>
      </c>
      <c r="J93" s="2" t="s">
        <v>52</v>
      </c>
      <c r="K93" s="2" t="s">
        <v>84</v>
      </c>
      <c r="L93" s="2" t="s">
        <v>25</v>
      </c>
      <c r="M93" s="2" t="s">
        <v>85</v>
      </c>
      <c r="N93" s="2" t="s">
        <v>27</v>
      </c>
      <c r="O93" s="1">
        <v>41462</v>
      </c>
      <c r="P93" s="3">
        <v>8.82</v>
      </c>
      <c r="Q93" s="3">
        <v>20.99</v>
      </c>
      <c r="R93" s="3">
        <f t="shared" si="7"/>
        <v>12.169999999999998</v>
      </c>
      <c r="S93" s="2">
        <v>41</v>
      </c>
      <c r="T93" s="3">
        <f t="shared" si="8"/>
        <v>860.58999999999992</v>
      </c>
      <c r="U93" s="4">
        <v>0.02</v>
      </c>
      <c r="V93" s="6">
        <f t="shared" si="9"/>
        <v>17.2118</v>
      </c>
      <c r="W93" s="6">
        <f t="shared" si="10"/>
        <v>843.37819999999988</v>
      </c>
      <c r="X93" s="3">
        <v>4.8099999999999996</v>
      </c>
      <c r="Y93" s="5">
        <f t="shared" si="11"/>
        <v>848.18819999999982</v>
      </c>
    </row>
    <row r="94" spans="1:25" x14ac:dyDescent="0.2">
      <c r="A94" t="s">
        <v>863</v>
      </c>
      <c r="B94" s="1">
        <v>41460</v>
      </c>
      <c r="C94" s="2" t="str">
        <f t="shared" si="6"/>
        <v>2013</v>
      </c>
      <c r="D94" s="2" t="s">
        <v>425</v>
      </c>
      <c r="E94" s="2" t="s">
        <v>1930</v>
      </c>
      <c r="F94" s="2" t="s">
        <v>19</v>
      </c>
      <c r="G94" s="2" t="s">
        <v>20</v>
      </c>
      <c r="H94" s="2" t="s">
        <v>50</v>
      </c>
      <c r="I94" s="2" t="s">
        <v>22</v>
      </c>
      <c r="J94" s="2" t="s">
        <v>52</v>
      </c>
      <c r="K94" s="2" t="s">
        <v>189</v>
      </c>
      <c r="L94" s="2" t="s">
        <v>32</v>
      </c>
      <c r="M94" s="2" t="s">
        <v>26</v>
      </c>
      <c r="N94" s="2" t="s">
        <v>89</v>
      </c>
      <c r="O94" s="1">
        <v>41462</v>
      </c>
      <c r="P94" s="3">
        <v>3.4</v>
      </c>
      <c r="Q94" s="3">
        <v>5.4</v>
      </c>
      <c r="R94" s="3">
        <f t="shared" si="7"/>
        <v>2.0000000000000004</v>
      </c>
      <c r="S94" s="2">
        <v>26</v>
      </c>
      <c r="T94" s="3">
        <f t="shared" si="8"/>
        <v>140.4</v>
      </c>
      <c r="U94" s="4">
        <v>0.05</v>
      </c>
      <c r="V94" s="6">
        <f t="shared" si="9"/>
        <v>7.0200000000000005</v>
      </c>
      <c r="W94" s="6">
        <f t="shared" si="10"/>
        <v>133.38</v>
      </c>
      <c r="X94" s="3">
        <v>7.78</v>
      </c>
      <c r="Y94" s="5">
        <f t="shared" si="11"/>
        <v>141.16</v>
      </c>
    </row>
    <row r="95" spans="1:25" x14ac:dyDescent="0.2">
      <c r="A95" t="s">
        <v>1030</v>
      </c>
      <c r="B95" s="1">
        <v>41461</v>
      </c>
      <c r="C95" s="2" t="str">
        <f t="shared" si="6"/>
        <v>2013</v>
      </c>
      <c r="D95" s="2" t="s">
        <v>831</v>
      </c>
      <c r="E95" s="2" t="s">
        <v>379</v>
      </c>
      <c r="F95" s="2" t="s">
        <v>36</v>
      </c>
      <c r="G95" s="2" t="s">
        <v>37</v>
      </c>
      <c r="H95" s="2" t="s">
        <v>42</v>
      </c>
      <c r="I95" s="2" t="s">
        <v>56</v>
      </c>
      <c r="J95" s="2" t="s">
        <v>30</v>
      </c>
      <c r="K95" s="2" t="s">
        <v>775</v>
      </c>
      <c r="L95" s="2" t="s">
        <v>32</v>
      </c>
      <c r="M95" s="2" t="s">
        <v>26</v>
      </c>
      <c r="N95" s="2" t="s">
        <v>27</v>
      </c>
      <c r="O95" s="1">
        <v>41461</v>
      </c>
      <c r="P95" s="3">
        <v>21.56</v>
      </c>
      <c r="Q95" s="3">
        <v>35.94</v>
      </c>
      <c r="R95" s="3">
        <f t="shared" si="7"/>
        <v>14.379999999999999</v>
      </c>
      <c r="S95" s="2">
        <v>28</v>
      </c>
      <c r="T95" s="3">
        <f t="shared" si="8"/>
        <v>1006.3199999999999</v>
      </c>
      <c r="U95" s="4">
        <v>0.01</v>
      </c>
      <c r="V95" s="6">
        <f t="shared" si="9"/>
        <v>10.0632</v>
      </c>
      <c r="W95" s="6">
        <f t="shared" si="10"/>
        <v>996.25679999999988</v>
      </c>
      <c r="X95" s="3">
        <v>6.66</v>
      </c>
      <c r="Y95" s="5">
        <f t="shared" si="11"/>
        <v>1002.9167999999999</v>
      </c>
    </row>
    <row r="96" spans="1:25" x14ac:dyDescent="0.2">
      <c r="A96" t="s">
        <v>1031</v>
      </c>
      <c r="B96" s="1">
        <v>41465</v>
      </c>
      <c r="C96" s="2" t="str">
        <f t="shared" si="6"/>
        <v>2013</v>
      </c>
      <c r="D96" s="2" t="s">
        <v>830</v>
      </c>
      <c r="E96" s="2" t="s">
        <v>60</v>
      </c>
      <c r="F96" s="2" t="s">
        <v>36</v>
      </c>
      <c r="G96" s="2" t="s">
        <v>37</v>
      </c>
      <c r="H96" s="2" t="s">
        <v>50</v>
      </c>
      <c r="I96" s="2" t="s">
        <v>56</v>
      </c>
      <c r="J96" s="2" t="s">
        <v>66</v>
      </c>
      <c r="K96" s="2" t="s">
        <v>585</v>
      </c>
      <c r="L96" s="2" t="s">
        <v>32</v>
      </c>
      <c r="M96" s="2" t="s">
        <v>26</v>
      </c>
      <c r="N96" s="2" t="s">
        <v>27</v>
      </c>
      <c r="O96" s="1">
        <v>41465</v>
      </c>
      <c r="P96" s="3">
        <v>2.74</v>
      </c>
      <c r="Q96" s="3">
        <v>4.49</v>
      </c>
      <c r="R96" s="3">
        <f t="shared" si="7"/>
        <v>1.75</v>
      </c>
      <c r="S96" s="2">
        <v>11</v>
      </c>
      <c r="T96" s="3">
        <f t="shared" si="8"/>
        <v>49.39</v>
      </c>
      <c r="U96" s="4">
        <v>0.08</v>
      </c>
      <c r="V96" s="6">
        <f t="shared" si="9"/>
        <v>3.9512</v>
      </c>
      <c r="W96" s="6">
        <f t="shared" si="10"/>
        <v>45.438800000000001</v>
      </c>
      <c r="X96" s="3">
        <v>1.49</v>
      </c>
      <c r="Y96" s="5">
        <f t="shared" si="11"/>
        <v>46.928800000000003</v>
      </c>
    </row>
    <row r="97" spans="1:25" x14ac:dyDescent="0.2">
      <c r="A97" t="s">
        <v>1032</v>
      </c>
      <c r="B97" s="1">
        <v>41465</v>
      </c>
      <c r="C97" s="2" t="str">
        <f t="shared" si="6"/>
        <v>2013</v>
      </c>
      <c r="D97" s="2" t="s">
        <v>502</v>
      </c>
      <c r="E97" s="2" t="s">
        <v>46</v>
      </c>
      <c r="F97" s="2" t="s">
        <v>19</v>
      </c>
      <c r="G97" s="2" t="s">
        <v>20</v>
      </c>
      <c r="H97" s="2" t="s">
        <v>50</v>
      </c>
      <c r="I97" s="2" t="s">
        <v>22</v>
      </c>
      <c r="J97" s="2" t="s">
        <v>52</v>
      </c>
      <c r="K97" s="2" t="s">
        <v>491</v>
      </c>
      <c r="L97" s="2" t="s">
        <v>32</v>
      </c>
      <c r="M97" s="2" t="s">
        <v>33</v>
      </c>
      <c r="N97" s="2" t="s">
        <v>27</v>
      </c>
      <c r="O97" s="1">
        <v>41468</v>
      </c>
      <c r="P97" s="3">
        <v>4.37</v>
      </c>
      <c r="Q97" s="3">
        <v>9.11</v>
      </c>
      <c r="R97" s="3">
        <f t="shared" si="7"/>
        <v>4.7399999999999993</v>
      </c>
      <c r="S97" s="2">
        <v>6</v>
      </c>
      <c r="T97" s="3">
        <f t="shared" si="8"/>
        <v>54.66</v>
      </c>
      <c r="U97" s="4">
        <v>0.04</v>
      </c>
      <c r="V97" s="6">
        <f t="shared" si="9"/>
        <v>2.1863999999999999</v>
      </c>
      <c r="W97" s="6">
        <f t="shared" si="10"/>
        <v>52.473599999999998</v>
      </c>
      <c r="X97" s="3">
        <v>2.25</v>
      </c>
      <c r="Y97" s="5">
        <f t="shared" si="11"/>
        <v>54.723599999999998</v>
      </c>
    </row>
    <row r="98" spans="1:25" x14ac:dyDescent="0.2">
      <c r="A98" t="s">
        <v>864</v>
      </c>
      <c r="B98" s="1">
        <v>41470</v>
      </c>
      <c r="C98" s="2" t="str">
        <f t="shared" si="6"/>
        <v>2013</v>
      </c>
      <c r="D98" s="2" t="s">
        <v>384</v>
      </c>
      <c r="E98" s="2" t="s">
        <v>172</v>
      </c>
      <c r="F98" s="2" t="s">
        <v>36</v>
      </c>
      <c r="G98" s="2" t="s">
        <v>37</v>
      </c>
      <c r="H98" s="2" t="s">
        <v>29</v>
      </c>
      <c r="I98" s="2" t="s">
        <v>75</v>
      </c>
      <c r="J98" s="2" t="s">
        <v>66</v>
      </c>
      <c r="K98" s="2" t="s">
        <v>509</v>
      </c>
      <c r="L98" s="2" t="s">
        <v>32</v>
      </c>
      <c r="M98" s="2" t="s">
        <v>33</v>
      </c>
      <c r="N98" s="2" t="s">
        <v>27</v>
      </c>
      <c r="O98" s="1">
        <v>41471</v>
      </c>
      <c r="P98" s="3">
        <v>3.88</v>
      </c>
      <c r="Q98" s="3">
        <v>6.47</v>
      </c>
      <c r="R98" s="3">
        <f t="shared" si="7"/>
        <v>2.59</v>
      </c>
      <c r="S98" s="2">
        <v>20</v>
      </c>
      <c r="T98" s="3">
        <f t="shared" si="8"/>
        <v>129.4</v>
      </c>
      <c r="U98" s="4">
        <v>0.02</v>
      </c>
      <c r="V98" s="6">
        <f t="shared" si="9"/>
        <v>2.5880000000000001</v>
      </c>
      <c r="W98" s="6">
        <f t="shared" si="10"/>
        <v>126.81200000000001</v>
      </c>
      <c r="X98" s="3">
        <v>1.22</v>
      </c>
      <c r="Y98" s="5">
        <f t="shared" si="11"/>
        <v>128.03200000000001</v>
      </c>
    </row>
    <row r="99" spans="1:25" x14ac:dyDescent="0.2">
      <c r="A99" t="s">
        <v>865</v>
      </c>
      <c r="B99" s="1">
        <v>41470</v>
      </c>
      <c r="C99" s="2" t="str">
        <f t="shared" si="6"/>
        <v>2013</v>
      </c>
      <c r="D99" s="2" t="s">
        <v>384</v>
      </c>
      <c r="E99" s="2" t="s">
        <v>172</v>
      </c>
      <c r="F99" s="2" t="s">
        <v>36</v>
      </c>
      <c r="G99" s="2" t="s">
        <v>37</v>
      </c>
      <c r="H99" s="2" t="s">
        <v>29</v>
      </c>
      <c r="I99" s="2" t="s">
        <v>75</v>
      </c>
      <c r="J99" s="2" t="s">
        <v>66</v>
      </c>
      <c r="K99" s="2" t="s">
        <v>377</v>
      </c>
      <c r="L99" s="2" t="s">
        <v>32</v>
      </c>
      <c r="M99" s="2" t="s">
        <v>33</v>
      </c>
      <c r="N99" s="2" t="s">
        <v>27</v>
      </c>
      <c r="O99" s="1">
        <v>41472</v>
      </c>
      <c r="P99" s="3">
        <v>1.31</v>
      </c>
      <c r="Q99" s="3">
        <v>2.84</v>
      </c>
      <c r="R99" s="3">
        <f t="shared" si="7"/>
        <v>1.5299999999999998</v>
      </c>
      <c r="S99" s="2">
        <v>39</v>
      </c>
      <c r="T99" s="3">
        <f t="shared" si="8"/>
        <v>110.75999999999999</v>
      </c>
      <c r="U99" s="4">
        <v>7.0000000000000007E-2</v>
      </c>
      <c r="V99" s="6">
        <f t="shared" si="9"/>
        <v>7.7532000000000005</v>
      </c>
      <c r="W99" s="6">
        <f t="shared" si="10"/>
        <v>103.00679999999998</v>
      </c>
      <c r="X99" s="3">
        <v>0.93</v>
      </c>
      <c r="Y99" s="5">
        <f t="shared" si="11"/>
        <v>103.93679999999999</v>
      </c>
    </row>
    <row r="100" spans="1:25" x14ac:dyDescent="0.2">
      <c r="A100" t="s">
        <v>1033</v>
      </c>
      <c r="B100" s="1">
        <v>41471</v>
      </c>
      <c r="C100" s="2" t="str">
        <f t="shared" si="6"/>
        <v>2013</v>
      </c>
      <c r="D100" s="2" t="s">
        <v>242</v>
      </c>
      <c r="E100" s="2" t="s">
        <v>238</v>
      </c>
      <c r="F100" s="2" t="s">
        <v>36</v>
      </c>
      <c r="G100" s="2" t="s">
        <v>37</v>
      </c>
      <c r="H100" s="2" t="s">
        <v>21</v>
      </c>
      <c r="I100" s="2" t="s">
        <v>96</v>
      </c>
      <c r="J100" s="2" t="s">
        <v>66</v>
      </c>
      <c r="K100" s="2" t="s">
        <v>155</v>
      </c>
      <c r="L100" s="2" t="s">
        <v>32</v>
      </c>
      <c r="M100" s="2" t="s">
        <v>33</v>
      </c>
      <c r="N100" s="2" t="s">
        <v>27</v>
      </c>
      <c r="O100" s="1">
        <v>41472</v>
      </c>
      <c r="P100" s="3">
        <v>0.24</v>
      </c>
      <c r="Q100" s="3">
        <v>1.26</v>
      </c>
      <c r="R100" s="3">
        <f t="shared" si="7"/>
        <v>1.02</v>
      </c>
      <c r="S100" s="2">
        <v>10</v>
      </c>
      <c r="T100" s="3">
        <f t="shared" si="8"/>
        <v>12.6</v>
      </c>
      <c r="U100" s="4">
        <v>0.1</v>
      </c>
      <c r="V100" s="6">
        <f t="shared" si="9"/>
        <v>1.26</v>
      </c>
      <c r="W100" s="6">
        <f t="shared" si="10"/>
        <v>11.34</v>
      </c>
      <c r="X100" s="3">
        <v>0.7</v>
      </c>
      <c r="Y100" s="5">
        <f t="shared" si="11"/>
        <v>12.04</v>
      </c>
    </row>
    <row r="101" spans="1:25" x14ac:dyDescent="0.2">
      <c r="A101" t="s">
        <v>1034</v>
      </c>
      <c r="B101" s="1">
        <v>41471</v>
      </c>
      <c r="C101" s="2" t="str">
        <f t="shared" si="6"/>
        <v>2013</v>
      </c>
      <c r="D101" s="2" t="s">
        <v>762</v>
      </c>
      <c r="E101" s="2" t="s">
        <v>246</v>
      </c>
      <c r="F101" s="2" t="s">
        <v>19</v>
      </c>
      <c r="G101" s="2" t="s">
        <v>20</v>
      </c>
      <c r="H101" s="2" t="s">
        <v>50</v>
      </c>
      <c r="I101" s="2" t="s">
        <v>22</v>
      </c>
      <c r="J101" s="2" t="s">
        <v>44</v>
      </c>
      <c r="K101" s="2" t="s">
        <v>334</v>
      </c>
      <c r="L101" s="2" t="s">
        <v>32</v>
      </c>
      <c r="M101" s="2" t="s">
        <v>33</v>
      </c>
      <c r="N101" s="2" t="s">
        <v>27</v>
      </c>
      <c r="O101" s="1">
        <v>41471</v>
      </c>
      <c r="P101" s="3">
        <v>2.9</v>
      </c>
      <c r="Q101" s="3">
        <v>4.76</v>
      </c>
      <c r="R101" s="3">
        <f t="shared" si="7"/>
        <v>1.8599999999999999</v>
      </c>
      <c r="S101" s="2">
        <v>13</v>
      </c>
      <c r="T101" s="3">
        <f t="shared" si="8"/>
        <v>61.879999999999995</v>
      </c>
      <c r="U101" s="4">
        <v>7.0000000000000007E-2</v>
      </c>
      <c r="V101" s="6">
        <f t="shared" si="9"/>
        <v>4.3315999999999999</v>
      </c>
      <c r="W101" s="6">
        <f t="shared" si="10"/>
        <v>57.548399999999994</v>
      </c>
      <c r="X101" s="3">
        <v>0.88</v>
      </c>
      <c r="Y101" s="5">
        <f t="shared" si="11"/>
        <v>58.428399999999996</v>
      </c>
    </row>
    <row r="102" spans="1:25" x14ac:dyDescent="0.2">
      <c r="A102" t="s">
        <v>1035</v>
      </c>
      <c r="B102" s="1">
        <v>41472</v>
      </c>
      <c r="C102" s="2" t="str">
        <f t="shared" si="6"/>
        <v>2013</v>
      </c>
      <c r="D102" s="2" t="s">
        <v>625</v>
      </c>
      <c r="E102" s="2" t="s">
        <v>199</v>
      </c>
      <c r="F102" s="2" t="s">
        <v>19</v>
      </c>
      <c r="G102" s="2" t="s">
        <v>20</v>
      </c>
      <c r="H102" s="2" t="s">
        <v>29</v>
      </c>
      <c r="I102" s="2" t="s">
        <v>92</v>
      </c>
      <c r="J102" s="2" t="s">
        <v>23</v>
      </c>
      <c r="K102" s="2" t="s">
        <v>174</v>
      </c>
      <c r="L102" s="2" t="s">
        <v>25</v>
      </c>
      <c r="M102" s="2" t="s">
        <v>26</v>
      </c>
      <c r="N102" s="2" t="s">
        <v>89</v>
      </c>
      <c r="O102" s="1">
        <v>41472</v>
      </c>
      <c r="P102" s="3">
        <v>54.52</v>
      </c>
      <c r="Q102" s="3">
        <v>100.97</v>
      </c>
      <c r="R102" s="3">
        <f t="shared" si="7"/>
        <v>46.449999999999996</v>
      </c>
      <c r="S102" s="2">
        <v>35</v>
      </c>
      <c r="T102" s="3">
        <f t="shared" si="8"/>
        <v>3533.95</v>
      </c>
      <c r="U102" s="4">
        <v>0.05</v>
      </c>
      <c r="V102" s="6">
        <f t="shared" si="9"/>
        <v>176.69749999999999</v>
      </c>
      <c r="W102" s="6">
        <f t="shared" si="10"/>
        <v>3357.2524999999996</v>
      </c>
      <c r="X102" s="3">
        <v>7.18</v>
      </c>
      <c r="Y102" s="5">
        <f t="shared" si="11"/>
        <v>3364.4324999999994</v>
      </c>
    </row>
    <row r="103" spans="1:25" x14ac:dyDescent="0.2">
      <c r="A103" t="s">
        <v>1036</v>
      </c>
      <c r="B103" s="1">
        <v>41473</v>
      </c>
      <c r="C103" s="2" t="str">
        <f t="shared" si="6"/>
        <v>2013</v>
      </c>
      <c r="D103" s="2" t="s">
        <v>829</v>
      </c>
      <c r="E103" s="2" t="s">
        <v>1929</v>
      </c>
      <c r="F103" s="2" t="s">
        <v>19</v>
      </c>
      <c r="G103" s="2" t="s">
        <v>20</v>
      </c>
      <c r="H103" s="2" t="s">
        <v>21</v>
      </c>
      <c r="I103" s="2" t="s">
        <v>92</v>
      </c>
      <c r="J103" s="2" t="s">
        <v>66</v>
      </c>
      <c r="K103" s="2" t="s">
        <v>623</v>
      </c>
      <c r="L103" s="2" t="s">
        <v>32</v>
      </c>
      <c r="M103" s="2" t="s">
        <v>58</v>
      </c>
      <c r="N103" s="2" t="s">
        <v>89</v>
      </c>
      <c r="O103" s="1">
        <v>41475</v>
      </c>
      <c r="P103" s="3">
        <v>3.42</v>
      </c>
      <c r="Q103" s="3">
        <v>8.34</v>
      </c>
      <c r="R103" s="3">
        <f t="shared" si="7"/>
        <v>4.92</v>
      </c>
      <c r="S103" s="2">
        <v>15</v>
      </c>
      <c r="T103" s="3">
        <f t="shared" si="8"/>
        <v>125.1</v>
      </c>
      <c r="U103" s="4">
        <v>0</v>
      </c>
      <c r="V103" s="6">
        <f t="shared" si="9"/>
        <v>0</v>
      </c>
      <c r="W103" s="6">
        <f t="shared" si="10"/>
        <v>125.1</v>
      </c>
      <c r="X103" s="3">
        <v>2.64</v>
      </c>
      <c r="Y103" s="5">
        <f t="shared" si="11"/>
        <v>127.74</v>
      </c>
    </row>
    <row r="104" spans="1:25" x14ac:dyDescent="0.2">
      <c r="A104" t="s">
        <v>1037</v>
      </c>
      <c r="B104" s="1">
        <v>41475</v>
      </c>
      <c r="C104" s="2" t="str">
        <f t="shared" si="6"/>
        <v>2013</v>
      </c>
      <c r="D104" s="2" t="s">
        <v>700</v>
      </c>
      <c r="E104" s="2" t="s">
        <v>69</v>
      </c>
      <c r="F104" s="2" t="s">
        <v>19</v>
      </c>
      <c r="G104" s="2" t="s">
        <v>20</v>
      </c>
      <c r="H104" s="2" t="s">
        <v>42</v>
      </c>
      <c r="I104" s="2" t="s">
        <v>22</v>
      </c>
      <c r="J104" s="2" t="s">
        <v>66</v>
      </c>
      <c r="K104" s="2" t="s">
        <v>300</v>
      </c>
      <c r="L104" s="2" t="s">
        <v>32</v>
      </c>
      <c r="M104" s="2" t="s">
        <v>26</v>
      </c>
      <c r="N104" s="2" t="s">
        <v>89</v>
      </c>
      <c r="O104" s="1">
        <v>41477</v>
      </c>
      <c r="P104" s="3">
        <v>5.33</v>
      </c>
      <c r="Q104" s="3">
        <v>8.6</v>
      </c>
      <c r="R104" s="3">
        <f t="shared" si="7"/>
        <v>3.2699999999999996</v>
      </c>
      <c r="S104" s="2">
        <v>23</v>
      </c>
      <c r="T104" s="3">
        <f t="shared" si="8"/>
        <v>197.79999999999998</v>
      </c>
      <c r="U104" s="4">
        <v>0.02</v>
      </c>
      <c r="V104" s="6">
        <f t="shared" si="9"/>
        <v>3.956</v>
      </c>
      <c r="W104" s="6">
        <f t="shared" si="10"/>
        <v>193.84399999999999</v>
      </c>
      <c r="X104" s="3">
        <v>6.19</v>
      </c>
      <c r="Y104" s="5">
        <f t="shared" si="11"/>
        <v>200.03399999999999</v>
      </c>
    </row>
    <row r="105" spans="1:25" x14ac:dyDescent="0.2">
      <c r="A105" t="s">
        <v>1038</v>
      </c>
      <c r="B105" s="1">
        <v>41476</v>
      </c>
      <c r="C105" s="2" t="str">
        <f t="shared" si="6"/>
        <v>2013</v>
      </c>
      <c r="D105" s="2" t="s">
        <v>828</v>
      </c>
      <c r="E105" s="2" t="s">
        <v>35</v>
      </c>
      <c r="F105" s="2" t="s">
        <v>36</v>
      </c>
      <c r="G105" s="2" t="s">
        <v>37</v>
      </c>
      <c r="H105" s="2" t="s">
        <v>50</v>
      </c>
      <c r="I105" s="2" t="s">
        <v>38</v>
      </c>
      <c r="J105" s="2" t="s">
        <v>44</v>
      </c>
      <c r="K105" s="2" t="s">
        <v>186</v>
      </c>
      <c r="L105" s="2" t="s">
        <v>25</v>
      </c>
      <c r="M105" s="2" t="s">
        <v>62</v>
      </c>
      <c r="N105" s="2" t="s">
        <v>63</v>
      </c>
      <c r="O105" s="1">
        <v>41478</v>
      </c>
      <c r="P105" s="3">
        <v>278.99</v>
      </c>
      <c r="Q105" s="3">
        <v>449.99</v>
      </c>
      <c r="R105" s="3">
        <f t="shared" si="7"/>
        <v>171</v>
      </c>
      <c r="S105" s="2">
        <v>12</v>
      </c>
      <c r="T105" s="3">
        <f t="shared" si="8"/>
        <v>5399.88</v>
      </c>
      <c r="U105" s="4">
        <v>0.06</v>
      </c>
      <c r="V105" s="6">
        <f t="shared" si="9"/>
        <v>323.99279999999999</v>
      </c>
      <c r="W105" s="6">
        <f t="shared" si="10"/>
        <v>5075.8872000000001</v>
      </c>
      <c r="X105" s="3">
        <v>49</v>
      </c>
      <c r="Y105" s="5">
        <f t="shared" si="11"/>
        <v>5124.8872000000001</v>
      </c>
    </row>
    <row r="106" spans="1:25" x14ac:dyDescent="0.2">
      <c r="A106" t="s">
        <v>1039</v>
      </c>
      <c r="B106" s="1">
        <v>41477</v>
      </c>
      <c r="C106" s="2" t="str">
        <f t="shared" si="6"/>
        <v>2013</v>
      </c>
      <c r="D106" s="2" t="s">
        <v>59</v>
      </c>
      <c r="E106" s="2" t="s">
        <v>60</v>
      </c>
      <c r="F106" s="2" t="s">
        <v>36</v>
      </c>
      <c r="G106" s="2" t="s">
        <v>37</v>
      </c>
      <c r="H106" s="2" t="s">
        <v>50</v>
      </c>
      <c r="I106" s="2" t="s">
        <v>56</v>
      </c>
      <c r="J106" s="2" t="s">
        <v>44</v>
      </c>
      <c r="K106" s="2" t="s">
        <v>403</v>
      </c>
      <c r="L106" s="2" t="s">
        <v>32</v>
      </c>
      <c r="M106" s="2" t="s">
        <v>26</v>
      </c>
      <c r="N106" s="2" t="s">
        <v>89</v>
      </c>
      <c r="O106" s="1">
        <v>41478</v>
      </c>
      <c r="P106" s="3">
        <v>1.33</v>
      </c>
      <c r="Q106" s="3">
        <v>2.08</v>
      </c>
      <c r="R106" s="3">
        <f t="shared" si="7"/>
        <v>0.75</v>
      </c>
      <c r="S106" s="2">
        <v>11</v>
      </c>
      <c r="T106" s="3">
        <f t="shared" si="8"/>
        <v>22.880000000000003</v>
      </c>
      <c r="U106" s="4">
        <v>0.01</v>
      </c>
      <c r="V106" s="6">
        <f t="shared" si="9"/>
        <v>0.22880000000000003</v>
      </c>
      <c r="W106" s="6">
        <f t="shared" si="10"/>
        <v>22.651200000000003</v>
      </c>
      <c r="X106" s="3">
        <v>1.49</v>
      </c>
      <c r="Y106" s="5">
        <f t="shared" si="11"/>
        <v>24.141200000000001</v>
      </c>
    </row>
    <row r="107" spans="1:25" x14ac:dyDescent="0.2">
      <c r="A107" t="s">
        <v>1040</v>
      </c>
      <c r="B107" s="1">
        <v>41477</v>
      </c>
      <c r="C107" s="2" t="str">
        <f t="shared" si="6"/>
        <v>2013</v>
      </c>
      <c r="D107" s="2" t="s">
        <v>553</v>
      </c>
      <c r="E107" s="2" t="s">
        <v>182</v>
      </c>
      <c r="F107" s="2" t="s">
        <v>36</v>
      </c>
      <c r="G107" s="2" t="s">
        <v>37</v>
      </c>
      <c r="H107" s="2" t="s">
        <v>50</v>
      </c>
      <c r="I107" s="2" t="s">
        <v>96</v>
      </c>
      <c r="J107" s="2" t="s">
        <v>23</v>
      </c>
      <c r="K107" s="2" t="s">
        <v>386</v>
      </c>
      <c r="L107" s="2" t="s">
        <v>25</v>
      </c>
      <c r="M107" s="2" t="s">
        <v>26</v>
      </c>
      <c r="N107" s="2" t="s">
        <v>27</v>
      </c>
      <c r="O107" s="1">
        <v>41481</v>
      </c>
      <c r="P107" s="3">
        <v>6.51</v>
      </c>
      <c r="Q107" s="3">
        <v>30.98</v>
      </c>
      <c r="R107" s="3">
        <f t="shared" si="7"/>
        <v>24.47</v>
      </c>
      <c r="S107" s="2">
        <v>29</v>
      </c>
      <c r="T107" s="3">
        <f t="shared" si="8"/>
        <v>898.42</v>
      </c>
      <c r="U107" s="4">
        <v>0.03</v>
      </c>
      <c r="V107" s="6">
        <f t="shared" si="9"/>
        <v>26.952599999999997</v>
      </c>
      <c r="W107" s="6">
        <f t="shared" si="10"/>
        <v>871.4674</v>
      </c>
      <c r="X107" s="3">
        <v>6.5</v>
      </c>
      <c r="Y107" s="5">
        <f t="shared" si="11"/>
        <v>877.9674</v>
      </c>
    </row>
    <row r="108" spans="1:25" x14ac:dyDescent="0.2">
      <c r="A108" t="s">
        <v>1041</v>
      </c>
      <c r="B108" s="1">
        <v>41478</v>
      </c>
      <c r="C108" s="2" t="str">
        <f t="shared" si="6"/>
        <v>2013</v>
      </c>
      <c r="D108" s="2" t="s">
        <v>259</v>
      </c>
      <c r="E108" s="2" t="s">
        <v>222</v>
      </c>
      <c r="F108" s="2" t="s">
        <v>19</v>
      </c>
      <c r="G108" s="2" t="s">
        <v>20</v>
      </c>
      <c r="H108" s="2" t="s">
        <v>50</v>
      </c>
      <c r="I108" s="2" t="s">
        <v>92</v>
      </c>
      <c r="J108" s="2" t="s">
        <v>52</v>
      </c>
      <c r="K108" s="2" t="s">
        <v>459</v>
      </c>
      <c r="L108" s="2" t="s">
        <v>32</v>
      </c>
      <c r="M108" s="2" t="s">
        <v>33</v>
      </c>
      <c r="N108" s="2" t="s">
        <v>27</v>
      </c>
      <c r="O108" s="1">
        <v>41480</v>
      </c>
      <c r="P108" s="3">
        <v>2.98</v>
      </c>
      <c r="Q108" s="3">
        <v>5.84</v>
      </c>
      <c r="R108" s="3">
        <f t="shared" si="7"/>
        <v>2.86</v>
      </c>
      <c r="S108" s="2">
        <v>11</v>
      </c>
      <c r="T108" s="3">
        <f t="shared" si="8"/>
        <v>64.239999999999995</v>
      </c>
      <c r="U108" s="4">
        <v>0.01</v>
      </c>
      <c r="V108" s="6">
        <f t="shared" si="9"/>
        <v>0.64239999999999997</v>
      </c>
      <c r="W108" s="6">
        <f t="shared" si="10"/>
        <v>63.597599999999993</v>
      </c>
      <c r="X108" s="3">
        <v>0.83</v>
      </c>
      <c r="Y108" s="5">
        <f t="shared" si="11"/>
        <v>64.427599999999998</v>
      </c>
    </row>
    <row r="109" spans="1:25" x14ac:dyDescent="0.2">
      <c r="A109" t="s">
        <v>1042</v>
      </c>
      <c r="B109" s="1">
        <v>41479</v>
      </c>
      <c r="C109" s="2" t="str">
        <f t="shared" si="6"/>
        <v>2013</v>
      </c>
      <c r="D109" s="2" t="s">
        <v>495</v>
      </c>
      <c r="E109" s="2" t="s">
        <v>194</v>
      </c>
      <c r="F109" s="2" t="s">
        <v>36</v>
      </c>
      <c r="G109" s="2" t="s">
        <v>37</v>
      </c>
      <c r="H109" s="2" t="s">
        <v>21</v>
      </c>
      <c r="I109" s="2" t="s">
        <v>51</v>
      </c>
      <c r="J109" s="2" t="s">
        <v>66</v>
      </c>
      <c r="K109" s="2" t="s">
        <v>241</v>
      </c>
      <c r="L109" s="2" t="s">
        <v>32</v>
      </c>
      <c r="M109" s="2" t="s">
        <v>26</v>
      </c>
      <c r="N109" s="2" t="s">
        <v>27</v>
      </c>
      <c r="O109" s="1">
        <v>41481</v>
      </c>
      <c r="P109" s="3">
        <v>3.65</v>
      </c>
      <c r="Q109" s="3">
        <v>5.98</v>
      </c>
      <c r="R109" s="3">
        <f t="shared" si="7"/>
        <v>2.3300000000000005</v>
      </c>
      <c r="S109" s="2">
        <v>14</v>
      </c>
      <c r="T109" s="3">
        <f t="shared" si="8"/>
        <v>83.72</v>
      </c>
      <c r="U109" s="4">
        <v>0.09</v>
      </c>
      <c r="V109" s="6">
        <f t="shared" si="9"/>
        <v>7.5347999999999997</v>
      </c>
      <c r="W109" s="6">
        <f t="shared" si="10"/>
        <v>76.185199999999995</v>
      </c>
      <c r="X109" s="3">
        <v>1.49</v>
      </c>
      <c r="Y109" s="5">
        <f t="shared" si="11"/>
        <v>77.67519999999999</v>
      </c>
    </row>
    <row r="110" spans="1:25" x14ac:dyDescent="0.2">
      <c r="A110" t="s">
        <v>1043</v>
      </c>
      <c r="B110" s="1">
        <v>41481</v>
      </c>
      <c r="C110" s="2" t="str">
        <f t="shared" si="6"/>
        <v>2013</v>
      </c>
      <c r="D110" s="2" t="s">
        <v>395</v>
      </c>
      <c r="E110" s="2" t="s">
        <v>1893</v>
      </c>
      <c r="F110" s="2" t="s">
        <v>1881</v>
      </c>
      <c r="G110" s="2" t="s">
        <v>1882</v>
      </c>
      <c r="H110" s="2" t="s">
        <v>29</v>
      </c>
      <c r="I110" s="2" t="s">
        <v>153</v>
      </c>
      <c r="J110" s="2" t="s">
        <v>23</v>
      </c>
      <c r="K110" s="2" t="s">
        <v>247</v>
      </c>
      <c r="L110" s="2" t="s">
        <v>32</v>
      </c>
      <c r="M110" s="2" t="s">
        <v>26</v>
      </c>
      <c r="N110" s="2" t="s">
        <v>27</v>
      </c>
      <c r="O110" s="1">
        <v>41486</v>
      </c>
      <c r="P110" s="3">
        <v>4.46</v>
      </c>
      <c r="Q110" s="3">
        <v>10.89</v>
      </c>
      <c r="R110" s="3">
        <f t="shared" si="7"/>
        <v>6.4300000000000006</v>
      </c>
      <c r="S110" s="2">
        <v>37</v>
      </c>
      <c r="T110" s="3">
        <f t="shared" si="8"/>
        <v>402.93</v>
      </c>
      <c r="U110" s="4">
        <v>0.06</v>
      </c>
      <c r="V110" s="6">
        <f t="shared" si="9"/>
        <v>24.175799999999999</v>
      </c>
      <c r="W110" s="6">
        <f t="shared" si="10"/>
        <v>378.75420000000003</v>
      </c>
      <c r="X110" s="3">
        <v>4.5</v>
      </c>
      <c r="Y110" s="5">
        <f t="shared" si="11"/>
        <v>383.25420000000003</v>
      </c>
    </row>
    <row r="111" spans="1:25" x14ac:dyDescent="0.2">
      <c r="A111" t="s">
        <v>1044</v>
      </c>
      <c r="B111" s="1">
        <v>41481</v>
      </c>
      <c r="C111" s="2" t="str">
        <f t="shared" si="6"/>
        <v>2013</v>
      </c>
      <c r="D111" s="2" t="s">
        <v>827</v>
      </c>
      <c r="E111" s="2" t="s">
        <v>69</v>
      </c>
      <c r="F111" s="2" t="s">
        <v>19</v>
      </c>
      <c r="G111" s="2" t="s">
        <v>20</v>
      </c>
      <c r="H111" s="2" t="s">
        <v>50</v>
      </c>
      <c r="I111" s="2" t="s">
        <v>22</v>
      </c>
      <c r="J111" s="2" t="s">
        <v>23</v>
      </c>
      <c r="K111" s="2" t="s">
        <v>386</v>
      </c>
      <c r="L111" s="2" t="s">
        <v>25</v>
      </c>
      <c r="M111" s="2" t="s">
        <v>26</v>
      </c>
      <c r="N111" s="2" t="s">
        <v>27</v>
      </c>
      <c r="O111" s="1">
        <v>41483</v>
      </c>
      <c r="P111" s="3">
        <v>6.51</v>
      </c>
      <c r="Q111" s="3">
        <v>30.98</v>
      </c>
      <c r="R111" s="3">
        <f t="shared" si="7"/>
        <v>24.47</v>
      </c>
      <c r="S111" s="2">
        <v>8</v>
      </c>
      <c r="T111" s="3">
        <f t="shared" si="8"/>
        <v>247.84</v>
      </c>
      <c r="U111" s="4">
        <v>0.01</v>
      </c>
      <c r="V111" s="6">
        <f t="shared" si="9"/>
        <v>2.4784000000000002</v>
      </c>
      <c r="W111" s="6">
        <f t="shared" si="10"/>
        <v>245.36160000000001</v>
      </c>
      <c r="X111" s="3">
        <v>6.5</v>
      </c>
      <c r="Y111" s="5">
        <f t="shared" si="11"/>
        <v>251.86160000000001</v>
      </c>
    </row>
    <row r="112" spans="1:25" x14ac:dyDescent="0.2">
      <c r="A112" t="s">
        <v>1045</v>
      </c>
      <c r="B112" s="1">
        <v>41482</v>
      </c>
      <c r="C112" s="2" t="str">
        <f t="shared" si="6"/>
        <v>2013</v>
      </c>
      <c r="D112" s="2" t="s">
        <v>698</v>
      </c>
      <c r="E112" s="2" t="s">
        <v>166</v>
      </c>
      <c r="F112" s="2" t="s">
        <v>19</v>
      </c>
      <c r="G112" s="2" t="s">
        <v>20</v>
      </c>
      <c r="H112" s="2" t="s">
        <v>42</v>
      </c>
      <c r="I112" s="2" t="s">
        <v>92</v>
      </c>
      <c r="J112" s="2" t="s">
        <v>23</v>
      </c>
      <c r="K112" s="2" t="s">
        <v>117</v>
      </c>
      <c r="L112" s="2" t="s">
        <v>25</v>
      </c>
      <c r="M112" s="2" t="s">
        <v>26</v>
      </c>
      <c r="N112" s="2" t="s">
        <v>27</v>
      </c>
      <c r="O112" s="1">
        <v>41484</v>
      </c>
      <c r="P112" s="3">
        <v>39.64</v>
      </c>
      <c r="Q112" s="3">
        <v>152.47999999999999</v>
      </c>
      <c r="R112" s="3">
        <f t="shared" si="7"/>
        <v>112.83999999999999</v>
      </c>
      <c r="S112" s="2">
        <v>31</v>
      </c>
      <c r="T112" s="3">
        <f t="shared" si="8"/>
        <v>4726.88</v>
      </c>
      <c r="U112" s="4">
        <v>7.0000000000000007E-2</v>
      </c>
      <c r="V112" s="6">
        <f t="shared" si="9"/>
        <v>330.88160000000005</v>
      </c>
      <c r="W112" s="6">
        <f t="shared" si="10"/>
        <v>4395.9984000000004</v>
      </c>
      <c r="X112" s="3">
        <v>6.5</v>
      </c>
      <c r="Y112" s="5">
        <f t="shared" si="11"/>
        <v>4402.4984000000004</v>
      </c>
    </row>
    <row r="113" spans="1:25" x14ac:dyDescent="0.2">
      <c r="A113" t="s">
        <v>1046</v>
      </c>
      <c r="B113" s="1">
        <v>41483</v>
      </c>
      <c r="C113" s="2" t="str">
        <f t="shared" si="6"/>
        <v>2013</v>
      </c>
      <c r="D113" s="2" t="s">
        <v>392</v>
      </c>
      <c r="E113" s="2" t="s">
        <v>1902</v>
      </c>
      <c r="F113" s="2" t="s">
        <v>1881</v>
      </c>
      <c r="G113" s="2" t="s">
        <v>1882</v>
      </c>
      <c r="H113" s="2" t="s">
        <v>50</v>
      </c>
      <c r="I113" s="2" t="s">
        <v>51</v>
      </c>
      <c r="J113" s="2" t="s">
        <v>52</v>
      </c>
      <c r="K113" s="2" t="s">
        <v>410</v>
      </c>
      <c r="L113" s="2" t="s">
        <v>32</v>
      </c>
      <c r="M113" s="2" t="s">
        <v>33</v>
      </c>
      <c r="N113" s="2" t="s">
        <v>27</v>
      </c>
      <c r="O113" s="1">
        <v>41485</v>
      </c>
      <c r="P113" s="3">
        <v>1.95</v>
      </c>
      <c r="Q113" s="3">
        <v>3.98</v>
      </c>
      <c r="R113" s="3">
        <f t="shared" si="7"/>
        <v>2.0300000000000002</v>
      </c>
      <c r="S113" s="2">
        <v>30</v>
      </c>
      <c r="T113" s="3">
        <f t="shared" si="8"/>
        <v>119.4</v>
      </c>
      <c r="U113" s="4">
        <v>0.1</v>
      </c>
      <c r="V113" s="6">
        <f t="shared" si="9"/>
        <v>11.940000000000001</v>
      </c>
      <c r="W113" s="6">
        <f t="shared" si="10"/>
        <v>107.46000000000001</v>
      </c>
      <c r="X113" s="3">
        <v>0.83</v>
      </c>
      <c r="Y113" s="5">
        <f t="shared" si="11"/>
        <v>108.29</v>
      </c>
    </row>
    <row r="114" spans="1:25" x14ac:dyDescent="0.2">
      <c r="A114" t="s">
        <v>1047</v>
      </c>
      <c r="B114" s="1">
        <v>41484</v>
      </c>
      <c r="C114" s="2" t="str">
        <f t="shared" si="6"/>
        <v>2013</v>
      </c>
      <c r="D114" s="2" t="s">
        <v>793</v>
      </c>
      <c r="E114" s="2" t="s">
        <v>400</v>
      </c>
      <c r="F114" s="2" t="s">
        <v>19</v>
      </c>
      <c r="G114" s="2" t="s">
        <v>20</v>
      </c>
      <c r="H114" s="2" t="s">
        <v>42</v>
      </c>
      <c r="I114" s="2" t="s">
        <v>22</v>
      </c>
      <c r="J114" s="2" t="s">
        <v>52</v>
      </c>
      <c r="K114" s="2" t="s">
        <v>180</v>
      </c>
      <c r="L114" s="2" t="s">
        <v>32</v>
      </c>
      <c r="M114" s="2" t="s">
        <v>26</v>
      </c>
      <c r="N114" s="2" t="s">
        <v>27</v>
      </c>
      <c r="O114" s="1">
        <v>41485</v>
      </c>
      <c r="P114" s="3">
        <v>1.94</v>
      </c>
      <c r="Q114" s="3">
        <v>3.08</v>
      </c>
      <c r="R114" s="3">
        <f t="shared" si="7"/>
        <v>1.1400000000000001</v>
      </c>
      <c r="S114" s="2">
        <v>38</v>
      </c>
      <c r="T114" s="3">
        <f t="shared" si="8"/>
        <v>117.04</v>
      </c>
      <c r="U114" s="4">
        <v>0.04</v>
      </c>
      <c r="V114" s="6">
        <f t="shared" si="9"/>
        <v>4.6816000000000004</v>
      </c>
      <c r="W114" s="6">
        <f t="shared" si="10"/>
        <v>112.3584</v>
      </c>
      <c r="X114" s="3">
        <v>0.99</v>
      </c>
      <c r="Y114" s="5">
        <f t="shared" si="11"/>
        <v>113.3484</v>
      </c>
    </row>
    <row r="115" spans="1:25" x14ac:dyDescent="0.2">
      <c r="A115" t="s">
        <v>1048</v>
      </c>
      <c r="B115" s="1">
        <v>41485</v>
      </c>
      <c r="C115" s="2" t="str">
        <f t="shared" si="6"/>
        <v>2013</v>
      </c>
      <c r="D115" s="2" t="s">
        <v>671</v>
      </c>
      <c r="E115" s="2" t="s">
        <v>672</v>
      </c>
      <c r="F115" s="2" t="s">
        <v>36</v>
      </c>
      <c r="G115" s="2" t="s">
        <v>37</v>
      </c>
      <c r="H115" s="2" t="s">
        <v>50</v>
      </c>
      <c r="I115" s="2" t="s">
        <v>56</v>
      </c>
      <c r="J115" s="2" t="s">
        <v>52</v>
      </c>
      <c r="K115" s="2" t="s">
        <v>787</v>
      </c>
      <c r="L115" s="2" t="s">
        <v>25</v>
      </c>
      <c r="M115" s="2" t="s">
        <v>62</v>
      </c>
      <c r="N115" s="2" t="s">
        <v>63</v>
      </c>
      <c r="O115" s="1">
        <v>41486</v>
      </c>
      <c r="P115" s="3">
        <v>76.790000000000006</v>
      </c>
      <c r="Q115" s="3">
        <v>119.99</v>
      </c>
      <c r="R115" s="3">
        <f t="shared" si="7"/>
        <v>43.199999999999989</v>
      </c>
      <c r="S115" s="2">
        <v>24</v>
      </c>
      <c r="T115" s="3">
        <f t="shared" si="8"/>
        <v>2879.7599999999998</v>
      </c>
      <c r="U115" s="4">
        <v>0.02</v>
      </c>
      <c r="V115" s="6">
        <f t="shared" si="9"/>
        <v>57.595199999999998</v>
      </c>
      <c r="W115" s="6">
        <f t="shared" si="10"/>
        <v>2822.1647999999996</v>
      </c>
      <c r="X115" s="3">
        <v>14</v>
      </c>
      <c r="Y115" s="5">
        <f t="shared" si="11"/>
        <v>2836.1647999999996</v>
      </c>
    </row>
    <row r="116" spans="1:25" x14ac:dyDescent="0.2">
      <c r="A116" t="s">
        <v>866</v>
      </c>
      <c r="B116" s="1">
        <v>41486</v>
      </c>
      <c r="C116" s="2" t="str">
        <f t="shared" si="6"/>
        <v>2013</v>
      </c>
      <c r="D116" s="2" t="s">
        <v>761</v>
      </c>
      <c r="E116" s="2" t="s">
        <v>1908</v>
      </c>
      <c r="F116" s="2" t="s">
        <v>36</v>
      </c>
      <c r="G116" s="2" t="s">
        <v>37</v>
      </c>
      <c r="H116" s="2" t="s">
        <v>29</v>
      </c>
      <c r="I116" s="2" t="s">
        <v>124</v>
      </c>
      <c r="J116" s="2" t="s">
        <v>30</v>
      </c>
      <c r="K116" s="2" t="s">
        <v>173</v>
      </c>
      <c r="L116" s="2" t="s">
        <v>32</v>
      </c>
      <c r="M116" s="2" t="s">
        <v>26</v>
      </c>
      <c r="N116" s="2" t="s">
        <v>27</v>
      </c>
      <c r="O116" s="1">
        <v>41487</v>
      </c>
      <c r="P116" s="3">
        <v>1.84</v>
      </c>
      <c r="Q116" s="3">
        <v>2.88</v>
      </c>
      <c r="R116" s="3">
        <f t="shared" si="7"/>
        <v>1.0399999999999998</v>
      </c>
      <c r="S116" s="2">
        <v>11</v>
      </c>
      <c r="T116" s="3">
        <f t="shared" si="8"/>
        <v>31.68</v>
      </c>
      <c r="U116" s="4">
        <v>0.09</v>
      </c>
      <c r="V116" s="6">
        <f t="shared" si="9"/>
        <v>2.8512</v>
      </c>
      <c r="W116" s="6">
        <f t="shared" si="10"/>
        <v>28.828800000000001</v>
      </c>
      <c r="X116" s="3">
        <v>1.49</v>
      </c>
      <c r="Y116" s="5">
        <f t="shared" si="11"/>
        <v>30.3188</v>
      </c>
    </row>
    <row r="117" spans="1:25" x14ac:dyDescent="0.2">
      <c r="A117" t="s">
        <v>867</v>
      </c>
      <c r="B117" s="1">
        <v>41486</v>
      </c>
      <c r="C117" s="2" t="str">
        <f t="shared" si="6"/>
        <v>2013</v>
      </c>
      <c r="D117" s="2" t="s">
        <v>761</v>
      </c>
      <c r="E117" s="2" t="s">
        <v>1909</v>
      </c>
      <c r="F117" s="2" t="s">
        <v>36</v>
      </c>
      <c r="G117" s="2" t="s">
        <v>37</v>
      </c>
      <c r="H117" s="2" t="s">
        <v>29</v>
      </c>
      <c r="I117" s="2" t="s">
        <v>124</v>
      </c>
      <c r="J117" s="2" t="s">
        <v>30</v>
      </c>
      <c r="K117" s="2" t="s">
        <v>24</v>
      </c>
      <c r="L117" s="2" t="s">
        <v>25</v>
      </c>
      <c r="M117" s="2" t="s">
        <v>26</v>
      </c>
      <c r="N117" s="2" t="s">
        <v>27</v>
      </c>
      <c r="O117" s="1">
        <v>41488</v>
      </c>
      <c r="P117" s="3">
        <v>6.39</v>
      </c>
      <c r="Q117" s="3">
        <v>19.98</v>
      </c>
      <c r="R117" s="3">
        <f t="shared" si="7"/>
        <v>13.59</v>
      </c>
      <c r="S117" s="2">
        <v>43</v>
      </c>
      <c r="T117" s="3">
        <f t="shared" si="8"/>
        <v>859.14</v>
      </c>
      <c r="U117" s="4">
        <v>0.1</v>
      </c>
      <c r="V117" s="6">
        <f t="shared" si="9"/>
        <v>85.914000000000001</v>
      </c>
      <c r="W117" s="6">
        <f t="shared" si="10"/>
        <v>773.226</v>
      </c>
      <c r="X117" s="3">
        <v>4</v>
      </c>
      <c r="Y117" s="5">
        <f t="shared" si="11"/>
        <v>777.226</v>
      </c>
    </row>
    <row r="118" spans="1:25" x14ac:dyDescent="0.2">
      <c r="A118" t="s">
        <v>1049</v>
      </c>
      <c r="B118" s="1">
        <v>41488</v>
      </c>
      <c r="C118" s="2" t="str">
        <f t="shared" si="6"/>
        <v>2013</v>
      </c>
      <c r="D118" s="2" t="s">
        <v>799</v>
      </c>
      <c r="E118" s="2" t="s">
        <v>286</v>
      </c>
      <c r="F118" s="2" t="s">
        <v>36</v>
      </c>
      <c r="G118" s="2" t="s">
        <v>37</v>
      </c>
      <c r="H118" s="2" t="s">
        <v>50</v>
      </c>
      <c r="I118" s="2" t="s">
        <v>102</v>
      </c>
      <c r="J118" s="2" t="s">
        <v>52</v>
      </c>
      <c r="K118" s="2" t="s">
        <v>125</v>
      </c>
      <c r="L118" s="2" t="s">
        <v>32</v>
      </c>
      <c r="M118" s="2" t="s">
        <v>33</v>
      </c>
      <c r="N118" s="2" t="s">
        <v>89</v>
      </c>
      <c r="O118" s="1">
        <v>41490</v>
      </c>
      <c r="P118" s="3">
        <v>1.53</v>
      </c>
      <c r="Q118" s="3">
        <v>2.78</v>
      </c>
      <c r="R118" s="3">
        <f t="shared" si="7"/>
        <v>1.2499999999999998</v>
      </c>
      <c r="S118" s="2">
        <v>40</v>
      </c>
      <c r="T118" s="3">
        <f t="shared" si="8"/>
        <v>111.19999999999999</v>
      </c>
      <c r="U118" s="4">
        <v>0.03</v>
      </c>
      <c r="V118" s="6">
        <f t="shared" si="9"/>
        <v>3.3359999999999994</v>
      </c>
      <c r="W118" s="6">
        <f t="shared" si="10"/>
        <v>107.86399999999999</v>
      </c>
      <c r="X118" s="3">
        <v>1.34</v>
      </c>
      <c r="Y118" s="5">
        <f t="shared" si="11"/>
        <v>109.20399999999999</v>
      </c>
    </row>
    <row r="119" spans="1:25" x14ac:dyDescent="0.2">
      <c r="A119" t="s">
        <v>1050</v>
      </c>
      <c r="B119" s="1">
        <v>41492</v>
      </c>
      <c r="C119" s="2" t="str">
        <f t="shared" si="6"/>
        <v>2013</v>
      </c>
      <c r="D119" s="2" t="s">
        <v>826</v>
      </c>
      <c r="E119" s="2" t="s">
        <v>254</v>
      </c>
      <c r="F119" s="2" t="s">
        <v>19</v>
      </c>
      <c r="G119" s="2" t="s">
        <v>20</v>
      </c>
      <c r="H119" s="2" t="s">
        <v>21</v>
      </c>
      <c r="I119" s="2" t="s">
        <v>92</v>
      </c>
      <c r="J119" s="2" t="s">
        <v>66</v>
      </c>
      <c r="K119" s="2" t="s">
        <v>103</v>
      </c>
      <c r="L119" s="2" t="s">
        <v>32</v>
      </c>
      <c r="M119" s="2" t="s">
        <v>26</v>
      </c>
      <c r="N119" s="2" t="s">
        <v>27</v>
      </c>
      <c r="O119" s="1">
        <v>41494</v>
      </c>
      <c r="P119" s="3">
        <v>2.2599999999999998</v>
      </c>
      <c r="Q119" s="3">
        <v>3.58</v>
      </c>
      <c r="R119" s="3">
        <f t="shared" si="7"/>
        <v>1.3200000000000003</v>
      </c>
      <c r="S119" s="2">
        <v>46</v>
      </c>
      <c r="T119" s="3">
        <f t="shared" si="8"/>
        <v>164.68</v>
      </c>
      <c r="U119" s="4">
        <v>0.06</v>
      </c>
      <c r="V119" s="6">
        <f t="shared" si="9"/>
        <v>9.8808000000000007</v>
      </c>
      <c r="W119" s="6">
        <f t="shared" si="10"/>
        <v>154.79920000000001</v>
      </c>
      <c r="X119" s="3">
        <v>5.47</v>
      </c>
      <c r="Y119" s="5">
        <f t="shared" si="11"/>
        <v>160.26920000000001</v>
      </c>
    </row>
    <row r="120" spans="1:25" x14ac:dyDescent="0.2">
      <c r="A120" t="s">
        <v>1051</v>
      </c>
      <c r="B120" s="1">
        <v>41493</v>
      </c>
      <c r="C120" s="2" t="str">
        <f t="shared" si="6"/>
        <v>2013</v>
      </c>
      <c r="D120" s="2" t="s">
        <v>825</v>
      </c>
      <c r="E120" s="2" t="s">
        <v>91</v>
      </c>
      <c r="F120" s="2" t="s">
        <v>19</v>
      </c>
      <c r="G120" s="2" t="s">
        <v>20</v>
      </c>
      <c r="H120" s="2" t="s">
        <v>21</v>
      </c>
      <c r="I120" s="2" t="s">
        <v>92</v>
      </c>
      <c r="J120" s="2" t="s">
        <v>44</v>
      </c>
      <c r="K120" s="2" t="s">
        <v>57</v>
      </c>
      <c r="L120" s="2" t="s">
        <v>32</v>
      </c>
      <c r="M120" s="2" t="s">
        <v>58</v>
      </c>
      <c r="N120" s="2" t="s">
        <v>27</v>
      </c>
      <c r="O120" s="1">
        <v>41495</v>
      </c>
      <c r="P120" s="3">
        <v>1.46</v>
      </c>
      <c r="Q120" s="3">
        <v>3.57</v>
      </c>
      <c r="R120" s="3">
        <f t="shared" si="7"/>
        <v>2.11</v>
      </c>
      <c r="S120" s="2">
        <v>23</v>
      </c>
      <c r="T120" s="3">
        <f t="shared" si="8"/>
        <v>82.11</v>
      </c>
      <c r="U120" s="4">
        <v>0.09</v>
      </c>
      <c r="V120" s="6">
        <f t="shared" si="9"/>
        <v>7.3898999999999999</v>
      </c>
      <c r="W120" s="6">
        <f t="shared" si="10"/>
        <v>74.720100000000002</v>
      </c>
      <c r="X120" s="3">
        <v>4.17</v>
      </c>
      <c r="Y120" s="5">
        <f t="shared" si="11"/>
        <v>78.890100000000004</v>
      </c>
    </row>
    <row r="121" spans="1:25" x14ac:dyDescent="0.2">
      <c r="A121" t="s">
        <v>1052</v>
      </c>
      <c r="B121" s="1">
        <v>41494</v>
      </c>
      <c r="C121" s="2" t="str">
        <f t="shared" si="6"/>
        <v>2013</v>
      </c>
      <c r="D121" s="2" t="s">
        <v>701</v>
      </c>
      <c r="E121" s="2" t="s">
        <v>373</v>
      </c>
      <c r="F121" s="2" t="s">
        <v>36</v>
      </c>
      <c r="G121" s="2" t="s">
        <v>37</v>
      </c>
      <c r="H121" s="2" t="s">
        <v>21</v>
      </c>
      <c r="I121" s="2" t="s">
        <v>51</v>
      </c>
      <c r="J121" s="2" t="s">
        <v>52</v>
      </c>
      <c r="K121" s="2" t="s">
        <v>386</v>
      </c>
      <c r="L121" s="2" t="s">
        <v>25</v>
      </c>
      <c r="M121" s="2" t="s">
        <v>26</v>
      </c>
      <c r="N121" s="2" t="s">
        <v>89</v>
      </c>
      <c r="O121" s="1">
        <v>41495</v>
      </c>
      <c r="P121" s="3">
        <v>6.51</v>
      </c>
      <c r="Q121" s="3">
        <v>30.98</v>
      </c>
      <c r="R121" s="3">
        <f t="shared" si="7"/>
        <v>24.47</v>
      </c>
      <c r="S121" s="2">
        <v>44</v>
      </c>
      <c r="T121" s="3">
        <f t="shared" si="8"/>
        <v>1363.1200000000001</v>
      </c>
      <c r="U121" s="4">
        <v>0.02</v>
      </c>
      <c r="V121" s="6">
        <f t="shared" si="9"/>
        <v>27.262400000000003</v>
      </c>
      <c r="W121" s="6">
        <f t="shared" si="10"/>
        <v>1335.8576</v>
      </c>
      <c r="X121" s="3">
        <v>6.5</v>
      </c>
      <c r="Y121" s="5">
        <f t="shared" si="11"/>
        <v>1342.3576</v>
      </c>
    </row>
    <row r="122" spans="1:25" x14ac:dyDescent="0.2">
      <c r="A122" t="s">
        <v>1053</v>
      </c>
      <c r="B122" s="1">
        <v>41495</v>
      </c>
      <c r="C122" s="2" t="str">
        <f t="shared" si="6"/>
        <v>2013</v>
      </c>
      <c r="D122" s="2" t="s">
        <v>824</v>
      </c>
      <c r="E122" s="2" t="s">
        <v>101</v>
      </c>
      <c r="F122" s="2" t="s">
        <v>36</v>
      </c>
      <c r="G122" s="2" t="s">
        <v>37</v>
      </c>
      <c r="H122" s="2" t="s">
        <v>21</v>
      </c>
      <c r="I122" s="2" t="s">
        <v>102</v>
      </c>
      <c r="J122" s="2" t="s">
        <v>52</v>
      </c>
      <c r="K122" s="2" t="s">
        <v>669</v>
      </c>
      <c r="L122" s="2" t="s">
        <v>32</v>
      </c>
      <c r="M122" s="2" t="s">
        <v>26</v>
      </c>
      <c r="N122" s="2" t="s">
        <v>27</v>
      </c>
      <c r="O122" s="1">
        <v>41496</v>
      </c>
      <c r="P122" s="3">
        <v>18.38</v>
      </c>
      <c r="Q122" s="3">
        <v>29.17</v>
      </c>
      <c r="R122" s="3">
        <f t="shared" si="7"/>
        <v>10.790000000000003</v>
      </c>
      <c r="S122" s="2">
        <v>8</v>
      </c>
      <c r="T122" s="3">
        <f t="shared" si="8"/>
        <v>233.36</v>
      </c>
      <c r="U122" s="4">
        <v>0.02</v>
      </c>
      <c r="V122" s="6">
        <f t="shared" si="9"/>
        <v>4.6672000000000002</v>
      </c>
      <c r="W122" s="6">
        <f t="shared" si="10"/>
        <v>228.69280000000001</v>
      </c>
      <c r="X122" s="3">
        <v>6.27</v>
      </c>
      <c r="Y122" s="5">
        <f t="shared" si="11"/>
        <v>234.96280000000002</v>
      </c>
    </row>
    <row r="123" spans="1:25" x14ac:dyDescent="0.2">
      <c r="A123" t="s">
        <v>1054</v>
      </c>
      <c r="B123" s="1">
        <v>41495</v>
      </c>
      <c r="C123" s="2" t="str">
        <f t="shared" si="6"/>
        <v>2013</v>
      </c>
      <c r="D123" s="2" t="s">
        <v>198</v>
      </c>
      <c r="E123" s="2" t="s">
        <v>199</v>
      </c>
      <c r="F123" s="2" t="s">
        <v>19</v>
      </c>
      <c r="G123" s="2" t="s">
        <v>20</v>
      </c>
      <c r="H123" s="2" t="s">
        <v>42</v>
      </c>
      <c r="I123" s="2" t="s">
        <v>92</v>
      </c>
      <c r="J123" s="2" t="s">
        <v>23</v>
      </c>
      <c r="K123" s="2" t="s">
        <v>186</v>
      </c>
      <c r="L123" s="2" t="s">
        <v>25</v>
      </c>
      <c r="M123" s="2" t="s">
        <v>261</v>
      </c>
      <c r="N123" s="2" t="s">
        <v>27</v>
      </c>
      <c r="O123" s="1">
        <v>41499</v>
      </c>
      <c r="P123" s="3">
        <v>216</v>
      </c>
      <c r="Q123" s="3">
        <v>449.99</v>
      </c>
      <c r="R123" s="3">
        <f t="shared" si="7"/>
        <v>233.99</v>
      </c>
      <c r="S123" s="2">
        <v>40</v>
      </c>
      <c r="T123" s="3">
        <f t="shared" si="8"/>
        <v>17999.599999999999</v>
      </c>
      <c r="U123" s="4">
        <v>0.04</v>
      </c>
      <c r="V123" s="6">
        <f t="shared" si="9"/>
        <v>719.98399999999992</v>
      </c>
      <c r="W123" s="6">
        <f t="shared" si="10"/>
        <v>17279.615999999998</v>
      </c>
      <c r="X123" s="3">
        <v>24.49</v>
      </c>
      <c r="Y123" s="5">
        <f t="shared" si="11"/>
        <v>17304.106</v>
      </c>
    </row>
    <row r="124" spans="1:25" x14ac:dyDescent="0.2">
      <c r="A124" t="s">
        <v>1055</v>
      </c>
      <c r="B124" s="1">
        <v>41495</v>
      </c>
      <c r="C124" s="2" t="str">
        <f t="shared" si="6"/>
        <v>2013</v>
      </c>
      <c r="D124" s="2" t="s">
        <v>719</v>
      </c>
      <c r="E124" s="2" t="s">
        <v>65</v>
      </c>
      <c r="F124" s="2" t="s">
        <v>36</v>
      </c>
      <c r="G124" s="2" t="s">
        <v>37</v>
      </c>
      <c r="H124" s="2" t="s">
        <v>50</v>
      </c>
      <c r="I124" s="2" t="s">
        <v>43</v>
      </c>
      <c r="J124" s="2" t="s">
        <v>23</v>
      </c>
      <c r="K124" s="2" t="s">
        <v>61</v>
      </c>
      <c r="L124" s="2" t="s">
        <v>25</v>
      </c>
      <c r="M124" s="2" t="s">
        <v>62</v>
      </c>
      <c r="N124" s="2" t="s">
        <v>63</v>
      </c>
      <c r="O124" s="1">
        <v>41502</v>
      </c>
      <c r="P124" s="3">
        <v>75</v>
      </c>
      <c r="Q124" s="3">
        <v>120.97</v>
      </c>
      <c r="R124" s="3">
        <f t="shared" si="7"/>
        <v>45.97</v>
      </c>
      <c r="S124" s="2">
        <v>35</v>
      </c>
      <c r="T124" s="3">
        <f t="shared" si="8"/>
        <v>4233.95</v>
      </c>
      <c r="U124" s="4">
        <v>0.08</v>
      </c>
      <c r="V124" s="6">
        <f t="shared" si="9"/>
        <v>338.71600000000001</v>
      </c>
      <c r="W124" s="6">
        <f t="shared" si="10"/>
        <v>3895.2339999999999</v>
      </c>
      <c r="X124" s="3">
        <v>26.3</v>
      </c>
      <c r="Y124" s="5">
        <f t="shared" si="11"/>
        <v>3921.5340000000001</v>
      </c>
    </row>
    <row r="125" spans="1:25" x14ac:dyDescent="0.2">
      <c r="A125" t="s">
        <v>1056</v>
      </c>
      <c r="B125" s="1">
        <v>41496</v>
      </c>
      <c r="C125" s="2" t="str">
        <f t="shared" si="6"/>
        <v>2013</v>
      </c>
      <c r="D125" s="2" t="s">
        <v>823</v>
      </c>
      <c r="E125" s="2" t="s">
        <v>400</v>
      </c>
      <c r="F125" s="2" t="s">
        <v>19</v>
      </c>
      <c r="G125" s="2" t="s">
        <v>20</v>
      </c>
      <c r="H125" s="2" t="s">
        <v>29</v>
      </c>
      <c r="I125" s="2" t="s">
        <v>22</v>
      </c>
      <c r="J125" s="2" t="s">
        <v>44</v>
      </c>
      <c r="K125" s="2" t="s">
        <v>72</v>
      </c>
      <c r="L125" s="2" t="s">
        <v>32</v>
      </c>
      <c r="M125" s="2" t="s">
        <v>26</v>
      </c>
      <c r="N125" s="2" t="s">
        <v>27</v>
      </c>
      <c r="O125" s="1">
        <v>41498</v>
      </c>
      <c r="P125" s="3">
        <v>3.5</v>
      </c>
      <c r="Q125" s="3">
        <v>5.74</v>
      </c>
      <c r="R125" s="3">
        <f t="shared" si="7"/>
        <v>2.2400000000000002</v>
      </c>
      <c r="S125" s="2">
        <v>50</v>
      </c>
      <c r="T125" s="3">
        <f t="shared" si="8"/>
        <v>287</v>
      </c>
      <c r="U125" s="4">
        <v>0.1</v>
      </c>
      <c r="V125" s="6">
        <f t="shared" si="9"/>
        <v>28.700000000000003</v>
      </c>
      <c r="W125" s="6">
        <f t="shared" si="10"/>
        <v>258.3</v>
      </c>
      <c r="X125" s="3">
        <v>5.01</v>
      </c>
      <c r="Y125" s="5">
        <f t="shared" si="11"/>
        <v>263.31</v>
      </c>
    </row>
    <row r="126" spans="1:25" x14ac:dyDescent="0.2">
      <c r="A126" t="s">
        <v>1057</v>
      </c>
      <c r="B126" s="1">
        <v>41497</v>
      </c>
      <c r="C126" s="2" t="str">
        <f t="shared" si="6"/>
        <v>2013</v>
      </c>
      <c r="D126" s="2" t="s">
        <v>754</v>
      </c>
      <c r="E126" s="2" t="s">
        <v>166</v>
      </c>
      <c r="F126" s="2" t="s">
        <v>19</v>
      </c>
      <c r="G126" s="2" t="s">
        <v>20</v>
      </c>
      <c r="H126" s="2" t="s">
        <v>50</v>
      </c>
      <c r="I126" s="2" t="s">
        <v>92</v>
      </c>
      <c r="J126" s="2" t="s">
        <v>23</v>
      </c>
      <c r="K126" s="2" t="s">
        <v>31</v>
      </c>
      <c r="L126" s="2" t="s">
        <v>32</v>
      </c>
      <c r="M126" s="2" t="s">
        <v>33</v>
      </c>
      <c r="N126" s="2" t="s">
        <v>27</v>
      </c>
      <c r="O126" s="1">
        <v>41499</v>
      </c>
      <c r="P126" s="3">
        <v>0.93</v>
      </c>
      <c r="Q126" s="3">
        <v>1.48</v>
      </c>
      <c r="R126" s="3">
        <f t="shared" si="7"/>
        <v>0.54999999999999993</v>
      </c>
      <c r="S126" s="2">
        <v>19</v>
      </c>
      <c r="T126" s="3">
        <f t="shared" si="8"/>
        <v>28.12</v>
      </c>
      <c r="U126" s="4">
        <v>0.09</v>
      </c>
      <c r="V126" s="6">
        <f t="shared" si="9"/>
        <v>2.5308000000000002</v>
      </c>
      <c r="W126" s="6">
        <f t="shared" si="10"/>
        <v>25.589200000000002</v>
      </c>
      <c r="X126" s="3">
        <v>0.7</v>
      </c>
      <c r="Y126" s="5">
        <f t="shared" si="11"/>
        <v>26.289200000000001</v>
      </c>
    </row>
    <row r="127" spans="1:25" x14ac:dyDescent="0.2">
      <c r="A127" t="s">
        <v>1058</v>
      </c>
      <c r="B127" s="1">
        <v>41498</v>
      </c>
      <c r="C127" s="2" t="str">
        <f t="shared" si="6"/>
        <v>2013</v>
      </c>
      <c r="D127" s="2" t="s">
        <v>822</v>
      </c>
      <c r="E127" s="2" t="s">
        <v>580</v>
      </c>
      <c r="F127" s="2" t="s">
        <v>36</v>
      </c>
      <c r="G127" s="2" t="s">
        <v>37</v>
      </c>
      <c r="H127" s="2" t="s">
        <v>42</v>
      </c>
      <c r="I127" s="2" t="s">
        <v>43</v>
      </c>
      <c r="J127" s="2" t="s">
        <v>44</v>
      </c>
      <c r="K127" s="2" t="s">
        <v>301</v>
      </c>
      <c r="L127" s="2" t="s">
        <v>32</v>
      </c>
      <c r="M127" s="2" t="s">
        <v>26</v>
      </c>
      <c r="N127" s="2" t="s">
        <v>89</v>
      </c>
      <c r="O127" s="1">
        <v>41500</v>
      </c>
      <c r="P127" s="3">
        <v>67.73</v>
      </c>
      <c r="Q127" s="3">
        <v>165.2</v>
      </c>
      <c r="R127" s="3">
        <f t="shared" si="7"/>
        <v>97.469999999999985</v>
      </c>
      <c r="S127" s="2">
        <v>37</v>
      </c>
      <c r="T127" s="3">
        <f t="shared" si="8"/>
        <v>6112.4</v>
      </c>
      <c r="U127" s="4">
        <v>0.04</v>
      </c>
      <c r="V127" s="6">
        <f t="shared" si="9"/>
        <v>244.49599999999998</v>
      </c>
      <c r="W127" s="6">
        <f t="shared" si="10"/>
        <v>5867.9039999999995</v>
      </c>
      <c r="X127" s="3">
        <v>19.989999999999998</v>
      </c>
      <c r="Y127" s="5">
        <f t="shared" si="11"/>
        <v>5887.8939999999993</v>
      </c>
    </row>
    <row r="128" spans="1:25" x14ac:dyDescent="0.2">
      <c r="A128" t="s">
        <v>1059</v>
      </c>
      <c r="B128" s="1">
        <v>41500</v>
      </c>
      <c r="C128" s="2" t="str">
        <f t="shared" si="6"/>
        <v>2013</v>
      </c>
      <c r="D128" s="2" t="s">
        <v>821</v>
      </c>
      <c r="E128" s="2" t="s">
        <v>60</v>
      </c>
      <c r="F128" s="2" t="s">
        <v>36</v>
      </c>
      <c r="G128" s="2" t="s">
        <v>37</v>
      </c>
      <c r="H128" s="2" t="s">
        <v>50</v>
      </c>
      <c r="I128" s="2" t="s">
        <v>56</v>
      </c>
      <c r="J128" s="2" t="s">
        <v>23</v>
      </c>
      <c r="K128" s="2" t="s">
        <v>405</v>
      </c>
      <c r="L128" s="2" t="s">
        <v>32</v>
      </c>
      <c r="M128" s="2" t="s">
        <v>26</v>
      </c>
      <c r="N128" s="2" t="s">
        <v>27</v>
      </c>
      <c r="O128" s="1">
        <v>41509</v>
      </c>
      <c r="P128" s="3">
        <v>2.1800000000000002</v>
      </c>
      <c r="Q128" s="3">
        <v>3.52</v>
      </c>
      <c r="R128" s="3">
        <f t="shared" si="7"/>
        <v>1.3399999999999999</v>
      </c>
      <c r="S128" s="2">
        <v>12</v>
      </c>
      <c r="T128" s="3">
        <f t="shared" si="8"/>
        <v>42.24</v>
      </c>
      <c r="U128" s="4">
        <v>0.04</v>
      </c>
      <c r="V128" s="6">
        <f t="shared" si="9"/>
        <v>1.6896000000000002</v>
      </c>
      <c r="W128" s="6">
        <f t="shared" si="10"/>
        <v>40.550400000000003</v>
      </c>
      <c r="X128" s="3">
        <v>6.83</v>
      </c>
      <c r="Y128" s="5">
        <f t="shared" si="11"/>
        <v>47.380400000000002</v>
      </c>
    </row>
    <row r="129" spans="1:25" x14ac:dyDescent="0.2">
      <c r="A129" t="s">
        <v>1060</v>
      </c>
      <c r="B129" s="1">
        <v>41501</v>
      </c>
      <c r="C129" s="2" t="str">
        <f t="shared" si="6"/>
        <v>2013</v>
      </c>
      <c r="D129" s="2" t="s">
        <v>719</v>
      </c>
      <c r="E129" s="2" t="s">
        <v>65</v>
      </c>
      <c r="F129" s="2" t="s">
        <v>36</v>
      </c>
      <c r="G129" s="2" t="s">
        <v>37</v>
      </c>
      <c r="H129" s="2" t="s">
        <v>50</v>
      </c>
      <c r="I129" s="2" t="s">
        <v>43</v>
      </c>
      <c r="J129" s="2" t="s">
        <v>44</v>
      </c>
      <c r="K129" s="2" t="s">
        <v>377</v>
      </c>
      <c r="L129" s="2" t="s">
        <v>32</v>
      </c>
      <c r="M129" s="2" t="s">
        <v>33</v>
      </c>
      <c r="N129" s="2" t="s">
        <v>89</v>
      </c>
      <c r="O129" s="1">
        <v>41502</v>
      </c>
      <c r="P129" s="3">
        <v>1.31</v>
      </c>
      <c r="Q129" s="3">
        <v>2.84</v>
      </c>
      <c r="R129" s="3">
        <f t="shared" si="7"/>
        <v>1.5299999999999998</v>
      </c>
      <c r="S129" s="2">
        <v>13</v>
      </c>
      <c r="T129" s="3">
        <f t="shared" si="8"/>
        <v>36.92</v>
      </c>
      <c r="U129" s="4">
        <v>0.01</v>
      </c>
      <c r="V129" s="6">
        <f t="shared" si="9"/>
        <v>0.36920000000000003</v>
      </c>
      <c r="W129" s="6">
        <f t="shared" si="10"/>
        <v>36.550800000000002</v>
      </c>
      <c r="X129" s="3">
        <v>0.93</v>
      </c>
      <c r="Y129" s="5">
        <f t="shared" si="11"/>
        <v>37.480800000000002</v>
      </c>
    </row>
    <row r="130" spans="1:25" x14ac:dyDescent="0.2">
      <c r="A130" t="s">
        <v>1061</v>
      </c>
      <c r="B130" s="1">
        <v>41503</v>
      </c>
      <c r="C130" s="2" t="str">
        <f t="shared" si="6"/>
        <v>2013</v>
      </c>
      <c r="D130" s="2" t="s">
        <v>291</v>
      </c>
      <c r="E130" s="2" t="s">
        <v>1890</v>
      </c>
      <c r="F130" s="2" t="s">
        <v>1881</v>
      </c>
      <c r="G130" s="2" t="s">
        <v>1882</v>
      </c>
      <c r="H130" s="2" t="s">
        <v>50</v>
      </c>
      <c r="I130" s="2" t="s">
        <v>51</v>
      </c>
      <c r="J130" s="2" t="s">
        <v>52</v>
      </c>
      <c r="K130" s="2" t="s">
        <v>146</v>
      </c>
      <c r="L130" s="2" t="s">
        <v>32</v>
      </c>
      <c r="M130" s="2" t="s">
        <v>33</v>
      </c>
      <c r="N130" s="2" t="s">
        <v>27</v>
      </c>
      <c r="O130" s="1">
        <v>41503</v>
      </c>
      <c r="P130" s="3">
        <v>2.52</v>
      </c>
      <c r="Q130" s="3">
        <v>4</v>
      </c>
      <c r="R130" s="3">
        <f t="shared" si="7"/>
        <v>1.48</v>
      </c>
      <c r="S130" s="2">
        <v>41</v>
      </c>
      <c r="T130" s="3">
        <f t="shared" si="8"/>
        <v>164</v>
      </c>
      <c r="U130" s="4">
        <v>0.02</v>
      </c>
      <c r="V130" s="6">
        <f t="shared" si="9"/>
        <v>3.2800000000000002</v>
      </c>
      <c r="W130" s="6">
        <f t="shared" si="10"/>
        <v>160.72</v>
      </c>
      <c r="X130" s="3">
        <v>1.3</v>
      </c>
      <c r="Y130" s="5">
        <f t="shared" si="11"/>
        <v>162.02000000000001</v>
      </c>
    </row>
    <row r="131" spans="1:25" x14ac:dyDescent="0.2">
      <c r="A131" t="s">
        <v>1062</v>
      </c>
      <c r="B131" s="1">
        <v>41506</v>
      </c>
      <c r="C131" s="2" t="str">
        <f t="shared" si="6"/>
        <v>2013</v>
      </c>
      <c r="D131" s="2" t="s">
        <v>751</v>
      </c>
      <c r="E131" s="2" t="s">
        <v>271</v>
      </c>
      <c r="F131" s="2" t="s">
        <v>36</v>
      </c>
      <c r="G131" s="2" t="s">
        <v>37</v>
      </c>
      <c r="H131" s="2" t="s">
        <v>21</v>
      </c>
      <c r="I131" s="2" t="s">
        <v>102</v>
      </c>
      <c r="J131" s="2" t="s">
        <v>44</v>
      </c>
      <c r="K131" s="2" t="s">
        <v>260</v>
      </c>
      <c r="L131" s="2" t="s">
        <v>150</v>
      </c>
      <c r="M131" s="2" t="s">
        <v>261</v>
      </c>
      <c r="N131" s="2" t="s">
        <v>89</v>
      </c>
      <c r="O131" s="1">
        <v>41508</v>
      </c>
      <c r="P131" s="3">
        <v>56.16</v>
      </c>
      <c r="Q131" s="3">
        <v>136.97999999999999</v>
      </c>
      <c r="R131" s="3">
        <f t="shared" si="7"/>
        <v>80.819999999999993</v>
      </c>
      <c r="S131" s="2">
        <v>41</v>
      </c>
      <c r="T131" s="3">
        <f t="shared" si="8"/>
        <v>5616.1799999999994</v>
      </c>
      <c r="U131" s="4">
        <v>0.04</v>
      </c>
      <c r="V131" s="6">
        <f t="shared" si="9"/>
        <v>224.64719999999997</v>
      </c>
      <c r="W131" s="6">
        <f t="shared" si="10"/>
        <v>5391.532799999999</v>
      </c>
      <c r="X131" s="3">
        <v>24.49</v>
      </c>
      <c r="Y131" s="5">
        <f t="shared" si="11"/>
        <v>5416.0227999999988</v>
      </c>
    </row>
    <row r="132" spans="1:25" x14ac:dyDescent="0.2">
      <c r="A132" t="s">
        <v>1063</v>
      </c>
      <c r="B132" s="1">
        <v>41506</v>
      </c>
      <c r="C132" s="2" t="str">
        <f t="shared" si="6"/>
        <v>2013</v>
      </c>
      <c r="D132" s="2" t="s">
        <v>114</v>
      </c>
      <c r="E132" s="2" t="s">
        <v>115</v>
      </c>
      <c r="F132" s="2" t="s">
        <v>36</v>
      </c>
      <c r="G132" s="2" t="s">
        <v>37</v>
      </c>
      <c r="H132" s="2" t="s">
        <v>42</v>
      </c>
      <c r="I132" s="2" t="s">
        <v>51</v>
      </c>
      <c r="J132" s="2" t="s">
        <v>23</v>
      </c>
      <c r="K132" s="2" t="s">
        <v>488</v>
      </c>
      <c r="L132" s="2" t="s">
        <v>32</v>
      </c>
      <c r="M132" s="2" t="s">
        <v>33</v>
      </c>
      <c r="N132" s="2" t="s">
        <v>27</v>
      </c>
      <c r="O132" s="1">
        <v>41508</v>
      </c>
      <c r="P132" s="3">
        <v>3.47</v>
      </c>
      <c r="Q132" s="3">
        <v>6.68</v>
      </c>
      <c r="R132" s="3">
        <f t="shared" si="7"/>
        <v>3.2099999999999995</v>
      </c>
      <c r="S132" s="2">
        <v>5</v>
      </c>
      <c r="T132" s="3">
        <f t="shared" si="8"/>
        <v>33.4</v>
      </c>
      <c r="U132" s="4">
        <v>0.09</v>
      </c>
      <c r="V132" s="6">
        <f t="shared" si="9"/>
        <v>3.0059999999999998</v>
      </c>
      <c r="W132" s="6">
        <f t="shared" si="10"/>
        <v>30.393999999999998</v>
      </c>
      <c r="X132" s="3">
        <v>1.5</v>
      </c>
      <c r="Y132" s="5">
        <f t="shared" si="11"/>
        <v>31.893999999999998</v>
      </c>
    </row>
    <row r="133" spans="1:25" x14ac:dyDescent="0.2">
      <c r="A133" t="s">
        <v>1064</v>
      </c>
      <c r="B133" s="1">
        <v>41508</v>
      </c>
      <c r="C133" s="2" t="str">
        <f t="shared" si="6"/>
        <v>2013</v>
      </c>
      <c r="D133" s="2" t="s">
        <v>820</v>
      </c>
      <c r="E133" s="2" t="s">
        <v>107</v>
      </c>
      <c r="F133" s="2" t="s">
        <v>36</v>
      </c>
      <c r="G133" s="2" t="s">
        <v>37</v>
      </c>
      <c r="H133" s="2" t="s">
        <v>42</v>
      </c>
      <c r="I133" s="2" t="s">
        <v>83</v>
      </c>
      <c r="J133" s="2" t="s">
        <v>23</v>
      </c>
      <c r="K133" s="2" t="s">
        <v>301</v>
      </c>
      <c r="L133" s="2" t="s">
        <v>32</v>
      </c>
      <c r="M133" s="2" t="s">
        <v>26</v>
      </c>
      <c r="N133" s="2" t="s">
        <v>27</v>
      </c>
      <c r="O133" s="1">
        <v>41510</v>
      </c>
      <c r="P133" s="3">
        <v>67.73</v>
      </c>
      <c r="Q133" s="3">
        <v>165.2</v>
      </c>
      <c r="R133" s="3">
        <f t="shared" si="7"/>
        <v>97.469999999999985</v>
      </c>
      <c r="S133" s="2">
        <v>23</v>
      </c>
      <c r="T133" s="3">
        <f t="shared" si="8"/>
        <v>3799.6</v>
      </c>
      <c r="U133" s="4">
        <v>7.0000000000000007E-2</v>
      </c>
      <c r="V133" s="6">
        <f t="shared" si="9"/>
        <v>265.97200000000004</v>
      </c>
      <c r="W133" s="6">
        <f t="shared" si="10"/>
        <v>3533.6279999999997</v>
      </c>
      <c r="X133" s="3">
        <v>19.989999999999998</v>
      </c>
      <c r="Y133" s="5">
        <f t="shared" si="11"/>
        <v>3553.6179999999995</v>
      </c>
    </row>
    <row r="134" spans="1:25" x14ac:dyDescent="0.2">
      <c r="A134" t="s">
        <v>1065</v>
      </c>
      <c r="B134" s="1">
        <v>41510</v>
      </c>
      <c r="C134" s="2" t="str">
        <f t="shared" ref="C134:C197" si="12">TEXT(B134,"yyyy")</f>
        <v>2013</v>
      </c>
      <c r="D134" s="2" t="s">
        <v>819</v>
      </c>
      <c r="E134" s="2" t="s">
        <v>136</v>
      </c>
      <c r="F134" s="2" t="s">
        <v>36</v>
      </c>
      <c r="G134" s="2" t="s">
        <v>37</v>
      </c>
      <c r="H134" s="2" t="s">
        <v>21</v>
      </c>
      <c r="I134" s="2" t="s">
        <v>43</v>
      </c>
      <c r="J134" s="2" t="s">
        <v>52</v>
      </c>
      <c r="K134" s="2" t="s">
        <v>88</v>
      </c>
      <c r="L134" s="2" t="s">
        <v>32</v>
      </c>
      <c r="M134" s="2" t="s">
        <v>58</v>
      </c>
      <c r="N134" s="2" t="s">
        <v>27</v>
      </c>
      <c r="O134" s="1">
        <v>41513</v>
      </c>
      <c r="P134" s="3">
        <v>5.19</v>
      </c>
      <c r="Q134" s="3">
        <v>12.98</v>
      </c>
      <c r="R134" s="3">
        <f t="shared" ref="R134:R197" si="13">Q134-P134</f>
        <v>7.79</v>
      </c>
      <c r="S134" s="2">
        <v>45</v>
      </c>
      <c r="T134" s="3">
        <f t="shared" ref="T134:T197" si="14">Q134*S134</f>
        <v>584.1</v>
      </c>
      <c r="U134" s="4">
        <v>0.02</v>
      </c>
      <c r="V134" s="6">
        <f t="shared" ref="V134:V197" si="15">T134*U134</f>
        <v>11.682</v>
      </c>
      <c r="W134" s="6">
        <f t="shared" ref="W134:W197" si="16">T134-V134</f>
        <v>572.41800000000001</v>
      </c>
      <c r="X134" s="3">
        <v>3.14</v>
      </c>
      <c r="Y134" s="5">
        <f t="shared" ref="Y134:Y197" si="17">W134+X134</f>
        <v>575.55799999999999</v>
      </c>
    </row>
    <row r="135" spans="1:25" x14ac:dyDescent="0.2">
      <c r="A135" t="s">
        <v>1066</v>
      </c>
      <c r="B135" s="1">
        <v>41511</v>
      </c>
      <c r="C135" s="2" t="str">
        <f t="shared" si="12"/>
        <v>2013</v>
      </c>
      <c r="D135" s="2" t="s">
        <v>741</v>
      </c>
      <c r="E135" s="2" t="s">
        <v>182</v>
      </c>
      <c r="F135" s="2" t="s">
        <v>36</v>
      </c>
      <c r="G135" s="2" t="s">
        <v>37</v>
      </c>
      <c r="H135" s="2" t="s">
        <v>21</v>
      </c>
      <c r="I135" s="2" t="s">
        <v>96</v>
      </c>
      <c r="J135" s="2" t="s">
        <v>52</v>
      </c>
      <c r="K135" s="2" t="s">
        <v>120</v>
      </c>
      <c r="L135" s="2" t="s">
        <v>32</v>
      </c>
      <c r="M135" s="2" t="s">
        <v>26</v>
      </c>
      <c r="N135" s="2" t="s">
        <v>27</v>
      </c>
      <c r="O135" s="1">
        <v>41512</v>
      </c>
      <c r="P135" s="3">
        <v>1.18</v>
      </c>
      <c r="Q135" s="3">
        <v>1.88</v>
      </c>
      <c r="R135" s="3">
        <f t="shared" si="13"/>
        <v>0.7</v>
      </c>
      <c r="S135" s="2">
        <v>42</v>
      </c>
      <c r="T135" s="3">
        <f t="shared" si="14"/>
        <v>78.959999999999994</v>
      </c>
      <c r="U135" s="4">
        <v>0</v>
      </c>
      <c r="V135" s="6">
        <f t="shared" si="15"/>
        <v>0</v>
      </c>
      <c r="W135" s="6">
        <f t="shared" si="16"/>
        <v>78.959999999999994</v>
      </c>
      <c r="X135" s="3">
        <v>1.49</v>
      </c>
      <c r="Y135" s="5">
        <f t="shared" si="17"/>
        <v>80.449999999999989</v>
      </c>
    </row>
    <row r="136" spans="1:25" x14ac:dyDescent="0.2">
      <c r="A136" t="s">
        <v>1067</v>
      </c>
      <c r="B136" s="1">
        <v>41511</v>
      </c>
      <c r="C136" s="2" t="str">
        <f t="shared" si="12"/>
        <v>2013</v>
      </c>
      <c r="D136" s="2" t="s">
        <v>298</v>
      </c>
      <c r="E136" s="2" t="s">
        <v>87</v>
      </c>
      <c r="F136" s="2" t="s">
        <v>36</v>
      </c>
      <c r="G136" s="2" t="s">
        <v>37</v>
      </c>
      <c r="H136" s="2" t="s">
        <v>42</v>
      </c>
      <c r="I136" s="2" t="s">
        <v>43</v>
      </c>
      <c r="J136" s="2" t="s">
        <v>30</v>
      </c>
      <c r="K136" s="2" t="s">
        <v>197</v>
      </c>
      <c r="L136" s="2" t="s">
        <v>32</v>
      </c>
      <c r="M136" s="2" t="s">
        <v>26</v>
      </c>
      <c r="N136" s="2" t="s">
        <v>27</v>
      </c>
      <c r="O136" s="1">
        <v>41512</v>
      </c>
      <c r="P136" s="3">
        <v>3.52</v>
      </c>
      <c r="Q136" s="3">
        <v>5.68</v>
      </c>
      <c r="R136" s="3">
        <f t="shared" si="13"/>
        <v>2.1599999999999997</v>
      </c>
      <c r="S136" s="2">
        <v>32</v>
      </c>
      <c r="T136" s="3">
        <f t="shared" si="14"/>
        <v>181.76</v>
      </c>
      <c r="U136" s="4">
        <v>0.05</v>
      </c>
      <c r="V136" s="6">
        <f t="shared" si="15"/>
        <v>9.0879999999999992</v>
      </c>
      <c r="W136" s="6">
        <f t="shared" si="16"/>
        <v>172.672</v>
      </c>
      <c r="X136" s="3">
        <v>1.39</v>
      </c>
      <c r="Y136" s="5">
        <f t="shared" si="17"/>
        <v>174.06199999999998</v>
      </c>
    </row>
    <row r="137" spans="1:25" x14ac:dyDescent="0.2">
      <c r="A137" t="s">
        <v>1068</v>
      </c>
      <c r="B137" s="1">
        <v>41514</v>
      </c>
      <c r="C137" s="2" t="str">
        <f t="shared" si="12"/>
        <v>2013</v>
      </c>
      <c r="D137" s="2" t="s">
        <v>574</v>
      </c>
      <c r="E137" s="2" t="s">
        <v>271</v>
      </c>
      <c r="F137" s="2" t="s">
        <v>36</v>
      </c>
      <c r="G137" s="2" t="s">
        <v>37</v>
      </c>
      <c r="H137" s="2" t="s">
        <v>29</v>
      </c>
      <c r="I137" s="2" t="s">
        <v>102</v>
      </c>
      <c r="J137" s="2" t="s">
        <v>52</v>
      </c>
      <c r="K137" s="2" t="s">
        <v>180</v>
      </c>
      <c r="L137" s="2" t="s">
        <v>32</v>
      </c>
      <c r="M137" s="2" t="s">
        <v>26</v>
      </c>
      <c r="N137" s="2" t="s">
        <v>27</v>
      </c>
      <c r="O137" s="1">
        <v>41515</v>
      </c>
      <c r="P137" s="3">
        <v>1.94</v>
      </c>
      <c r="Q137" s="3">
        <v>3.08</v>
      </c>
      <c r="R137" s="3">
        <f t="shared" si="13"/>
        <v>1.1400000000000001</v>
      </c>
      <c r="S137" s="2">
        <v>45</v>
      </c>
      <c r="T137" s="3">
        <f t="shared" si="14"/>
        <v>138.6</v>
      </c>
      <c r="U137" s="4">
        <v>0.04</v>
      </c>
      <c r="V137" s="6">
        <f t="shared" si="15"/>
        <v>5.5439999999999996</v>
      </c>
      <c r="W137" s="6">
        <f t="shared" si="16"/>
        <v>133.05599999999998</v>
      </c>
      <c r="X137" s="3">
        <v>0.99</v>
      </c>
      <c r="Y137" s="5">
        <f t="shared" si="17"/>
        <v>134.04599999999999</v>
      </c>
    </row>
    <row r="138" spans="1:25" x14ac:dyDescent="0.2">
      <c r="A138" t="s">
        <v>1069</v>
      </c>
      <c r="B138" s="1">
        <v>41515</v>
      </c>
      <c r="C138" s="2" t="str">
        <f t="shared" si="12"/>
        <v>2013</v>
      </c>
      <c r="D138" s="2" t="s">
        <v>298</v>
      </c>
      <c r="E138" s="2" t="s">
        <v>87</v>
      </c>
      <c r="F138" s="2" t="s">
        <v>36</v>
      </c>
      <c r="G138" s="2" t="s">
        <v>37</v>
      </c>
      <c r="H138" s="2" t="s">
        <v>29</v>
      </c>
      <c r="I138" s="2" t="s">
        <v>43</v>
      </c>
      <c r="J138" s="2" t="s">
        <v>52</v>
      </c>
      <c r="K138" s="2" t="s">
        <v>818</v>
      </c>
      <c r="L138" s="2" t="s">
        <v>32</v>
      </c>
      <c r="M138" s="2" t="s">
        <v>26</v>
      </c>
      <c r="N138" s="2" t="s">
        <v>27</v>
      </c>
      <c r="O138" s="1">
        <v>41516</v>
      </c>
      <c r="P138" s="3">
        <v>8.7100000000000009</v>
      </c>
      <c r="Q138" s="3">
        <v>14.28</v>
      </c>
      <c r="R138" s="3">
        <f t="shared" si="13"/>
        <v>5.5699999999999985</v>
      </c>
      <c r="S138" s="2">
        <v>8</v>
      </c>
      <c r="T138" s="3">
        <f t="shared" si="14"/>
        <v>114.24</v>
      </c>
      <c r="U138" s="4">
        <v>0.01</v>
      </c>
      <c r="V138" s="6">
        <f t="shared" si="15"/>
        <v>1.1424000000000001</v>
      </c>
      <c r="W138" s="6">
        <f t="shared" si="16"/>
        <v>113.0976</v>
      </c>
      <c r="X138" s="3">
        <v>2.99</v>
      </c>
      <c r="Y138" s="5">
        <f t="shared" si="17"/>
        <v>116.08759999999999</v>
      </c>
    </row>
    <row r="139" spans="1:25" x14ac:dyDescent="0.2">
      <c r="A139" t="s">
        <v>1070</v>
      </c>
      <c r="B139" s="1">
        <v>41515</v>
      </c>
      <c r="C139" s="2" t="str">
        <f t="shared" si="12"/>
        <v>2013</v>
      </c>
      <c r="D139" s="2" t="s">
        <v>817</v>
      </c>
      <c r="E139" s="2" t="s">
        <v>271</v>
      </c>
      <c r="F139" s="2" t="s">
        <v>36</v>
      </c>
      <c r="G139" s="2" t="s">
        <v>37</v>
      </c>
      <c r="H139" s="2" t="s">
        <v>21</v>
      </c>
      <c r="I139" s="2" t="s">
        <v>102</v>
      </c>
      <c r="J139" s="2" t="s">
        <v>23</v>
      </c>
      <c r="K139" s="2" t="s">
        <v>111</v>
      </c>
      <c r="L139" s="2" t="s">
        <v>25</v>
      </c>
      <c r="M139" s="2" t="s">
        <v>26</v>
      </c>
      <c r="N139" s="2" t="s">
        <v>27</v>
      </c>
      <c r="O139" s="1">
        <v>41520</v>
      </c>
      <c r="P139" s="3">
        <v>60.59</v>
      </c>
      <c r="Q139" s="3">
        <v>100.98</v>
      </c>
      <c r="R139" s="3">
        <f t="shared" si="13"/>
        <v>40.39</v>
      </c>
      <c r="S139" s="2">
        <v>12</v>
      </c>
      <c r="T139" s="3">
        <f t="shared" si="14"/>
        <v>1211.76</v>
      </c>
      <c r="U139" s="4">
        <v>0.04</v>
      </c>
      <c r="V139" s="6">
        <f t="shared" si="15"/>
        <v>48.470399999999998</v>
      </c>
      <c r="W139" s="6">
        <f t="shared" si="16"/>
        <v>1163.2896000000001</v>
      </c>
      <c r="X139" s="3">
        <v>7.18</v>
      </c>
      <c r="Y139" s="5">
        <f t="shared" si="17"/>
        <v>1170.4696000000001</v>
      </c>
    </row>
    <row r="140" spans="1:25" x14ac:dyDescent="0.2">
      <c r="A140" t="s">
        <v>1071</v>
      </c>
      <c r="B140" s="1">
        <v>41516</v>
      </c>
      <c r="C140" s="2" t="str">
        <f t="shared" si="12"/>
        <v>2013</v>
      </c>
      <c r="D140" s="2" t="s">
        <v>817</v>
      </c>
      <c r="E140" s="2" t="s">
        <v>271</v>
      </c>
      <c r="F140" s="2" t="s">
        <v>36</v>
      </c>
      <c r="G140" s="2" t="s">
        <v>37</v>
      </c>
      <c r="H140" s="2" t="s">
        <v>21</v>
      </c>
      <c r="I140" s="2" t="s">
        <v>102</v>
      </c>
      <c r="J140" s="2" t="s">
        <v>30</v>
      </c>
      <c r="K140" s="2" t="s">
        <v>134</v>
      </c>
      <c r="L140" s="2" t="s">
        <v>32</v>
      </c>
      <c r="M140" s="2" t="s">
        <v>26</v>
      </c>
      <c r="N140" s="2" t="s">
        <v>89</v>
      </c>
      <c r="O140" s="1">
        <v>41518</v>
      </c>
      <c r="P140" s="3">
        <v>2.4500000000000002</v>
      </c>
      <c r="Q140" s="3">
        <v>3.89</v>
      </c>
      <c r="R140" s="3">
        <f t="shared" si="13"/>
        <v>1.44</v>
      </c>
      <c r="S140" s="2">
        <v>32</v>
      </c>
      <c r="T140" s="3">
        <f t="shared" si="14"/>
        <v>124.48</v>
      </c>
      <c r="U140" s="4">
        <v>0.09</v>
      </c>
      <c r="V140" s="6">
        <f t="shared" si="15"/>
        <v>11.203200000000001</v>
      </c>
      <c r="W140" s="6">
        <f t="shared" si="16"/>
        <v>113.27680000000001</v>
      </c>
      <c r="X140" s="3">
        <v>7.01</v>
      </c>
      <c r="Y140" s="5">
        <f t="shared" si="17"/>
        <v>120.28680000000001</v>
      </c>
    </row>
    <row r="141" spans="1:25" x14ac:dyDescent="0.2">
      <c r="A141" t="s">
        <v>1072</v>
      </c>
      <c r="B141" s="1">
        <v>41518</v>
      </c>
      <c r="C141" s="2" t="str">
        <f t="shared" si="12"/>
        <v>2013</v>
      </c>
      <c r="D141" s="2" t="s">
        <v>219</v>
      </c>
      <c r="E141" s="2" t="s">
        <v>1891</v>
      </c>
      <c r="F141" s="2" t="s">
        <v>1881</v>
      </c>
      <c r="G141" s="2" t="s">
        <v>1882</v>
      </c>
      <c r="H141" s="2" t="s">
        <v>21</v>
      </c>
      <c r="I141" s="2" t="s">
        <v>124</v>
      </c>
      <c r="J141" s="2" t="s">
        <v>66</v>
      </c>
      <c r="K141" s="2" t="s">
        <v>120</v>
      </c>
      <c r="L141" s="2" t="s">
        <v>32</v>
      </c>
      <c r="M141" s="2" t="s">
        <v>26</v>
      </c>
      <c r="N141" s="2" t="s">
        <v>27</v>
      </c>
      <c r="O141" s="1">
        <v>41519</v>
      </c>
      <c r="P141" s="3">
        <v>1.18</v>
      </c>
      <c r="Q141" s="3">
        <v>1.88</v>
      </c>
      <c r="R141" s="3">
        <f t="shared" si="13"/>
        <v>0.7</v>
      </c>
      <c r="S141" s="2">
        <v>43</v>
      </c>
      <c r="T141" s="3">
        <f t="shared" si="14"/>
        <v>80.839999999999989</v>
      </c>
      <c r="U141" s="4">
        <v>0.03</v>
      </c>
      <c r="V141" s="6">
        <f t="shared" si="15"/>
        <v>2.4251999999999998</v>
      </c>
      <c r="W141" s="6">
        <f t="shared" si="16"/>
        <v>78.414799999999985</v>
      </c>
      <c r="X141" s="3">
        <v>1.49</v>
      </c>
      <c r="Y141" s="5">
        <f t="shared" si="17"/>
        <v>79.90479999999998</v>
      </c>
    </row>
    <row r="142" spans="1:25" x14ac:dyDescent="0.2">
      <c r="A142" t="s">
        <v>1073</v>
      </c>
      <c r="B142" s="1">
        <v>41519</v>
      </c>
      <c r="C142" s="2" t="str">
        <f t="shared" si="12"/>
        <v>2013</v>
      </c>
      <c r="D142" s="2" t="s">
        <v>453</v>
      </c>
      <c r="E142" s="2" t="s">
        <v>1912</v>
      </c>
      <c r="F142" s="2" t="s">
        <v>36</v>
      </c>
      <c r="G142" s="2" t="s">
        <v>37</v>
      </c>
      <c r="H142" s="2" t="s">
        <v>50</v>
      </c>
      <c r="I142" s="2" t="s">
        <v>153</v>
      </c>
      <c r="J142" s="2" t="s">
        <v>44</v>
      </c>
      <c r="K142" s="2" t="s">
        <v>247</v>
      </c>
      <c r="L142" s="2" t="s">
        <v>32</v>
      </c>
      <c r="M142" s="2" t="s">
        <v>26</v>
      </c>
      <c r="N142" s="2" t="s">
        <v>27</v>
      </c>
      <c r="O142" s="1">
        <v>41520</v>
      </c>
      <c r="P142" s="3">
        <v>4.46</v>
      </c>
      <c r="Q142" s="3">
        <v>10.89</v>
      </c>
      <c r="R142" s="3">
        <f t="shared" si="13"/>
        <v>6.4300000000000006</v>
      </c>
      <c r="S142" s="2">
        <v>9</v>
      </c>
      <c r="T142" s="3">
        <f t="shared" si="14"/>
        <v>98.01</v>
      </c>
      <c r="U142" s="4">
        <v>0.03</v>
      </c>
      <c r="V142" s="6">
        <f t="shared" si="15"/>
        <v>2.9403000000000001</v>
      </c>
      <c r="W142" s="6">
        <f t="shared" si="16"/>
        <v>95.069700000000012</v>
      </c>
      <c r="X142" s="3">
        <v>4.5</v>
      </c>
      <c r="Y142" s="5">
        <f t="shared" si="17"/>
        <v>99.569700000000012</v>
      </c>
    </row>
    <row r="143" spans="1:25" x14ac:dyDescent="0.2">
      <c r="A143" t="s">
        <v>1074</v>
      </c>
      <c r="B143" s="1">
        <v>41520</v>
      </c>
      <c r="C143" s="2" t="str">
        <f t="shared" si="12"/>
        <v>2013</v>
      </c>
      <c r="D143" s="2" t="s">
        <v>762</v>
      </c>
      <c r="E143" s="2" t="s">
        <v>246</v>
      </c>
      <c r="F143" s="2" t="s">
        <v>19</v>
      </c>
      <c r="G143" s="2" t="s">
        <v>20</v>
      </c>
      <c r="H143" s="2" t="s">
        <v>50</v>
      </c>
      <c r="I143" s="2" t="s">
        <v>22</v>
      </c>
      <c r="J143" s="2" t="s">
        <v>23</v>
      </c>
      <c r="K143" s="2" t="s">
        <v>57</v>
      </c>
      <c r="L143" s="2" t="s">
        <v>32</v>
      </c>
      <c r="M143" s="2" t="s">
        <v>58</v>
      </c>
      <c r="N143" s="2" t="s">
        <v>27</v>
      </c>
      <c r="O143" s="1">
        <v>41522</v>
      </c>
      <c r="P143" s="3">
        <v>1.46</v>
      </c>
      <c r="Q143" s="3">
        <v>3.57</v>
      </c>
      <c r="R143" s="3">
        <f t="shared" si="13"/>
        <v>2.11</v>
      </c>
      <c r="S143" s="2">
        <v>26</v>
      </c>
      <c r="T143" s="3">
        <f t="shared" si="14"/>
        <v>92.82</v>
      </c>
      <c r="U143" s="4">
        <v>0.04</v>
      </c>
      <c r="V143" s="6">
        <f t="shared" si="15"/>
        <v>3.7127999999999997</v>
      </c>
      <c r="W143" s="6">
        <f t="shared" si="16"/>
        <v>89.107199999999992</v>
      </c>
      <c r="X143" s="3">
        <v>4.17</v>
      </c>
      <c r="Y143" s="5">
        <f t="shared" si="17"/>
        <v>93.277199999999993</v>
      </c>
    </row>
    <row r="144" spans="1:25" x14ac:dyDescent="0.2">
      <c r="A144" t="s">
        <v>1075</v>
      </c>
      <c r="B144" s="1">
        <v>41521</v>
      </c>
      <c r="C144" s="2" t="str">
        <f t="shared" si="12"/>
        <v>2013</v>
      </c>
      <c r="D144" s="2" t="s">
        <v>473</v>
      </c>
      <c r="E144" s="2" t="s">
        <v>251</v>
      </c>
      <c r="F144" s="2" t="s">
        <v>19</v>
      </c>
      <c r="G144" s="2" t="s">
        <v>20</v>
      </c>
      <c r="H144" s="2" t="s">
        <v>42</v>
      </c>
      <c r="I144" s="2" t="s">
        <v>92</v>
      </c>
      <c r="J144" s="2" t="s">
        <v>52</v>
      </c>
      <c r="K144" s="2" t="s">
        <v>316</v>
      </c>
      <c r="L144" s="2" t="s">
        <v>32</v>
      </c>
      <c r="M144" s="2" t="s">
        <v>33</v>
      </c>
      <c r="N144" s="2" t="s">
        <v>89</v>
      </c>
      <c r="O144" s="1">
        <v>41523</v>
      </c>
      <c r="P144" s="3">
        <v>3.32</v>
      </c>
      <c r="Q144" s="3">
        <v>5.18</v>
      </c>
      <c r="R144" s="3">
        <f t="shared" si="13"/>
        <v>1.8599999999999999</v>
      </c>
      <c r="S144" s="2">
        <v>37</v>
      </c>
      <c r="T144" s="3">
        <f t="shared" si="14"/>
        <v>191.66</v>
      </c>
      <c r="U144" s="4">
        <v>7.0000000000000007E-2</v>
      </c>
      <c r="V144" s="6">
        <f t="shared" si="15"/>
        <v>13.416200000000002</v>
      </c>
      <c r="W144" s="6">
        <f t="shared" si="16"/>
        <v>178.24379999999999</v>
      </c>
      <c r="X144" s="3">
        <v>2.04</v>
      </c>
      <c r="Y144" s="5">
        <f t="shared" si="17"/>
        <v>180.28379999999999</v>
      </c>
    </row>
    <row r="145" spans="1:25" x14ac:dyDescent="0.2">
      <c r="A145" t="s">
        <v>1076</v>
      </c>
      <c r="B145" s="1">
        <v>41521</v>
      </c>
      <c r="C145" s="2" t="str">
        <f t="shared" si="12"/>
        <v>2013</v>
      </c>
      <c r="D145" s="2" t="s">
        <v>816</v>
      </c>
      <c r="E145" s="2" t="s">
        <v>99</v>
      </c>
      <c r="F145" s="2" t="s">
        <v>36</v>
      </c>
      <c r="G145" s="2" t="s">
        <v>37</v>
      </c>
      <c r="H145" s="2" t="s">
        <v>50</v>
      </c>
      <c r="I145" s="2" t="s">
        <v>56</v>
      </c>
      <c r="J145" s="2" t="s">
        <v>23</v>
      </c>
      <c r="K145" s="2" t="s">
        <v>227</v>
      </c>
      <c r="L145" s="2" t="s">
        <v>32</v>
      </c>
      <c r="M145" s="2" t="s">
        <v>26</v>
      </c>
      <c r="N145" s="2" t="s">
        <v>27</v>
      </c>
      <c r="O145" s="1">
        <v>41526</v>
      </c>
      <c r="P145" s="3">
        <v>3.84</v>
      </c>
      <c r="Q145" s="3">
        <v>6.3</v>
      </c>
      <c r="R145" s="3">
        <f t="shared" si="13"/>
        <v>2.46</v>
      </c>
      <c r="S145" s="2">
        <v>39</v>
      </c>
      <c r="T145" s="3">
        <f t="shared" si="14"/>
        <v>245.7</v>
      </c>
      <c r="U145" s="4">
        <v>0.1</v>
      </c>
      <c r="V145" s="6">
        <f t="shared" si="15"/>
        <v>24.57</v>
      </c>
      <c r="W145" s="6">
        <f t="shared" si="16"/>
        <v>221.13</v>
      </c>
      <c r="X145" s="3">
        <v>0.5</v>
      </c>
      <c r="Y145" s="5">
        <f t="shared" si="17"/>
        <v>221.63</v>
      </c>
    </row>
    <row r="146" spans="1:25" x14ac:dyDescent="0.2">
      <c r="A146" t="s">
        <v>1077</v>
      </c>
      <c r="B146" s="1">
        <v>41526</v>
      </c>
      <c r="C146" s="2" t="str">
        <f t="shared" si="12"/>
        <v>2013</v>
      </c>
      <c r="D146" s="2" t="s">
        <v>715</v>
      </c>
      <c r="E146" s="2" t="s">
        <v>185</v>
      </c>
      <c r="F146" s="2" t="s">
        <v>36</v>
      </c>
      <c r="G146" s="2" t="s">
        <v>37</v>
      </c>
      <c r="H146" s="2" t="s">
        <v>50</v>
      </c>
      <c r="I146" s="2" t="s">
        <v>153</v>
      </c>
      <c r="J146" s="2" t="s">
        <v>52</v>
      </c>
      <c r="K146" s="2" t="s">
        <v>180</v>
      </c>
      <c r="L146" s="2" t="s">
        <v>32</v>
      </c>
      <c r="M146" s="2" t="s">
        <v>26</v>
      </c>
      <c r="N146" s="2" t="s">
        <v>27</v>
      </c>
      <c r="O146" s="1">
        <v>41527</v>
      </c>
      <c r="P146" s="3">
        <v>1.94</v>
      </c>
      <c r="Q146" s="3">
        <v>3.08</v>
      </c>
      <c r="R146" s="3">
        <f t="shared" si="13"/>
        <v>1.1400000000000001</v>
      </c>
      <c r="S146" s="2">
        <v>24</v>
      </c>
      <c r="T146" s="3">
        <f t="shared" si="14"/>
        <v>73.92</v>
      </c>
      <c r="U146" s="4">
        <v>0.04</v>
      </c>
      <c r="V146" s="6">
        <f t="shared" si="15"/>
        <v>2.9568000000000003</v>
      </c>
      <c r="W146" s="6">
        <f t="shared" si="16"/>
        <v>70.963200000000001</v>
      </c>
      <c r="X146" s="3">
        <v>0.99</v>
      </c>
      <c r="Y146" s="5">
        <f t="shared" si="17"/>
        <v>71.953199999999995</v>
      </c>
    </row>
    <row r="147" spans="1:25" x14ac:dyDescent="0.2">
      <c r="A147" t="s">
        <v>1078</v>
      </c>
      <c r="B147" s="1">
        <v>41527</v>
      </c>
      <c r="C147" s="2" t="str">
        <f t="shared" si="12"/>
        <v>2013</v>
      </c>
      <c r="D147" s="2" t="s">
        <v>549</v>
      </c>
      <c r="E147" s="2" t="s">
        <v>550</v>
      </c>
      <c r="F147" s="2" t="s">
        <v>36</v>
      </c>
      <c r="G147" s="2" t="s">
        <v>37</v>
      </c>
      <c r="H147" s="2" t="s">
        <v>50</v>
      </c>
      <c r="I147" s="2" t="s">
        <v>43</v>
      </c>
      <c r="J147" s="2" t="s">
        <v>52</v>
      </c>
      <c r="K147" s="2" t="s">
        <v>630</v>
      </c>
      <c r="L147" s="2" t="s">
        <v>32</v>
      </c>
      <c r="M147" s="2" t="s">
        <v>33</v>
      </c>
      <c r="N147" s="2" t="s">
        <v>27</v>
      </c>
      <c r="O147" s="1">
        <v>41529</v>
      </c>
      <c r="P147" s="3">
        <v>1.76</v>
      </c>
      <c r="Q147" s="3">
        <v>3.38</v>
      </c>
      <c r="R147" s="3">
        <f t="shared" si="13"/>
        <v>1.6199999999999999</v>
      </c>
      <c r="S147" s="2">
        <v>27</v>
      </c>
      <c r="T147" s="3">
        <f t="shared" si="14"/>
        <v>91.259999999999991</v>
      </c>
      <c r="U147" s="4">
        <v>0.08</v>
      </c>
      <c r="V147" s="6">
        <f t="shared" si="15"/>
        <v>7.3007999999999997</v>
      </c>
      <c r="W147" s="6">
        <f t="shared" si="16"/>
        <v>83.959199999999996</v>
      </c>
      <c r="X147" s="3">
        <v>0.85</v>
      </c>
      <c r="Y147" s="5">
        <f t="shared" si="17"/>
        <v>84.80919999999999</v>
      </c>
    </row>
    <row r="148" spans="1:25" x14ac:dyDescent="0.2">
      <c r="A148" t="s">
        <v>1079</v>
      </c>
      <c r="B148" s="1">
        <v>41529</v>
      </c>
      <c r="C148" s="2" t="str">
        <f t="shared" si="12"/>
        <v>2013</v>
      </c>
      <c r="D148" s="2" t="s">
        <v>814</v>
      </c>
      <c r="E148" s="2" t="s">
        <v>105</v>
      </c>
      <c r="F148" s="2" t="s">
        <v>36</v>
      </c>
      <c r="G148" s="2" t="s">
        <v>37</v>
      </c>
      <c r="H148" s="2" t="s">
        <v>42</v>
      </c>
      <c r="I148" s="2" t="s">
        <v>56</v>
      </c>
      <c r="J148" s="2" t="s">
        <v>66</v>
      </c>
      <c r="K148" s="2" t="s">
        <v>247</v>
      </c>
      <c r="L148" s="2" t="s">
        <v>32</v>
      </c>
      <c r="M148" s="2" t="s">
        <v>26</v>
      </c>
      <c r="N148" s="2" t="s">
        <v>27</v>
      </c>
      <c r="O148" s="1">
        <v>41531</v>
      </c>
      <c r="P148" s="3">
        <v>4.46</v>
      </c>
      <c r="Q148" s="3">
        <v>10.89</v>
      </c>
      <c r="R148" s="3">
        <f t="shared" si="13"/>
        <v>6.4300000000000006</v>
      </c>
      <c r="S148" s="2">
        <v>37</v>
      </c>
      <c r="T148" s="3">
        <f t="shared" si="14"/>
        <v>402.93</v>
      </c>
      <c r="U148" s="4">
        <v>0.1</v>
      </c>
      <c r="V148" s="6">
        <f t="shared" si="15"/>
        <v>40.293000000000006</v>
      </c>
      <c r="W148" s="6">
        <f t="shared" si="16"/>
        <v>362.637</v>
      </c>
      <c r="X148" s="3">
        <v>4.5</v>
      </c>
      <c r="Y148" s="5">
        <f t="shared" si="17"/>
        <v>367.137</v>
      </c>
    </row>
    <row r="149" spans="1:25" x14ac:dyDescent="0.2">
      <c r="A149" t="s">
        <v>1080</v>
      </c>
      <c r="B149" s="1">
        <v>41529</v>
      </c>
      <c r="C149" s="2" t="str">
        <f t="shared" si="12"/>
        <v>2013</v>
      </c>
      <c r="D149" s="2" t="s">
        <v>683</v>
      </c>
      <c r="E149" s="2" t="s">
        <v>176</v>
      </c>
      <c r="F149" s="2" t="s">
        <v>36</v>
      </c>
      <c r="G149" s="2" t="s">
        <v>37</v>
      </c>
      <c r="H149" s="2" t="s">
        <v>29</v>
      </c>
      <c r="I149" s="2" t="s">
        <v>102</v>
      </c>
      <c r="J149" s="2" t="s">
        <v>52</v>
      </c>
      <c r="K149" s="2" t="s">
        <v>659</v>
      </c>
      <c r="L149" s="2" t="s">
        <v>32</v>
      </c>
      <c r="M149" s="2" t="s">
        <v>26</v>
      </c>
      <c r="N149" s="2" t="s">
        <v>27</v>
      </c>
      <c r="O149" s="1">
        <v>41532</v>
      </c>
      <c r="P149" s="3">
        <v>4.8899999999999997</v>
      </c>
      <c r="Q149" s="3">
        <v>7.64</v>
      </c>
      <c r="R149" s="3">
        <f t="shared" si="13"/>
        <v>2.75</v>
      </c>
      <c r="S149" s="2">
        <v>44</v>
      </c>
      <c r="T149" s="3">
        <f t="shared" si="14"/>
        <v>336.15999999999997</v>
      </c>
      <c r="U149" s="4">
        <v>0.01</v>
      </c>
      <c r="V149" s="6">
        <f t="shared" si="15"/>
        <v>3.3615999999999997</v>
      </c>
      <c r="W149" s="6">
        <f t="shared" si="16"/>
        <v>332.79839999999996</v>
      </c>
      <c r="X149" s="3">
        <v>1.39</v>
      </c>
      <c r="Y149" s="5">
        <f t="shared" si="17"/>
        <v>334.18839999999994</v>
      </c>
    </row>
    <row r="150" spans="1:25" x14ac:dyDescent="0.2">
      <c r="A150" t="s">
        <v>1081</v>
      </c>
      <c r="B150" s="1">
        <v>41529</v>
      </c>
      <c r="C150" s="2" t="str">
        <f t="shared" si="12"/>
        <v>2013</v>
      </c>
      <c r="D150" s="2" t="s">
        <v>815</v>
      </c>
      <c r="E150" s="2" t="s">
        <v>152</v>
      </c>
      <c r="F150" s="2" t="s">
        <v>36</v>
      </c>
      <c r="G150" s="2" t="s">
        <v>37</v>
      </c>
      <c r="H150" s="2" t="s">
        <v>50</v>
      </c>
      <c r="I150" s="2" t="s">
        <v>153</v>
      </c>
      <c r="J150" s="2" t="s">
        <v>30</v>
      </c>
      <c r="K150" s="2" t="s">
        <v>565</v>
      </c>
      <c r="L150" s="2" t="s">
        <v>25</v>
      </c>
      <c r="M150" s="2" t="s">
        <v>26</v>
      </c>
      <c r="N150" s="2" t="s">
        <v>27</v>
      </c>
      <c r="O150" s="1">
        <v>41531</v>
      </c>
      <c r="P150" s="3">
        <v>42.11</v>
      </c>
      <c r="Q150" s="3">
        <v>80.98</v>
      </c>
      <c r="R150" s="3">
        <f t="shared" si="13"/>
        <v>38.870000000000005</v>
      </c>
      <c r="S150" s="2">
        <v>34</v>
      </c>
      <c r="T150" s="3">
        <f t="shared" si="14"/>
        <v>2753.32</v>
      </c>
      <c r="U150" s="4">
        <v>7.0000000000000007E-2</v>
      </c>
      <c r="V150" s="6">
        <f t="shared" si="15"/>
        <v>192.73240000000004</v>
      </c>
      <c r="W150" s="6">
        <f t="shared" si="16"/>
        <v>2560.5876000000003</v>
      </c>
      <c r="X150" s="3">
        <v>7.18</v>
      </c>
      <c r="Y150" s="5">
        <f t="shared" si="17"/>
        <v>2567.7676000000001</v>
      </c>
    </row>
    <row r="151" spans="1:25" x14ac:dyDescent="0.2">
      <c r="A151" t="s">
        <v>1082</v>
      </c>
      <c r="B151" s="1">
        <v>41531</v>
      </c>
      <c r="C151" s="2" t="str">
        <f t="shared" si="12"/>
        <v>2013</v>
      </c>
      <c r="D151" s="2" t="s">
        <v>321</v>
      </c>
      <c r="E151" s="2" t="s">
        <v>1894</v>
      </c>
      <c r="F151" s="2" t="s">
        <v>1881</v>
      </c>
      <c r="G151" s="2" t="s">
        <v>1882</v>
      </c>
      <c r="H151" s="2" t="s">
        <v>21</v>
      </c>
      <c r="I151" s="2" t="s">
        <v>124</v>
      </c>
      <c r="J151" s="2" t="s">
        <v>23</v>
      </c>
      <c r="K151" s="2" t="s">
        <v>232</v>
      </c>
      <c r="L151" s="2" t="s">
        <v>32</v>
      </c>
      <c r="M151" s="2" t="s">
        <v>58</v>
      </c>
      <c r="N151" s="2" t="s">
        <v>89</v>
      </c>
      <c r="O151" s="1">
        <v>41535</v>
      </c>
      <c r="P151" s="3">
        <v>2.5</v>
      </c>
      <c r="Q151" s="3">
        <v>5.68</v>
      </c>
      <c r="R151" s="3">
        <f t="shared" si="13"/>
        <v>3.1799999999999997</v>
      </c>
      <c r="S151" s="2">
        <v>46</v>
      </c>
      <c r="T151" s="3">
        <f t="shared" si="14"/>
        <v>261.27999999999997</v>
      </c>
      <c r="U151" s="4">
        <v>0.1</v>
      </c>
      <c r="V151" s="6">
        <f t="shared" si="15"/>
        <v>26.128</v>
      </c>
      <c r="W151" s="6">
        <f t="shared" si="16"/>
        <v>235.15199999999999</v>
      </c>
      <c r="X151" s="3">
        <v>3.6</v>
      </c>
      <c r="Y151" s="5">
        <f t="shared" si="17"/>
        <v>238.75199999999998</v>
      </c>
    </row>
    <row r="152" spans="1:25" x14ac:dyDescent="0.2">
      <c r="A152" t="s">
        <v>1083</v>
      </c>
      <c r="B152" s="1">
        <v>41534</v>
      </c>
      <c r="C152" s="2" t="str">
        <f t="shared" si="12"/>
        <v>2013</v>
      </c>
      <c r="D152" s="2" t="s">
        <v>813</v>
      </c>
      <c r="E152" s="2" t="s">
        <v>138</v>
      </c>
      <c r="F152" s="2" t="s">
        <v>36</v>
      </c>
      <c r="G152" s="2" t="s">
        <v>37</v>
      </c>
      <c r="H152" s="2" t="s">
        <v>50</v>
      </c>
      <c r="I152" s="2" t="s">
        <v>51</v>
      </c>
      <c r="J152" s="2" t="s">
        <v>44</v>
      </c>
      <c r="K152" s="2" t="s">
        <v>72</v>
      </c>
      <c r="L152" s="2" t="s">
        <v>32</v>
      </c>
      <c r="M152" s="2" t="s">
        <v>26</v>
      </c>
      <c r="N152" s="2" t="s">
        <v>27</v>
      </c>
      <c r="O152" s="1">
        <v>41536</v>
      </c>
      <c r="P152" s="3">
        <v>3.5</v>
      </c>
      <c r="Q152" s="3">
        <v>5.74</v>
      </c>
      <c r="R152" s="3">
        <f t="shared" si="13"/>
        <v>2.2400000000000002</v>
      </c>
      <c r="S152" s="2">
        <v>3</v>
      </c>
      <c r="T152" s="3">
        <f t="shared" si="14"/>
        <v>17.22</v>
      </c>
      <c r="U152" s="4">
        <v>0.08</v>
      </c>
      <c r="V152" s="6">
        <f t="shared" si="15"/>
        <v>1.3775999999999999</v>
      </c>
      <c r="W152" s="6">
        <f t="shared" si="16"/>
        <v>15.8424</v>
      </c>
      <c r="X152" s="3">
        <v>5.01</v>
      </c>
      <c r="Y152" s="5">
        <f t="shared" si="17"/>
        <v>20.852399999999999</v>
      </c>
    </row>
    <row r="153" spans="1:25" x14ac:dyDescent="0.2">
      <c r="A153" t="s">
        <v>1084</v>
      </c>
      <c r="B153" s="1">
        <v>41535</v>
      </c>
      <c r="C153" s="2" t="str">
        <f t="shared" si="12"/>
        <v>2013</v>
      </c>
      <c r="D153" s="2" t="s">
        <v>792</v>
      </c>
      <c r="E153" s="2" t="s">
        <v>130</v>
      </c>
      <c r="F153" s="2" t="s">
        <v>36</v>
      </c>
      <c r="G153" s="2" t="s">
        <v>37</v>
      </c>
      <c r="H153" s="2" t="s">
        <v>21</v>
      </c>
      <c r="I153" s="2" t="s">
        <v>79</v>
      </c>
      <c r="J153" s="2" t="s">
        <v>23</v>
      </c>
      <c r="K153" s="2" t="s">
        <v>287</v>
      </c>
      <c r="L153" s="2" t="s">
        <v>32</v>
      </c>
      <c r="M153" s="2" t="s">
        <v>26</v>
      </c>
      <c r="N153" s="2" t="s">
        <v>89</v>
      </c>
      <c r="O153" s="1">
        <v>41542</v>
      </c>
      <c r="P153" s="3">
        <v>13.88</v>
      </c>
      <c r="Q153" s="3">
        <v>22.38</v>
      </c>
      <c r="R153" s="3">
        <f t="shared" si="13"/>
        <v>8.4999999999999982</v>
      </c>
      <c r="S153" s="2">
        <v>16</v>
      </c>
      <c r="T153" s="3">
        <f t="shared" si="14"/>
        <v>358.08</v>
      </c>
      <c r="U153" s="4">
        <v>0</v>
      </c>
      <c r="V153" s="6">
        <f t="shared" si="15"/>
        <v>0</v>
      </c>
      <c r="W153" s="6">
        <f t="shared" si="16"/>
        <v>358.08</v>
      </c>
      <c r="X153" s="3">
        <v>15.1</v>
      </c>
      <c r="Y153" s="5">
        <f t="shared" si="17"/>
        <v>373.18</v>
      </c>
    </row>
    <row r="154" spans="1:25" x14ac:dyDescent="0.2">
      <c r="A154" t="s">
        <v>1085</v>
      </c>
      <c r="B154" s="1">
        <v>41537</v>
      </c>
      <c r="C154" s="2" t="str">
        <f t="shared" si="12"/>
        <v>2013</v>
      </c>
      <c r="D154" s="2" t="s">
        <v>812</v>
      </c>
      <c r="E154" s="2" t="s">
        <v>1918</v>
      </c>
      <c r="F154" s="2" t="s">
        <v>36</v>
      </c>
      <c r="G154" s="2" t="s">
        <v>37</v>
      </c>
      <c r="H154" s="2" t="s">
        <v>50</v>
      </c>
      <c r="I154" s="2" t="s">
        <v>142</v>
      </c>
      <c r="J154" s="2" t="s">
        <v>44</v>
      </c>
      <c r="K154" s="2" t="s">
        <v>507</v>
      </c>
      <c r="L154" s="2" t="s">
        <v>32</v>
      </c>
      <c r="M154" s="2" t="s">
        <v>26</v>
      </c>
      <c r="N154" s="2" t="s">
        <v>27</v>
      </c>
      <c r="O154" s="1">
        <v>41538</v>
      </c>
      <c r="P154" s="3">
        <v>36.020000000000003</v>
      </c>
      <c r="Q154" s="3">
        <v>58.1</v>
      </c>
      <c r="R154" s="3">
        <f t="shared" si="13"/>
        <v>22.08</v>
      </c>
      <c r="S154" s="2">
        <v>7</v>
      </c>
      <c r="T154" s="3">
        <f t="shared" si="14"/>
        <v>406.7</v>
      </c>
      <c r="U154" s="4">
        <v>0.1</v>
      </c>
      <c r="V154" s="6">
        <f t="shared" si="15"/>
        <v>40.67</v>
      </c>
      <c r="W154" s="6">
        <f t="shared" si="16"/>
        <v>366.03</v>
      </c>
      <c r="X154" s="3">
        <v>1.49</v>
      </c>
      <c r="Y154" s="5">
        <f t="shared" si="17"/>
        <v>367.52</v>
      </c>
    </row>
    <row r="155" spans="1:25" x14ac:dyDescent="0.2">
      <c r="A155" t="s">
        <v>1086</v>
      </c>
      <c r="B155" s="1">
        <v>41539</v>
      </c>
      <c r="C155" s="2" t="str">
        <f t="shared" si="12"/>
        <v>2013</v>
      </c>
      <c r="D155" s="2" t="s">
        <v>811</v>
      </c>
      <c r="E155" s="2" t="s">
        <v>49</v>
      </c>
      <c r="F155" s="2" t="s">
        <v>36</v>
      </c>
      <c r="G155" s="2" t="s">
        <v>37</v>
      </c>
      <c r="H155" s="2" t="s">
        <v>21</v>
      </c>
      <c r="I155" s="2" t="s">
        <v>51</v>
      </c>
      <c r="J155" s="2" t="s">
        <v>66</v>
      </c>
      <c r="K155" s="2" t="s">
        <v>139</v>
      </c>
      <c r="L155" s="2" t="s">
        <v>32</v>
      </c>
      <c r="M155" s="2" t="s">
        <v>58</v>
      </c>
      <c r="N155" s="2" t="s">
        <v>27</v>
      </c>
      <c r="O155" s="1">
        <v>41541</v>
      </c>
      <c r="P155" s="3">
        <v>0.94</v>
      </c>
      <c r="Q155" s="3">
        <v>2.08</v>
      </c>
      <c r="R155" s="3">
        <f t="shared" si="13"/>
        <v>1.1400000000000001</v>
      </c>
      <c r="S155" s="2">
        <v>43</v>
      </c>
      <c r="T155" s="3">
        <f t="shared" si="14"/>
        <v>89.44</v>
      </c>
      <c r="U155" s="4">
        <v>0.05</v>
      </c>
      <c r="V155" s="6">
        <f t="shared" si="15"/>
        <v>4.4720000000000004</v>
      </c>
      <c r="W155" s="6">
        <f t="shared" si="16"/>
        <v>84.968000000000004</v>
      </c>
      <c r="X155" s="3">
        <v>2.56</v>
      </c>
      <c r="Y155" s="5">
        <f t="shared" si="17"/>
        <v>87.528000000000006</v>
      </c>
    </row>
    <row r="156" spans="1:25" x14ac:dyDescent="0.2">
      <c r="A156" t="s">
        <v>1087</v>
      </c>
      <c r="B156" s="1">
        <v>41540</v>
      </c>
      <c r="C156" s="2" t="str">
        <f t="shared" si="12"/>
        <v>2013</v>
      </c>
      <c r="D156" s="2" t="s">
        <v>810</v>
      </c>
      <c r="E156" s="2" t="s">
        <v>666</v>
      </c>
      <c r="F156" s="2" t="s">
        <v>36</v>
      </c>
      <c r="G156" s="2" t="s">
        <v>37</v>
      </c>
      <c r="H156" s="2" t="s">
        <v>29</v>
      </c>
      <c r="I156" s="2" t="s">
        <v>38</v>
      </c>
      <c r="J156" s="2" t="s">
        <v>23</v>
      </c>
      <c r="K156" s="2" t="s">
        <v>239</v>
      </c>
      <c r="L156" s="2" t="s">
        <v>25</v>
      </c>
      <c r="M156" s="2" t="s">
        <v>85</v>
      </c>
      <c r="N156" s="2" t="s">
        <v>27</v>
      </c>
      <c r="O156" s="1">
        <v>41547</v>
      </c>
      <c r="P156" s="3">
        <v>9.91</v>
      </c>
      <c r="Q156" s="3">
        <v>15.99</v>
      </c>
      <c r="R156" s="3">
        <f t="shared" si="13"/>
        <v>6.08</v>
      </c>
      <c r="S156" s="2">
        <v>27</v>
      </c>
      <c r="T156" s="3">
        <f t="shared" si="14"/>
        <v>431.73</v>
      </c>
      <c r="U156" s="4">
        <v>0.01</v>
      </c>
      <c r="V156" s="6">
        <f t="shared" si="15"/>
        <v>4.3173000000000004</v>
      </c>
      <c r="W156" s="6">
        <f t="shared" si="16"/>
        <v>427.41270000000003</v>
      </c>
      <c r="X156" s="3">
        <v>11.28</v>
      </c>
      <c r="Y156" s="5">
        <f t="shared" si="17"/>
        <v>438.6927</v>
      </c>
    </row>
    <row r="157" spans="1:25" x14ac:dyDescent="0.2">
      <c r="A157" t="s">
        <v>1088</v>
      </c>
      <c r="B157" s="1">
        <v>41543</v>
      </c>
      <c r="C157" s="2" t="str">
        <f t="shared" si="12"/>
        <v>2013</v>
      </c>
      <c r="D157" s="2" t="s">
        <v>479</v>
      </c>
      <c r="E157" s="2" t="s">
        <v>1906</v>
      </c>
      <c r="F157" s="2" t="s">
        <v>1881</v>
      </c>
      <c r="G157" s="2" t="s">
        <v>1882</v>
      </c>
      <c r="H157" s="2" t="s">
        <v>21</v>
      </c>
      <c r="I157" s="2" t="s">
        <v>51</v>
      </c>
      <c r="J157" s="2" t="s">
        <v>30</v>
      </c>
      <c r="K157" s="2" t="s">
        <v>316</v>
      </c>
      <c r="L157" s="2" t="s">
        <v>32</v>
      </c>
      <c r="M157" s="2" t="s">
        <v>33</v>
      </c>
      <c r="N157" s="2" t="s">
        <v>27</v>
      </c>
      <c r="O157" s="1">
        <v>41545</v>
      </c>
      <c r="P157" s="3">
        <v>3.32</v>
      </c>
      <c r="Q157" s="3">
        <v>5.18</v>
      </c>
      <c r="R157" s="3">
        <f t="shared" si="13"/>
        <v>1.8599999999999999</v>
      </c>
      <c r="S157" s="2">
        <v>23</v>
      </c>
      <c r="T157" s="3">
        <f t="shared" si="14"/>
        <v>119.13999999999999</v>
      </c>
      <c r="U157" s="4">
        <v>0.05</v>
      </c>
      <c r="V157" s="6">
        <f t="shared" si="15"/>
        <v>5.9569999999999999</v>
      </c>
      <c r="W157" s="6">
        <f t="shared" si="16"/>
        <v>113.18299999999999</v>
      </c>
      <c r="X157" s="3">
        <v>2.04</v>
      </c>
      <c r="Y157" s="5">
        <f t="shared" si="17"/>
        <v>115.223</v>
      </c>
    </row>
    <row r="158" spans="1:25" x14ac:dyDescent="0.2">
      <c r="A158" t="s">
        <v>1089</v>
      </c>
      <c r="B158" s="1">
        <v>41543</v>
      </c>
      <c r="C158" s="2" t="str">
        <f t="shared" si="12"/>
        <v>2013</v>
      </c>
      <c r="D158" s="2" t="s">
        <v>352</v>
      </c>
      <c r="E158" s="2" t="s">
        <v>246</v>
      </c>
      <c r="F158" s="2" t="s">
        <v>19</v>
      </c>
      <c r="G158" s="2" t="s">
        <v>20</v>
      </c>
      <c r="H158" s="2" t="s">
        <v>21</v>
      </c>
      <c r="I158" s="2" t="s">
        <v>22</v>
      </c>
      <c r="J158" s="2" t="s">
        <v>44</v>
      </c>
      <c r="K158" s="2" t="s">
        <v>167</v>
      </c>
      <c r="L158" s="2" t="s">
        <v>32</v>
      </c>
      <c r="M158" s="2" t="s">
        <v>26</v>
      </c>
      <c r="N158" s="2" t="s">
        <v>27</v>
      </c>
      <c r="O158" s="1">
        <v>41545</v>
      </c>
      <c r="P158" s="3">
        <v>14.95</v>
      </c>
      <c r="Q158" s="3">
        <v>34.76</v>
      </c>
      <c r="R158" s="3">
        <f t="shared" si="13"/>
        <v>19.809999999999999</v>
      </c>
      <c r="S158" s="2">
        <v>15</v>
      </c>
      <c r="T158" s="3">
        <f t="shared" si="14"/>
        <v>521.4</v>
      </c>
      <c r="U158" s="4">
        <v>0.09</v>
      </c>
      <c r="V158" s="6">
        <f t="shared" si="15"/>
        <v>46.925999999999995</v>
      </c>
      <c r="W158" s="6">
        <f t="shared" si="16"/>
        <v>474.47399999999999</v>
      </c>
      <c r="X158" s="3">
        <v>8.2200000000000006</v>
      </c>
      <c r="Y158" s="5">
        <f t="shared" si="17"/>
        <v>482.69400000000002</v>
      </c>
    </row>
    <row r="159" spans="1:25" x14ac:dyDescent="0.2">
      <c r="A159" t="s">
        <v>1090</v>
      </c>
      <c r="B159" s="1">
        <v>41544</v>
      </c>
      <c r="C159" s="2" t="str">
        <f t="shared" si="12"/>
        <v>2013</v>
      </c>
      <c r="D159" s="2" t="s">
        <v>809</v>
      </c>
      <c r="E159" s="2" t="s">
        <v>580</v>
      </c>
      <c r="F159" s="2" t="s">
        <v>36</v>
      </c>
      <c r="G159" s="2" t="s">
        <v>37</v>
      </c>
      <c r="H159" s="2" t="s">
        <v>50</v>
      </c>
      <c r="I159" s="2" t="s">
        <v>43</v>
      </c>
      <c r="J159" s="2" t="s">
        <v>23</v>
      </c>
      <c r="K159" s="2" t="s">
        <v>687</v>
      </c>
      <c r="L159" s="2" t="s">
        <v>32</v>
      </c>
      <c r="M159" s="2" t="s">
        <v>26</v>
      </c>
      <c r="N159" s="2" t="s">
        <v>27</v>
      </c>
      <c r="O159" s="1">
        <v>41549</v>
      </c>
      <c r="P159" s="3">
        <v>22.18</v>
      </c>
      <c r="Q159" s="3">
        <v>54.1</v>
      </c>
      <c r="R159" s="3">
        <f t="shared" si="13"/>
        <v>31.92</v>
      </c>
      <c r="S159" s="2">
        <v>19</v>
      </c>
      <c r="T159" s="3">
        <f t="shared" si="14"/>
        <v>1027.9000000000001</v>
      </c>
      <c r="U159" s="4">
        <v>0.1</v>
      </c>
      <c r="V159" s="6">
        <f t="shared" si="15"/>
        <v>102.79000000000002</v>
      </c>
      <c r="W159" s="6">
        <f t="shared" si="16"/>
        <v>925.11000000000013</v>
      </c>
      <c r="X159" s="3">
        <v>19.989999999999998</v>
      </c>
      <c r="Y159" s="5">
        <f t="shared" si="17"/>
        <v>945.10000000000014</v>
      </c>
    </row>
    <row r="160" spans="1:25" x14ac:dyDescent="0.2">
      <c r="A160" t="s">
        <v>1091</v>
      </c>
      <c r="B160" s="1">
        <v>41547</v>
      </c>
      <c r="C160" s="2" t="str">
        <f t="shared" si="12"/>
        <v>2013</v>
      </c>
      <c r="D160" s="2" t="s">
        <v>575</v>
      </c>
      <c r="E160" s="2" t="s">
        <v>269</v>
      </c>
      <c r="F160" s="2" t="s">
        <v>36</v>
      </c>
      <c r="G160" s="2" t="s">
        <v>37</v>
      </c>
      <c r="H160" s="2" t="s">
        <v>50</v>
      </c>
      <c r="I160" s="2" t="s">
        <v>43</v>
      </c>
      <c r="J160" s="2" t="s">
        <v>52</v>
      </c>
      <c r="K160" s="2" t="s">
        <v>316</v>
      </c>
      <c r="L160" s="2" t="s">
        <v>32</v>
      </c>
      <c r="M160" s="2" t="s">
        <v>33</v>
      </c>
      <c r="N160" s="2" t="s">
        <v>27</v>
      </c>
      <c r="O160" s="1">
        <v>41549</v>
      </c>
      <c r="P160" s="3">
        <v>3.32</v>
      </c>
      <c r="Q160" s="3">
        <v>5.18</v>
      </c>
      <c r="R160" s="3">
        <f t="shared" si="13"/>
        <v>1.8599999999999999</v>
      </c>
      <c r="S160" s="2">
        <v>10</v>
      </c>
      <c r="T160" s="3">
        <f t="shared" si="14"/>
        <v>51.8</v>
      </c>
      <c r="U160" s="4">
        <v>0.01</v>
      </c>
      <c r="V160" s="6">
        <f t="shared" si="15"/>
        <v>0.51800000000000002</v>
      </c>
      <c r="W160" s="6">
        <f t="shared" si="16"/>
        <v>51.281999999999996</v>
      </c>
      <c r="X160" s="3">
        <v>2.04</v>
      </c>
      <c r="Y160" s="5">
        <f t="shared" si="17"/>
        <v>53.321999999999996</v>
      </c>
    </row>
    <row r="161" spans="1:25" x14ac:dyDescent="0.2">
      <c r="A161" t="s">
        <v>1092</v>
      </c>
      <c r="B161" s="1">
        <v>41548</v>
      </c>
      <c r="C161" s="2" t="str">
        <f t="shared" si="12"/>
        <v>2013</v>
      </c>
      <c r="D161" s="2" t="s">
        <v>808</v>
      </c>
      <c r="E161" s="2" t="s">
        <v>246</v>
      </c>
      <c r="F161" s="2" t="s">
        <v>19</v>
      </c>
      <c r="G161" s="2" t="s">
        <v>20</v>
      </c>
      <c r="H161" s="2" t="s">
        <v>50</v>
      </c>
      <c r="I161" s="2" t="s">
        <v>22</v>
      </c>
      <c r="J161" s="2" t="s">
        <v>30</v>
      </c>
      <c r="K161" s="2" t="s">
        <v>215</v>
      </c>
      <c r="L161" s="2" t="s">
        <v>25</v>
      </c>
      <c r="M161" s="2" t="s">
        <v>58</v>
      </c>
      <c r="N161" s="2" t="s">
        <v>89</v>
      </c>
      <c r="O161" s="1">
        <v>41549</v>
      </c>
      <c r="P161" s="3">
        <v>20.18</v>
      </c>
      <c r="Q161" s="3">
        <v>35.409999999999997</v>
      </c>
      <c r="R161" s="3">
        <f t="shared" si="13"/>
        <v>15.229999999999997</v>
      </c>
      <c r="S161" s="2">
        <v>16</v>
      </c>
      <c r="T161" s="3">
        <f t="shared" si="14"/>
        <v>566.55999999999995</v>
      </c>
      <c r="U161" s="4">
        <v>0</v>
      </c>
      <c r="V161" s="6">
        <f t="shared" si="15"/>
        <v>0</v>
      </c>
      <c r="W161" s="6">
        <f t="shared" si="16"/>
        <v>566.55999999999995</v>
      </c>
      <c r="X161" s="3">
        <v>1.99</v>
      </c>
      <c r="Y161" s="5">
        <f t="shared" si="17"/>
        <v>568.54999999999995</v>
      </c>
    </row>
    <row r="162" spans="1:25" x14ac:dyDescent="0.2">
      <c r="A162" t="s">
        <v>1093</v>
      </c>
      <c r="B162" s="1">
        <v>41550</v>
      </c>
      <c r="C162" s="2" t="str">
        <f t="shared" si="12"/>
        <v>2013</v>
      </c>
      <c r="D162" s="2" t="s">
        <v>395</v>
      </c>
      <c r="E162" s="2" t="s">
        <v>1893</v>
      </c>
      <c r="F162" s="2" t="s">
        <v>1881</v>
      </c>
      <c r="G162" s="2" t="s">
        <v>1882</v>
      </c>
      <c r="H162" s="2" t="s">
        <v>29</v>
      </c>
      <c r="I162" s="2" t="s">
        <v>153</v>
      </c>
      <c r="J162" s="2" t="s">
        <v>44</v>
      </c>
      <c r="K162" s="2" t="s">
        <v>365</v>
      </c>
      <c r="L162" s="2" t="s">
        <v>32</v>
      </c>
      <c r="M162" s="2" t="s">
        <v>33</v>
      </c>
      <c r="N162" s="2" t="s">
        <v>89</v>
      </c>
      <c r="O162" s="1">
        <v>41551</v>
      </c>
      <c r="P162" s="3">
        <v>21.56</v>
      </c>
      <c r="Q162" s="3">
        <v>36.549999999999997</v>
      </c>
      <c r="R162" s="3">
        <f t="shared" si="13"/>
        <v>14.989999999999998</v>
      </c>
      <c r="S162" s="2">
        <v>46</v>
      </c>
      <c r="T162" s="3">
        <f t="shared" si="14"/>
        <v>1681.3</v>
      </c>
      <c r="U162" s="4">
        <v>0.05</v>
      </c>
      <c r="V162" s="6">
        <f t="shared" si="15"/>
        <v>84.064999999999998</v>
      </c>
      <c r="W162" s="6">
        <f t="shared" si="16"/>
        <v>1597.2349999999999</v>
      </c>
      <c r="X162" s="3">
        <v>13.89</v>
      </c>
      <c r="Y162" s="5">
        <f t="shared" si="17"/>
        <v>1611.125</v>
      </c>
    </row>
    <row r="163" spans="1:25" x14ac:dyDescent="0.2">
      <c r="A163" t="s">
        <v>1094</v>
      </c>
      <c r="B163" s="1">
        <v>41551</v>
      </c>
      <c r="C163" s="2" t="str">
        <f t="shared" si="12"/>
        <v>2013</v>
      </c>
      <c r="D163" s="2" t="s">
        <v>759</v>
      </c>
      <c r="E163" s="2" t="s">
        <v>470</v>
      </c>
      <c r="F163" s="2" t="s">
        <v>36</v>
      </c>
      <c r="G163" s="2" t="s">
        <v>37</v>
      </c>
      <c r="H163" s="2" t="s">
        <v>50</v>
      </c>
      <c r="I163" s="2" t="s">
        <v>83</v>
      </c>
      <c r="J163" s="2" t="s">
        <v>44</v>
      </c>
      <c r="K163" s="2" t="s">
        <v>347</v>
      </c>
      <c r="L163" s="2" t="s">
        <v>32</v>
      </c>
      <c r="M163" s="2" t="s">
        <v>26</v>
      </c>
      <c r="N163" s="2" t="s">
        <v>27</v>
      </c>
      <c r="O163" s="1">
        <v>41552</v>
      </c>
      <c r="P163" s="3">
        <v>178.83</v>
      </c>
      <c r="Q163" s="3">
        <v>415.88</v>
      </c>
      <c r="R163" s="3">
        <f t="shared" si="13"/>
        <v>237.04999999999998</v>
      </c>
      <c r="S163" s="2">
        <v>2</v>
      </c>
      <c r="T163" s="3">
        <f t="shared" si="14"/>
        <v>831.76</v>
      </c>
      <c r="U163" s="4">
        <v>0.08</v>
      </c>
      <c r="V163" s="6">
        <f t="shared" si="15"/>
        <v>66.540800000000004</v>
      </c>
      <c r="W163" s="6">
        <f t="shared" si="16"/>
        <v>765.2192</v>
      </c>
      <c r="X163" s="3">
        <v>11.37</v>
      </c>
      <c r="Y163" s="5">
        <f t="shared" si="17"/>
        <v>776.58920000000001</v>
      </c>
    </row>
    <row r="164" spans="1:25" x14ac:dyDescent="0.2">
      <c r="A164" t="s">
        <v>1095</v>
      </c>
      <c r="B164" s="1">
        <v>41552</v>
      </c>
      <c r="C164" s="2" t="str">
        <f t="shared" si="12"/>
        <v>2013</v>
      </c>
      <c r="D164" s="2" t="s">
        <v>807</v>
      </c>
      <c r="E164" s="2" t="s">
        <v>65</v>
      </c>
      <c r="F164" s="2" t="s">
        <v>36</v>
      </c>
      <c r="G164" s="2" t="s">
        <v>37</v>
      </c>
      <c r="H164" s="2" t="s">
        <v>29</v>
      </c>
      <c r="I164" s="2" t="s">
        <v>43</v>
      </c>
      <c r="J164" s="2" t="s">
        <v>23</v>
      </c>
      <c r="K164" s="2" t="s">
        <v>456</v>
      </c>
      <c r="L164" s="2" t="s">
        <v>25</v>
      </c>
      <c r="M164" s="2" t="s">
        <v>26</v>
      </c>
      <c r="N164" s="2" t="s">
        <v>27</v>
      </c>
      <c r="O164" s="1">
        <v>41559</v>
      </c>
      <c r="P164" s="3">
        <v>41.28</v>
      </c>
      <c r="Q164" s="3">
        <v>95.99</v>
      </c>
      <c r="R164" s="3">
        <f t="shared" si="13"/>
        <v>54.709999999999994</v>
      </c>
      <c r="S164" s="2">
        <v>17</v>
      </c>
      <c r="T164" s="3">
        <f t="shared" si="14"/>
        <v>1631.83</v>
      </c>
      <c r="U164" s="4">
        <v>0.09</v>
      </c>
      <c r="V164" s="6">
        <f t="shared" si="15"/>
        <v>146.8647</v>
      </c>
      <c r="W164" s="6">
        <f t="shared" si="16"/>
        <v>1484.9652999999998</v>
      </c>
      <c r="X164" s="3">
        <v>8.99</v>
      </c>
      <c r="Y164" s="5">
        <f t="shared" si="17"/>
        <v>1493.9552999999999</v>
      </c>
    </row>
    <row r="165" spans="1:25" x14ac:dyDescent="0.2">
      <c r="A165" t="s">
        <v>1096</v>
      </c>
      <c r="B165" s="1">
        <v>41552</v>
      </c>
      <c r="C165" s="2" t="str">
        <f t="shared" si="12"/>
        <v>2013</v>
      </c>
      <c r="D165" s="2" t="s">
        <v>372</v>
      </c>
      <c r="E165" s="2" t="s">
        <v>373</v>
      </c>
      <c r="F165" s="2" t="s">
        <v>36</v>
      </c>
      <c r="G165" s="2" t="s">
        <v>37</v>
      </c>
      <c r="H165" s="2" t="s">
        <v>50</v>
      </c>
      <c r="I165" s="2" t="s">
        <v>51</v>
      </c>
      <c r="J165" s="2" t="s">
        <v>30</v>
      </c>
      <c r="K165" s="2" t="s">
        <v>403</v>
      </c>
      <c r="L165" s="2" t="s">
        <v>32</v>
      </c>
      <c r="M165" s="2" t="s">
        <v>26</v>
      </c>
      <c r="N165" s="2" t="s">
        <v>27</v>
      </c>
      <c r="O165" s="1">
        <v>41554</v>
      </c>
      <c r="P165" s="3">
        <v>1.33</v>
      </c>
      <c r="Q165" s="3">
        <v>2.08</v>
      </c>
      <c r="R165" s="3">
        <f t="shared" si="13"/>
        <v>0.75</v>
      </c>
      <c r="S165" s="2">
        <v>16</v>
      </c>
      <c r="T165" s="3">
        <f t="shared" si="14"/>
        <v>33.28</v>
      </c>
      <c r="U165" s="4">
        <v>0.04</v>
      </c>
      <c r="V165" s="6">
        <f t="shared" si="15"/>
        <v>1.3312000000000002</v>
      </c>
      <c r="W165" s="6">
        <f t="shared" si="16"/>
        <v>31.948800000000002</v>
      </c>
      <c r="X165" s="3">
        <v>1.49</v>
      </c>
      <c r="Y165" s="5">
        <f t="shared" si="17"/>
        <v>33.438800000000001</v>
      </c>
    </row>
    <row r="166" spans="1:25" x14ac:dyDescent="0.2">
      <c r="A166" t="s">
        <v>1097</v>
      </c>
      <c r="B166" s="1">
        <v>41553</v>
      </c>
      <c r="C166" s="2" t="str">
        <f t="shared" si="12"/>
        <v>2013</v>
      </c>
      <c r="D166" s="2" t="s">
        <v>471</v>
      </c>
      <c r="E166" s="2" t="s">
        <v>357</v>
      </c>
      <c r="F166" s="2" t="s">
        <v>36</v>
      </c>
      <c r="G166" s="2" t="s">
        <v>37</v>
      </c>
      <c r="H166" s="2" t="s">
        <v>50</v>
      </c>
      <c r="I166" s="2" t="s">
        <v>96</v>
      </c>
      <c r="J166" s="2" t="s">
        <v>30</v>
      </c>
      <c r="K166" s="2" t="s">
        <v>84</v>
      </c>
      <c r="L166" s="2" t="s">
        <v>25</v>
      </c>
      <c r="M166" s="2" t="s">
        <v>85</v>
      </c>
      <c r="N166" s="2" t="s">
        <v>27</v>
      </c>
      <c r="O166" s="1">
        <v>41554</v>
      </c>
      <c r="P166" s="3">
        <v>8.82</v>
      </c>
      <c r="Q166" s="3">
        <v>20.99</v>
      </c>
      <c r="R166" s="3">
        <f t="shared" si="13"/>
        <v>12.169999999999998</v>
      </c>
      <c r="S166" s="2">
        <v>25</v>
      </c>
      <c r="T166" s="3">
        <f t="shared" si="14"/>
        <v>524.75</v>
      </c>
      <c r="U166" s="4">
        <v>0.05</v>
      </c>
      <c r="V166" s="6">
        <f t="shared" si="15"/>
        <v>26.237500000000001</v>
      </c>
      <c r="W166" s="6">
        <f t="shared" si="16"/>
        <v>498.51249999999999</v>
      </c>
      <c r="X166" s="3">
        <v>4.8099999999999996</v>
      </c>
      <c r="Y166" s="5">
        <f t="shared" si="17"/>
        <v>503.32249999999999</v>
      </c>
    </row>
    <row r="167" spans="1:25" x14ac:dyDescent="0.2">
      <c r="A167" t="s">
        <v>1098</v>
      </c>
      <c r="B167" s="1">
        <v>41556</v>
      </c>
      <c r="C167" s="2" t="str">
        <f t="shared" si="12"/>
        <v>2013</v>
      </c>
      <c r="D167" s="2" t="s">
        <v>744</v>
      </c>
      <c r="E167" s="2" t="s">
        <v>123</v>
      </c>
      <c r="F167" s="2" t="s">
        <v>36</v>
      </c>
      <c r="G167" s="2" t="s">
        <v>37</v>
      </c>
      <c r="H167" s="2" t="s">
        <v>50</v>
      </c>
      <c r="I167" s="2" t="s">
        <v>124</v>
      </c>
      <c r="J167" s="2" t="s">
        <v>30</v>
      </c>
      <c r="K167" s="2" t="s">
        <v>125</v>
      </c>
      <c r="L167" s="2" t="s">
        <v>32</v>
      </c>
      <c r="M167" s="2" t="s">
        <v>33</v>
      </c>
      <c r="N167" s="2" t="s">
        <v>27</v>
      </c>
      <c r="O167" s="1">
        <v>41558</v>
      </c>
      <c r="P167" s="3">
        <v>1.53</v>
      </c>
      <c r="Q167" s="3">
        <v>2.78</v>
      </c>
      <c r="R167" s="3">
        <f t="shared" si="13"/>
        <v>1.2499999999999998</v>
      </c>
      <c r="S167" s="2">
        <v>6</v>
      </c>
      <c r="T167" s="3">
        <f t="shared" si="14"/>
        <v>16.68</v>
      </c>
      <c r="U167" s="4">
        <v>0.01</v>
      </c>
      <c r="V167" s="6">
        <f t="shared" si="15"/>
        <v>0.1668</v>
      </c>
      <c r="W167" s="6">
        <f t="shared" si="16"/>
        <v>16.513200000000001</v>
      </c>
      <c r="X167" s="3">
        <v>1.34</v>
      </c>
      <c r="Y167" s="5">
        <f t="shared" si="17"/>
        <v>17.853200000000001</v>
      </c>
    </row>
    <row r="168" spans="1:25" x14ac:dyDescent="0.2">
      <c r="A168" t="s">
        <v>868</v>
      </c>
      <c r="B168" s="1">
        <v>41558</v>
      </c>
      <c r="C168" s="2" t="str">
        <f t="shared" si="12"/>
        <v>2013</v>
      </c>
      <c r="D168" s="2" t="s">
        <v>221</v>
      </c>
      <c r="E168" s="2" t="s">
        <v>222</v>
      </c>
      <c r="F168" s="2" t="s">
        <v>19</v>
      </c>
      <c r="G168" s="2" t="s">
        <v>20</v>
      </c>
      <c r="H168" s="2" t="s">
        <v>29</v>
      </c>
      <c r="I168" s="2" t="s">
        <v>92</v>
      </c>
      <c r="J168" s="2" t="s">
        <v>52</v>
      </c>
      <c r="K168" s="2" t="s">
        <v>134</v>
      </c>
      <c r="L168" s="2" t="s">
        <v>32</v>
      </c>
      <c r="M168" s="2" t="s">
        <v>26</v>
      </c>
      <c r="N168" s="2" t="s">
        <v>27</v>
      </c>
      <c r="O168" s="1">
        <v>41560</v>
      </c>
      <c r="P168" s="3">
        <v>2.4500000000000002</v>
      </c>
      <c r="Q168" s="3">
        <v>3.89</v>
      </c>
      <c r="R168" s="3">
        <f t="shared" si="13"/>
        <v>1.44</v>
      </c>
      <c r="S168" s="2">
        <v>2</v>
      </c>
      <c r="T168" s="3">
        <f t="shared" si="14"/>
        <v>7.78</v>
      </c>
      <c r="U168" s="4">
        <v>7.0000000000000007E-2</v>
      </c>
      <c r="V168" s="6">
        <f t="shared" si="15"/>
        <v>0.54460000000000008</v>
      </c>
      <c r="W168" s="6">
        <f t="shared" si="16"/>
        <v>7.2354000000000003</v>
      </c>
      <c r="X168" s="3">
        <v>7.01</v>
      </c>
      <c r="Y168" s="5">
        <f t="shared" si="17"/>
        <v>14.2454</v>
      </c>
    </row>
    <row r="169" spans="1:25" x14ac:dyDescent="0.2">
      <c r="A169" t="s">
        <v>869</v>
      </c>
      <c r="B169" s="1">
        <v>41558</v>
      </c>
      <c r="C169" s="2" t="str">
        <f t="shared" si="12"/>
        <v>2013</v>
      </c>
      <c r="D169" s="2" t="s">
        <v>221</v>
      </c>
      <c r="E169" s="2" t="s">
        <v>222</v>
      </c>
      <c r="F169" s="2" t="s">
        <v>19</v>
      </c>
      <c r="G169" s="2" t="s">
        <v>20</v>
      </c>
      <c r="H169" s="2" t="s">
        <v>29</v>
      </c>
      <c r="I169" s="2" t="s">
        <v>92</v>
      </c>
      <c r="J169" s="2" t="s">
        <v>52</v>
      </c>
      <c r="K169" s="2" t="s">
        <v>301</v>
      </c>
      <c r="L169" s="2" t="s">
        <v>32</v>
      </c>
      <c r="M169" s="2" t="s">
        <v>26</v>
      </c>
      <c r="N169" s="2" t="s">
        <v>27</v>
      </c>
      <c r="O169" s="1">
        <v>41559</v>
      </c>
      <c r="P169" s="3">
        <v>67.73</v>
      </c>
      <c r="Q169" s="3">
        <v>165.2</v>
      </c>
      <c r="R169" s="3">
        <f t="shared" si="13"/>
        <v>97.469999999999985</v>
      </c>
      <c r="S169" s="2">
        <v>6</v>
      </c>
      <c r="T169" s="3">
        <f t="shared" si="14"/>
        <v>991.19999999999993</v>
      </c>
      <c r="U169" s="4">
        <v>0.09</v>
      </c>
      <c r="V169" s="6">
        <f t="shared" si="15"/>
        <v>89.207999999999984</v>
      </c>
      <c r="W169" s="6">
        <f t="shared" si="16"/>
        <v>901.99199999999996</v>
      </c>
      <c r="X169" s="3">
        <v>19.989999999999998</v>
      </c>
      <c r="Y169" s="5">
        <f t="shared" si="17"/>
        <v>921.98199999999997</v>
      </c>
    </row>
    <row r="170" spans="1:25" x14ac:dyDescent="0.2">
      <c r="A170" t="s">
        <v>1099</v>
      </c>
      <c r="B170" s="1">
        <v>41558</v>
      </c>
      <c r="C170" s="2" t="str">
        <f t="shared" si="12"/>
        <v>2013</v>
      </c>
      <c r="D170" s="2" t="s">
        <v>774</v>
      </c>
      <c r="E170" s="2" t="s">
        <v>1912</v>
      </c>
      <c r="F170" s="2" t="s">
        <v>36</v>
      </c>
      <c r="G170" s="2" t="s">
        <v>37</v>
      </c>
      <c r="H170" s="2" t="s">
        <v>42</v>
      </c>
      <c r="I170" s="2" t="s">
        <v>102</v>
      </c>
      <c r="J170" s="2" t="s">
        <v>66</v>
      </c>
      <c r="K170" s="2" t="s">
        <v>355</v>
      </c>
      <c r="L170" s="2" t="s">
        <v>32</v>
      </c>
      <c r="M170" s="2" t="s">
        <v>33</v>
      </c>
      <c r="N170" s="2" t="s">
        <v>27</v>
      </c>
      <c r="O170" s="1">
        <v>41559</v>
      </c>
      <c r="P170" s="3">
        <v>1.0900000000000001</v>
      </c>
      <c r="Q170" s="3">
        <v>1.68</v>
      </c>
      <c r="R170" s="3">
        <f t="shared" si="13"/>
        <v>0.58999999999999986</v>
      </c>
      <c r="S170" s="2">
        <v>38</v>
      </c>
      <c r="T170" s="3">
        <f t="shared" si="14"/>
        <v>63.839999999999996</v>
      </c>
      <c r="U170" s="4">
        <v>7.0000000000000007E-2</v>
      </c>
      <c r="V170" s="6">
        <f t="shared" si="15"/>
        <v>4.4687999999999999</v>
      </c>
      <c r="W170" s="6">
        <f t="shared" si="16"/>
        <v>59.371199999999995</v>
      </c>
      <c r="X170" s="3">
        <v>1</v>
      </c>
      <c r="Y170" s="5">
        <f t="shared" si="17"/>
        <v>60.371199999999995</v>
      </c>
    </row>
    <row r="171" spans="1:25" x14ac:dyDescent="0.2">
      <c r="A171" t="s">
        <v>870</v>
      </c>
      <c r="B171" s="1">
        <v>41560</v>
      </c>
      <c r="C171" s="2" t="str">
        <f t="shared" si="12"/>
        <v>2013</v>
      </c>
      <c r="D171" s="2" t="s">
        <v>279</v>
      </c>
      <c r="E171" s="2" t="s">
        <v>1892</v>
      </c>
      <c r="F171" s="2" t="s">
        <v>1881</v>
      </c>
      <c r="G171" s="2" t="s">
        <v>1882</v>
      </c>
      <c r="H171" s="2" t="s">
        <v>50</v>
      </c>
      <c r="I171" s="2" t="s">
        <v>51</v>
      </c>
      <c r="J171" s="2" t="s">
        <v>66</v>
      </c>
      <c r="K171" s="2" t="s">
        <v>183</v>
      </c>
      <c r="L171" s="2" t="s">
        <v>25</v>
      </c>
      <c r="M171" s="2" t="s">
        <v>26</v>
      </c>
      <c r="N171" s="2" t="s">
        <v>27</v>
      </c>
      <c r="O171" s="1">
        <v>41561</v>
      </c>
      <c r="P171" s="3">
        <v>62.4</v>
      </c>
      <c r="Q171" s="3">
        <v>155.99</v>
      </c>
      <c r="R171" s="3">
        <f t="shared" si="13"/>
        <v>93.59</v>
      </c>
      <c r="S171" s="2">
        <v>48</v>
      </c>
      <c r="T171" s="3">
        <f t="shared" si="14"/>
        <v>7487.52</v>
      </c>
      <c r="U171" s="4">
        <v>0.04</v>
      </c>
      <c r="V171" s="6">
        <f t="shared" si="15"/>
        <v>299.50080000000003</v>
      </c>
      <c r="W171" s="6">
        <f t="shared" si="16"/>
        <v>7188.0192000000006</v>
      </c>
      <c r="X171" s="3">
        <v>8.08</v>
      </c>
      <c r="Y171" s="5">
        <f t="shared" si="17"/>
        <v>7196.0992000000006</v>
      </c>
    </row>
    <row r="172" spans="1:25" x14ac:dyDescent="0.2">
      <c r="A172" t="s">
        <v>871</v>
      </c>
      <c r="B172" s="1">
        <v>41560</v>
      </c>
      <c r="C172" s="2" t="str">
        <f t="shared" si="12"/>
        <v>2013</v>
      </c>
      <c r="D172" s="2" t="s">
        <v>279</v>
      </c>
      <c r="E172" s="2" t="s">
        <v>1892</v>
      </c>
      <c r="F172" s="2" t="s">
        <v>1881</v>
      </c>
      <c r="G172" s="2" t="s">
        <v>1882</v>
      </c>
      <c r="H172" s="2" t="s">
        <v>50</v>
      </c>
      <c r="I172" s="2" t="s">
        <v>51</v>
      </c>
      <c r="J172" s="2" t="s">
        <v>66</v>
      </c>
      <c r="K172" s="2" t="s">
        <v>189</v>
      </c>
      <c r="L172" s="2" t="s">
        <v>32</v>
      </c>
      <c r="M172" s="2" t="s">
        <v>26</v>
      </c>
      <c r="N172" s="2" t="s">
        <v>27</v>
      </c>
      <c r="O172" s="1">
        <v>41560</v>
      </c>
      <c r="P172" s="3">
        <v>3.4</v>
      </c>
      <c r="Q172" s="3">
        <v>5.4</v>
      </c>
      <c r="R172" s="3">
        <f t="shared" si="13"/>
        <v>2.0000000000000004</v>
      </c>
      <c r="S172" s="2">
        <v>8</v>
      </c>
      <c r="T172" s="3">
        <f t="shared" si="14"/>
        <v>43.2</v>
      </c>
      <c r="U172" s="4">
        <v>0.08</v>
      </c>
      <c r="V172" s="6">
        <f t="shared" si="15"/>
        <v>3.4560000000000004</v>
      </c>
      <c r="W172" s="6">
        <f t="shared" si="16"/>
        <v>39.744</v>
      </c>
      <c r="X172" s="3">
        <v>7.78</v>
      </c>
      <c r="Y172" s="5">
        <f t="shared" si="17"/>
        <v>47.524000000000001</v>
      </c>
    </row>
    <row r="173" spans="1:25" x14ac:dyDescent="0.2">
      <c r="A173" t="s">
        <v>1100</v>
      </c>
      <c r="B173" s="1">
        <v>41567</v>
      </c>
      <c r="C173" s="2" t="str">
        <f t="shared" si="12"/>
        <v>2013</v>
      </c>
      <c r="D173" s="2" t="s">
        <v>506</v>
      </c>
      <c r="E173" s="2" t="s">
        <v>166</v>
      </c>
      <c r="F173" s="2" t="s">
        <v>19</v>
      </c>
      <c r="G173" s="2" t="s">
        <v>20</v>
      </c>
      <c r="H173" s="2" t="s">
        <v>50</v>
      </c>
      <c r="I173" s="2" t="s">
        <v>92</v>
      </c>
      <c r="J173" s="2" t="s">
        <v>66</v>
      </c>
      <c r="K173" s="2" t="s">
        <v>163</v>
      </c>
      <c r="L173" s="2" t="s">
        <v>32</v>
      </c>
      <c r="M173" s="2" t="s">
        <v>33</v>
      </c>
      <c r="N173" s="2" t="s">
        <v>27</v>
      </c>
      <c r="O173" s="1">
        <v>41569</v>
      </c>
      <c r="P173" s="3">
        <v>1.0900000000000001</v>
      </c>
      <c r="Q173" s="3">
        <v>2.6</v>
      </c>
      <c r="R173" s="3">
        <f t="shared" si="13"/>
        <v>1.51</v>
      </c>
      <c r="S173" s="2">
        <v>36</v>
      </c>
      <c r="T173" s="3">
        <f t="shared" si="14"/>
        <v>93.600000000000009</v>
      </c>
      <c r="U173" s="4">
        <v>0</v>
      </c>
      <c r="V173" s="6">
        <f t="shared" si="15"/>
        <v>0</v>
      </c>
      <c r="W173" s="6">
        <f t="shared" si="16"/>
        <v>93.600000000000009</v>
      </c>
      <c r="X173" s="3">
        <v>2.4</v>
      </c>
      <c r="Y173" s="5">
        <f t="shared" si="17"/>
        <v>96.000000000000014</v>
      </c>
    </row>
    <row r="174" spans="1:25" x14ac:dyDescent="0.2">
      <c r="A174" t="s">
        <v>1101</v>
      </c>
      <c r="B174" s="1">
        <v>41567</v>
      </c>
      <c r="C174" s="2" t="str">
        <f t="shared" si="12"/>
        <v>2013</v>
      </c>
      <c r="D174" s="2" t="s">
        <v>407</v>
      </c>
      <c r="E174" s="2" t="s">
        <v>213</v>
      </c>
      <c r="F174" s="2" t="s">
        <v>36</v>
      </c>
      <c r="G174" s="2" t="s">
        <v>37</v>
      </c>
      <c r="H174" s="2" t="s">
        <v>50</v>
      </c>
      <c r="I174" s="2" t="s">
        <v>79</v>
      </c>
      <c r="J174" s="2" t="s">
        <v>66</v>
      </c>
      <c r="K174" s="2" t="s">
        <v>47</v>
      </c>
      <c r="L174" s="2" t="s">
        <v>32</v>
      </c>
      <c r="M174" s="2" t="s">
        <v>26</v>
      </c>
      <c r="N174" s="2" t="s">
        <v>89</v>
      </c>
      <c r="O174" s="1">
        <v>41567</v>
      </c>
      <c r="P174" s="3">
        <v>1.59</v>
      </c>
      <c r="Q174" s="3">
        <v>2.61</v>
      </c>
      <c r="R174" s="3">
        <f t="shared" si="13"/>
        <v>1.0199999999999998</v>
      </c>
      <c r="S174" s="2">
        <v>1</v>
      </c>
      <c r="T174" s="3">
        <f t="shared" si="14"/>
        <v>2.61</v>
      </c>
      <c r="U174" s="4">
        <v>0.06</v>
      </c>
      <c r="V174" s="6">
        <f t="shared" si="15"/>
        <v>0.15659999999999999</v>
      </c>
      <c r="W174" s="6">
        <f t="shared" si="16"/>
        <v>2.4533999999999998</v>
      </c>
      <c r="X174" s="3">
        <v>0.5</v>
      </c>
      <c r="Y174" s="5">
        <f t="shared" si="17"/>
        <v>2.9533999999999998</v>
      </c>
    </row>
    <row r="175" spans="1:25" x14ac:dyDescent="0.2">
      <c r="A175" t="s">
        <v>1102</v>
      </c>
      <c r="B175" s="1">
        <v>41567</v>
      </c>
      <c r="C175" s="2" t="str">
        <f t="shared" si="12"/>
        <v>2013</v>
      </c>
      <c r="D175" s="2" t="s">
        <v>482</v>
      </c>
      <c r="E175" s="2" t="s">
        <v>185</v>
      </c>
      <c r="F175" s="2" t="s">
        <v>36</v>
      </c>
      <c r="G175" s="2" t="s">
        <v>37</v>
      </c>
      <c r="H175" s="2" t="s">
        <v>50</v>
      </c>
      <c r="I175" s="2" t="s">
        <v>153</v>
      </c>
      <c r="J175" s="2" t="s">
        <v>30</v>
      </c>
      <c r="K175" s="2" t="s">
        <v>241</v>
      </c>
      <c r="L175" s="2" t="s">
        <v>32</v>
      </c>
      <c r="M175" s="2" t="s">
        <v>26</v>
      </c>
      <c r="N175" s="2" t="s">
        <v>27</v>
      </c>
      <c r="O175" s="1">
        <v>41568</v>
      </c>
      <c r="P175" s="3">
        <v>3.65</v>
      </c>
      <c r="Q175" s="3">
        <v>5.98</v>
      </c>
      <c r="R175" s="3">
        <f t="shared" si="13"/>
        <v>2.3300000000000005</v>
      </c>
      <c r="S175" s="2">
        <v>21</v>
      </c>
      <c r="T175" s="3">
        <f t="shared" si="14"/>
        <v>125.58000000000001</v>
      </c>
      <c r="U175" s="4">
        <v>0.02</v>
      </c>
      <c r="V175" s="6">
        <f t="shared" si="15"/>
        <v>2.5116000000000005</v>
      </c>
      <c r="W175" s="6">
        <f t="shared" si="16"/>
        <v>123.06840000000001</v>
      </c>
      <c r="X175" s="3">
        <v>1.49</v>
      </c>
      <c r="Y175" s="5">
        <f t="shared" si="17"/>
        <v>124.55840000000001</v>
      </c>
    </row>
    <row r="176" spans="1:25" x14ac:dyDescent="0.2">
      <c r="A176" t="s">
        <v>1103</v>
      </c>
      <c r="B176" s="1">
        <v>41568</v>
      </c>
      <c r="C176" s="2" t="str">
        <f t="shared" si="12"/>
        <v>2013</v>
      </c>
      <c r="D176" s="2" t="s">
        <v>422</v>
      </c>
      <c r="E176" s="2" t="s">
        <v>185</v>
      </c>
      <c r="F176" s="2" t="s">
        <v>36</v>
      </c>
      <c r="G176" s="2" t="s">
        <v>37</v>
      </c>
      <c r="H176" s="2" t="s">
        <v>29</v>
      </c>
      <c r="I176" s="2" t="s">
        <v>153</v>
      </c>
      <c r="J176" s="2" t="s">
        <v>52</v>
      </c>
      <c r="K176" s="2" t="s">
        <v>241</v>
      </c>
      <c r="L176" s="2" t="s">
        <v>32</v>
      </c>
      <c r="M176" s="2" t="s">
        <v>26</v>
      </c>
      <c r="N176" s="2" t="s">
        <v>27</v>
      </c>
      <c r="O176" s="1">
        <v>41570</v>
      </c>
      <c r="P176" s="3">
        <v>3.65</v>
      </c>
      <c r="Q176" s="3">
        <v>5.98</v>
      </c>
      <c r="R176" s="3">
        <f t="shared" si="13"/>
        <v>2.3300000000000005</v>
      </c>
      <c r="S176" s="2">
        <v>40</v>
      </c>
      <c r="T176" s="3">
        <f t="shared" si="14"/>
        <v>239.20000000000002</v>
      </c>
      <c r="U176" s="4">
        <v>0</v>
      </c>
      <c r="V176" s="6">
        <f t="shared" si="15"/>
        <v>0</v>
      </c>
      <c r="W176" s="6">
        <f t="shared" si="16"/>
        <v>239.20000000000002</v>
      </c>
      <c r="X176" s="3">
        <v>1.49</v>
      </c>
      <c r="Y176" s="5">
        <f t="shared" si="17"/>
        <v>240.69000000000003</v>
      </c>
    </row>
    <row r="177" spans="1:25" x14ac:dyDescent="0.2">
      <c r="A177" t="s">
        <v>1104</v>
      </c>
      <c r="B177" s="1">
        <v>41568</v>
      </c>
      <c r="C177" s="2" t="str">
        <f t="shared" si="12"/>
        <v>2013</v>
      </c>
      <c r="D177" s="2" t="s">
        <v>774</v>
      </c>
      <c r="E177" s="2" t="s">
        <v>1911</v>
      </c>
      <c r="F177" s="2" t="s">
        <v>36</v>
      </c>
      <c r="G177" s="2" t="s">
        <v>37</v>
      </c>
      <c r="H177" s="2" t="s">
        <v>42</v>
      </c>
      <c r="I177" s="2" t="s">
        <v>102</v>
      </c>
      <c r="J177" s="2" t="s">
        <v>52</v>
      </c>
      <c r="K177" s="2" t="s">
        <v>120</v>
      </c>
      <c r="L177" s="2" t="s">
        <v>32</v>
      </c>
      <c r="M177" s="2" t="s">
        <v>26</v>
      </c>
      <c r="N177" s="2" t="s">
        <v>27</v>
      </c>
      <c r="O177" s="1">
        <v>41570</v>
      </c>
      <c r="P177" s="3">
        <v>1.18</v>
      </c>
      <c r="Q177" s="3">
        <v>1.88</v>
      </c>
      <c r="R177" s="3">
        <f t="shared" si="13"/>
        <v>0.7</v>
      </c>
      <c r="S177" s="2">
        <v>33</v>
      </c>
      <c r="T177" s="3">
        <f t="shared" si="14"/>
        <v>62.04</v>
      </c>
      <c r="U177" s="4">
        <v>7.0000000000000007E-2</v>
      </c>
      <c r="V177" s="6">
        <f t="shared" si="15"/>
        <v>4.3428000000000004</v>
      </c>
      <c r="W177" s="6">
        <f t="shared" si="16"/>
        <v>57.697199999999995</v>
      </c>
      <c r="X177" s="3">
        <v>1.49</v>
      </c>
      <c r="Y177" s="5">
        <f t="shared" si="17"/>
        <v>59.187199999999997</v>
      </c>
    </row>
    <row r="178" spans="1:25" x14ac:dyDescent="0.2">
      <c r="A178" t="s">
        <v>1105</v>
      </c>
      <c r="B178" s="1">
        <v>41571</v>
      </c>
      <c r="C178" s="2" t="str">
        <f t="shared" si="12"/>
        <v>2013</v>
      </c>
      <c r="D178" s="2" t="s">
        <v>806</v>
      </c>
      <c r="E178" s="2" t="s">
        <v>313</v>
      </c>
      <c r="F178" s="2" t="s">
        <v>36</v>
      </c>
      <c r="G178" s="2" t="s">
        <v>37</v>
      </c>
      <c r="H178" s="2" t="s">
        <v>42</v>
      </c>
      <c r="I178" s="2" t="s">
        <v>75</v>
      </c>
      <c r="J178" s="2" t="s">
        <v>44</v>
      </c>
      <c r="K178" s="2" t="s">
        <v>330</v>
      </c>
      <c r="L178" s="2" t="s">
        <v>32</v>
      </c>
      <c r="M178" s="2" t="s">
        <v>26</v>
      </c>
      <c r="N178" s="2" t="s">
        <v>27</v>
      </c>
      <c r="O178" s="1">
        <v>41574</v>
      </c>
      <c r="P178" s="3">
        <v>4.53</v>
      </c>
      <c r="Q178" s="3">
        <v>7.3</v>
      </c>
      <c r="R178" s="3">
        <f t="shared" si="13"/>
        <v>2.7699999999999996</v>
      </c>
      <c r="S178" s="2">
        <v>31</v>
      </c>
      <c r="T178" s="3">
        <f t="shared" si="14"/>
        <v>226.29999999999998</v>
      </c>
      <c r="U178" s="4">
        <v>0.03</v>
      </c>
      <c r="V178" s="6">
        <f t="shared" si="15"/>
        <v>6.7889999999999988</v>
      </c>
      <c r="W178" s="6">
        <f t="shared" si="16"/>
        <v>219.511</v>
      </c>
      <c r="X178" s="3">
        <v>7.72</v>
      </c>
      <c r="Y178" s="5">
        <f t="shared" si="17"/>
        <v>227.23099999999999</v>
      </c>
    </row>
    <row r="179" spans="1:25" x14ac:dyDescent="0.2">
      <c r="A179" t="s">
        <v>1106</v>
      </c>
      <c r="B179" s="1">
        <v>41572</v>
      </c>
      <c r="C179" s="2" t="str">
        <f t="shared" si="12"/>
        <v>2013</v>
      </c>
      <c r="D179" s="2" t="s">
        <v>212</v>
      </c>
      <c r="E179" s="2" t="s">
        <v>213</v>
      </c>
      <c r="F179" s="2" t="s">
        <v>36</v>
      </c>
      <c r="G179" s="2" t="s">
        <v>37</v>
      </c>
      <c r="H179" s="2" t="s">
        <v>42</v>
      </c>
      <c r="I179" s="2" t="s">
        <v>79</v>
      </c>
      <c r="J179" s="2" t="s">
        <v>44</v>
      </c>
      <c r="K179" s="2" t="s">
        <v>205</v>
      </c>
      <c r="L179" s="2" t="s">
        <v>32</v>
      </c>
      <c r="M179" s="2" t="s">
        <v>26</v>
      </c>
      <c r="N179" s="2" t="s">
        <v>27</v>
      </c>
      <c r="O179" s="1">
        <v>41574</v>
      </c>
      <c r="P179" s="3">
        <v>11.04</v>
      </c>
      <c r="Q179" s="3">
        <v>16.98</v>
      </c>
      <c r="R179" s="3">
        <f t="shared" si="13"/>
        <v>5.9400000000000013</v>
      </c>
      <c r="S179" s="2">
        <v>27</v>
      </c>
      <c r="T179" s="3">
        <f t="shared" si="14"/>
        <v>458.46000000000004</v>
      </c>
      <c r="U179" s="4">
        <v>0.1</v>
      </c>
      <c r="V179" s="6">
        <f t="shared" si="15"/>
        <v>45.846000000000004</v>
      </c>
      <c r="W179" s="6">
        <f t="shared" si="16"/>
        <v>412.61400000000003</v>
      </c>
      <c r="X179" s="3">
        <v>12.39</v>
      </c>
      <c r="Y179" s="5">
        <f t="shared" si="17"/>
        <v>425.00400000000002</v>
      </c>
    </row>
    <row r="180" spans="1:25" x14ac:dyDescent="0.2">
      <c r="A180" t="s">
        <v>1107</v>
      </c>
      <c r="B180" s="1">
        <v>41573</v>
      </c>
      <c r="C180" s="2" t="str">
        <f t="shared" si="12"/>
        <v>2013</v>
      </c>
      <c r="D180" s="2" t="s">
        <v>118</v>
      </c>
      <c r="E180" s="2" t="s">
        <v>119</v>
      </c>
      <c r="F180" s="2" t="s">
        <v>36</v>
      </c>
      <c r="G180" s="2" t="s">
        <v>37</v>
      </c>
      <c r="H180" s="2" t="s">
        <v>29</v>
      </c>
      <c r="I180" s="2" t="s">
        <v>75</v>
      </c>
      <c r="J180" s="2" t="s">
        <v>52</v>
      </c>
      <c r="K180" s="2" t="s">
        <v>189</v>
      </c>
      <c r="L180" s="2" t="s">
        <v>32</v>
      </c>
      <c r="M180" s="2" t="s">
        <v>26</v>
      </c>
      <c r="N180" s="2" t="s">
        <v>27</v>
      </c>
      <c r="O180" s="1">
        <v>41575</v>
      </c>
      <c r="P180" s="3">
        <v>3.4</v>
      </c>
      <c r="Q180" s="3">
        <v>5.4</v>
      </c>
      <c r="R180" s="3">
        <f t="shared" si="13"/>
        <v>2.0000000000000004</v>
      </c>
      <c r="S180" s="2">
        <v>47</v>
      </c>
      <c r="T180" s="3">
        <f t="shared" si="14"/>
        <v>253.8</v>
      </c>
      <c r="U180" s="4">
        <v>0.03</v>
      </c>
      <c r="V180" s="6">
        <f t="shared" si="15"/>
        <v>7.6139999999999999</v>
      </c>
      <c r="W180" s="6">
        <f t="shared" si="16"/>
        <v>246.18600000000001</v>
      </c>
      <c r="X180" s="3">
        <v>7.78</v>
      </c>
      <c r="Y180" s="5">
        <f t="shared" si="17"/>
        <v>253.96600000000001</v>
      </c>
    </row>
    <row r="181" spans="1:25" x14ac:dyDescent="0.2">
      <c r="A181" t="s">
        <v>1108</v>
      </c>
      <c r="B181" s="1">
        <v>41575</v>
      </c>
      <c r="C181" s="2" t="str">
        <f t="shared" si="12"/>
        <v>2013</v>
      </c>
      <c r="D181" s="2" t="s">
        <v>439</v>
      </c>
      <c r="E181" s="2" t="s">
        <v>91</v>
      </c>
      <c r="F181" s="2" t="s">
        <v>19</v>
      </c>
      <c r="G181" s="2" t="s">
        <v>20</v>
      </c>
      <c r="H181" s="2" t="s">
        <v>50</v>
      </c>
      <c r="I181" s="2" t="s">
        <v>22</v>
      </c>
      <c r="J181" s="2" t="s">
        <v>44</v>
      </c>
      <c r="K181" s="2" t="s">
        <v>447</v>
      </c>
      <c r="L181" s="2" t="s">
        <v>25</v>
      </c>
      <c r="M181" s="2" t="s">
        <v>58</v>
      </c>
      <c r="N181" s="2" t="s">
        <v>27</v>
      </c>
      <c r="O181" s="1">
        <v>41576</v>
      </c>
      <c r="P181" s="3">
        <v>1.87</v>
      </c>
      <c r="Q181" s="3">
        <v>8.1199999999999992</v>
      </c>
      <c r="R181" s="3">
        <f t="shared" si="13"/>
        <v>6.2499999999999991</v>
      </c>
      <c r="S181" s="2">
        <v>37</v>
      </c>
      <c r="T181" s="3">
        <f t="shared" si="14"/>
        <v>300.44</v>
      </c>
      <c r="U181" s="4">
        <v>0</v>
      </c>
      <c r="V181" s="6">
        <f t="shared" si="15"/>
        <v>0</v>
      </c>
      <c r="W181" s="6">
        <f t="shared" si="16"/>
        <v>300.44</v>
      </c>
      <c r="X181" s="3">
        <v>2.83</v>
      </c>
      <c r="Y181" s="5">
        <f t="shared" si="17"/>
        <v>303.27</v>
      </c>
    </row>
    <row r="182" spans="1:25" x14ac:dyDescent="0.2">
      <c r="A182" t="s">
        <v>1109</v>
      </c>
      <c r="B182" s="1">
        <v>41575</v>
      </c>
      <c r="C182" s="2" t="str">
        <f t="shared" si="12"/>
        <v>2013</v>
      </c>
      <c r="D182" s="2" t="s">
        <v>805</v>
      </c>
      <c r="E182" s="2" t="s">
        <v>540</v>
      </c>
      <c r="F182" s="2" t="s">
        <v>19</v>
      </c>
      <c r="G182" s="2" t="s">
        <v>20</v>
      </c>
      <c r="H182" s="2" t="s">
        <v>50</v>
      </c>
      <c r="I182" s="2" t="s">
        <v>22</v>
      </c>
      <c r="J182" s="2" t="s">
        <v>44</v>
      </c>
      <c r="K182" s="2" t="s">
        <v>234</v>
      </c>
      <c r="L182" s="2" t="s">
        <v>32</v>
      </c>
      <c r="M182" s="2" t="s">
        <v>58</v>
      </c>
      <c r="N182" s="2" t="s">
        <v>89</v>
      </c>
      <c r="O182" s="1">
        <v>41576</v>
      </c>
      <c r="P182" s="3">
        <v>16.8</v>
      </c>
      <c r="Q182" s="3">
        <v>40.97</v>
      </c>
      <c r="R182" s="3">
        <f t="shared" si="13"/>
        <v>24.169999999999998</v>
      </c>
      <c r="S182" s="2">
        <v>11</v>
      </c>
      <c r="T182" s="3">
        <f t="shared" si="14"/>
        <v>450.66999999999996</v>
      </c>
      <c r="U182" s="4">
        <v>0.03</v>
      </c>
      <c r="V182" s="6">
        <f t="shared" si="15"/>
        <v>13.520099999999998</v>
      </c>
      <c r="W182" s="6">
        <f t="shared" si="16"/>
        <v>437.14989999999995</v>
      </c>
      <c r="X182" s="3">
        <v>8.99</v>
      </c>
      <c r="Y182" s="5">
        <f t="shared" si="17"/>
        <v>446.13989999999995</v>
      </c>
    </row>
    <row r="183" spans="1:25" x14ac:dyDescent="0.2">
      <c r="A183" t="s">
        <v>1110</v>
      </c>
      <c r="B183" s="1">
        <v>41576</v>
      </c>
      <c r="C183" s="2" t="str">
        <f t="shared" si="12"/>
        <v>2013</v>
      </c>
      <c r="D183" s="2" t="s">
        <v>94</v>
      </c>
      <c r="E183" s="2" t="s">
        <v>95</v>
      </c>
      <c r="F183" s="2" t="s">
        <v>36</v>
      </c>
      <c r="G183" s="2" t="s">
        <v>37</v>
      </c>
      <c r="H183" s="2" t="s">
        <v>21</v>
      </c>
      <c r="I183" s="2" t="s">
        <v>96</v>
      </c>
      <c r="J183" s="2" t="s">
        <v>66</v>
      </c>
      <c r="K183" s="2" t="s">
        <v>180</v>
      </c>
      <c r="L183" s="2" t="s">
        <v>32</v>
      </c>
      <c r="M183" s="2" t="s">
        <v>26</v>
      </c>
      <c r="N183" s="2" t="s">
        <v>27</v>
      </c>
      <c r="O183" s="1">
        <v>41577</v>
      </c>
      <c r="P183" s="3">
        <v>1.94</v>
      </c>
      <c r="Q183" s="3">
        <v>3.08</v>
      </c>
      <c r="R183" s="3">
        <f t="shared" si="13"/>
        <v>1.1400000000000001</v>
      </c>
      <c r="S183" s="2">
        <v>41</v>
      </c>
      <c r="T183" s="3">
        <f t="shared" si="14"/>
        <v>126.28</v>
      </c>
      <c r="U183" s="4">
        <v>0.04</v>
      </c>
      <c r="V183" s="6">
        <f t="shared" si="15"/>
        <v>5.0512000000000006</v>
      </c>
      <c r="W183" s="6">
        <f t="shared" si="16"/>
        <v>121.22880000000001</v>
      </c>
      <c r="X183" s="3">
        <v>0.99</v>
      </c>
      <c r="Y183" s="5">
        <f t="shared" si="17"/>
        <v>122.2188</v>
      </c>
    </row>
    <row r="184" spans="1:25" x14ac:dyDescent="0.2">
      <c r="A184" t="s">
        <v>1111</v>
      </c>
      <c r="B184" s="1">
        <v>41579</v>
      </c>
      <c r="C184" s="2" t="str">
        <f t="shared" si="12"/>
        <v>2013</v>
      </c>
      <c r="D184" s="2" t="s">
        <v>312</v>
      </c>
      <c r="E184" s="2" t="s">
        <v>313</v>
      </c>
      <c r="F184" s="2" t="s">
        <v>36</v>
      </c>
      <c r="G184" s="2" t="s">
        <v>37</v>
      </c>
      <c r="H184" s="2" t="s">
        <v>29</v>
      </c>
      <c r="I184" s="2" t="s">
        <v>75</v>
      </c>
      <c r="J184" s="2" t="s">
        <v>66</v>
      </c>
      <c r="K184" s="2" t="s">
        <v>447</v>
      </c>
      <c r="L184" s="2" t="s">
        <v>25</v>
      </c>
      <c r="M184" s="2" t="s">
        <v>58</v>
      </c>
      <c r="N184" s="2" t="s">
        <v>27</v>
      </c>
      <c r="O184" s="1">
        <v>41580</v>
      </c>
      <c r="P184" s="3">
        <v>1.87</v>
      </c>
      <c r="Q184" s="3">
        <v>8.1199999999999992</v>
      </c>
      <c r="R184" s="3">
        <f t="shared" si="13"/>
        <v>6.2499999999999991</v>
      </c>
      <c r="S184" s="2">
        <v>16</v>
      </c>
      <c r="T184" s="3">
        <f t="shared" si="14"/>
        <v>129.91999999999999</v>
      </c>
      <c r="U184" s="4">
        <v>0.03</v>
      </c>
      <c r="V184" s="6">
        <f t="shared" si="15"/>
        <v>3.8975999999999993</v>
      </c>
      <c r="W184" s="6">
        <f t="shared" si="16"/>
        <v>126.02239999999999</v>
      </c>
      <c r="X184" s="3">
        <v>2.83</v>
      </c>
      <c r="Y184" s="5">
        <f t="shared" si="17"/>
        <v>128.85239999999999</v>
      </c>
    </row>
    <row r="185" spans="1:25" x14ac:dyDescent="0.2">
      <c r="A185" t="s">
        <v>1112</v>
      </c>
      <c r="B185" s="1">
        <v>41580</v>
      </c>
      <c r="C185" s="2" t="str">
        <f t="shared" si="12"/>
        <v>2013</v>
      </c>
      <c r="D185" s="2" t="s">
        <v>804</v>
      </c>
      <c r="E185" s="2" t="s">
        <v>540</v>
      </c>
      <c r="F185" s="2" t="s">
        <v>19</v>
      </c>
      <c r="G185" s="2" t="s">
        <v>20</v>
      </c>
      <c r="H185" s="2" t="s">
        <v>21</v>
      </c>
      <c r="I185" s="2" t="s">
        <v>92</v>
      </c>
      <c r="J185" s="2" t="s">
        <v>30</v>
      </c>
      <c r="K185" s="2" t="s">
        <v>330</v>
      </c>
      <c r="L185" s="2" t="s">
        <v>32</v>
      </c>
      <c r="M185" s="2" t="s">
        <v>26</v>
      </c>
      <c r="N185" s="2" t="s">
        <v>27</v>
      </c>
      <c r="O185" s="1">
        <v>41581</v>
      </c>
      <c r="P185" s="3">
        <v>4.53</v>
      </c>
      <c r="Q185" s="3">
        <v>7.3</v>
      </c>
      <c r="R185" s="3">
        <f t="shared" si="13"/>
        <v>2.7699999999999996</v>
      </c>
      <c r="S185" s="2">
        <v>45</v>
      </c>
      <c r="T185" s="3">
        <f t="shared" si="14"/>
        <v>328.5</v>
      </c>
      <c r="U185" s="4">
        <v>0.04</v>
      </c>
      <c r="V185" s="6">
        <f t="shared" si="15"/>
        <v>13.14</v>
      </c>
      <c r="W185" s="6">
        <f t="shared" si="16"/>
        <v>315.36</v>
      </c>
      <c r="X185" s="3">
        <v>7.72</v>
      </c>
      <c r="Y185" s="5">
        <f t="shared" si="17"/>
        <v>323.08000000000004</v>
      </c>
    </row>
    <row r="186" spans="1:25" x14ac:dyDescent="0.2">
      <c r="A186" t="s">
        <v>1113</v>
      </c>
      <c r="B186" s="1">
        <v>41581</v>
      </c>
      <c r="C186" s="2" t="str">
        <f t="shared" si="12"/>
        <v>2013</v>
      </c>
      <c r="D186" s="2" t="s">
        <v>746</v>
      </c>
      <c r="E186" s="2" t="s">
        <v>694</v>
      </c>
      <c r="F186" s="2" t="s">
        <v>36</v>
      </c>
      <c r="G186" s="2" t="s">
        <v>37</v>
      </c>
      <c r="H186" s="2" t="s">
        <v>50</v>
      </c>
      <c r="I186" s="2" t="s">
        <v>83</v>
      </c>
      <c r="J186" s="2" t="s">
        <v>66</v>
      </c>
      <c r="K186" s="2" t="s">
        <v>88</v>
      </c>
      <c r="L186" s="2" t="s">
        <v>32</v>
      </c>
      <c r="M186" s="2" t="s">
        <v>58</v>
      </c>
      <c r="N186" s="2" t="s">
        <v>27</v>
      </c>
      <c r="O186" s="1">
        <v>41581</v>
      </c>
      <c r="P186" s="3">
        <v>5.19</v>
      </c>
      <c r="Q186" s="3">
        <v>12.98</v>
      </c>
      <c r="R186" s="3">
        <f t="shared" si="13"/>
        <v>7.79</v>
      </c>
      <c r="S186" s="2">
        <v>40</v>
      </c>
      <c r="T186" s="3">
        <f t="shared" si="14"/>
        <v>519.20000000000005</v>
      </c>
      <c r="U186" s="4">
        <v>0.05</v>
      </c>
      <c r="V186" s="6">
        <f t="shared" si="15"/>
        <v>25.960000000000004</v>
      </c>
      <c r="W186" s="6">
        <f t="shared" si="16"/>
        <v>493.24000000000007</v>
      </c>
      <c r="X186" s="3">
        <v>3.14</v>
      </c>
      <c r="Y186" s="5">
        <f t="shared" si="17"/>
        <v>496.38000000000005</v>
      </c>
    </row>
    <row r="187" spans="1:25" x14ac:dyDescent="0.2">
      <c r="A187" t="s">
        <v>1114</v>
      </c>
      <c r="B187" s="1">
        <v>41583</v>
      </c>
      <c r="C187" s="2" t="str">
        <f t="shared" si="12"/>
        <v>2013</v>
      </c>
      <c r="D187" s="2" t="s">
        <v>718</v>
      </c>
      <c r="E187" s="2" t="s">
        <v>1900</v>
      </c>
      <c r="F187" s="2" t="s">
        <v>1881</v>
      </c>
      <c r="G187" s="2" t="s">
        <v>1882</v>
      </c>
      <c r="H187" s="2" t="s">
        <v>50</v>
      </c>
      <c r="I187" s="2" t="s">
        <v>43</v>
      </c>
      <c r="J187" s="2" t="s">
        <v>52</v>
      </c>
      <c r="K187" s="2" t="s">
        <v>337</v>
      </c>
      <c r="L187" s="2" t="s">
        <v>32</v>
      </c>
      <c r="M187" s="2" t="s">
        <v>26</v>
      </c>
      <c r="N187" s="2" t="s">
        <v>27</v>
      </c>
      <c r="O187" s="1">
        <v>41585</v>
      </c>
      <c r="P187" s="3">
        <v>2.29</v>
      </c>
      <c r="Q187" s="3">
        <v>3.69</v>
      </c>
      <c r="R187" s="3">
        <f t="shared" si="13"/>
        <v>1.4</v>
      </c>
      <c r="S187" s="2">
        <v>42</v>
      </c>
      <c r="T187" s="3">
        <f t="shared" si="14"/>
        <v>154.97999999999999</v>
      </c>
      <c r="U187" s="4">
        <v>0.04</v>
      </c>
      <c r="V187" s="6">
        <f t="shared" si="15"/>
        <v>6.1991999999999994</v>
      </c>
      <c r="W187" s="6">
        <f t="shared" si="16"/>
        <v>148.7808</v>
      </c>
      <c r="X187" s="3">
        <v>0.5</v>
      </c>
      <c r="Y187" s="5">
        <f t="shared" si="17"/>
        <v>149.2808</v>
      </c>
    </row>
    <row r="188" spans="1:25" x14ac:dyDescent="0.2">
      <c r="A188" t="s">
        <v>1115</v>
      </c>
      <c r="B188" s="1">
        <v>41583</v>
      </c>
      <c r="C188" s="2" t="str">
        <f t="shared" si="12"/>
        <v>2013</v>
      </c>
      <c r="D188" s="2" t="s">
        <v>228</v>
      </c>
      <c r="E188" s="2" t="s">
        <v>229</v>
      </c>
      <c r="F188" s="2" t="s">
        <v>36</v>
      </c>
      <c r="G188" s="2" t="s">
        <v>37</v>
      </c>
      <c r="H188" s="2" t="s">
        <v>50</v>
      </c>
      <c r="I188" s="2" t="s">
        <v>153</v>
      </c>
      <c r="J188" s="2" t="s">
        <v>66</v>
      </c>
      <c r="K188" s="2" t="s">
        <v>468</v>
      </c>
      <c r="L188" s="2" t="s">
        <v>32</v>
      </c>
      <c r="M188" s="2" t="s">
        <v>33</v>
      </c>
      <c r="N188" s="2" t="s">
        <v>27</v>
      </c>
      <c r="O188" s="1">
        <v>41584</v>
      </c>
      <c r="P188" s="3">
        <v>5.22</v>
      </c>
      <c r="Q188" s="3">
        <v>9.85</v>
      </c>
      <c r="R188" s="3">
        <f t="shared" si="13"/>
        <v>4.63</v>
      </c>
      <c r="S188" s="2">
        <v>27</v>
      </c>
      <c r="T188" s="3">
        <f t="shared" si="14"/>
        <v>265.95</v>
      </c>
      <c r="U188" s="4">
        <v>0.1</v>
      </c>
      <c r="V188" s="6">
        <f t="shared" si="15"/>
        <v>26.594999999999999</v>
      </c>
      <c r="W188" s="6">
        <f t="shared" si="16"/>
        <v>239.35499999999999</v>
      </c>
      <c r="X188" s="3">
        <v>4.82</v>
      </c>
      <c r="Y188" s="5">
        <f t="shared" si="17"/>
        <v>244.17499999999998</v>
      </c>
    </row>
    <row r="189" spans="1:25" x14ac:dyDescent="0.2">
      <c r="A189" t="s">
        <v>1116</v>
      </c>
      <c r="B189" s="1">
        <v>41585</v>
      </c>
      <c r="C189" s="2" t="str">
        <f t="shared" si="12"/>
        <v>2013</v>
      </c>
      <c r="D189" s="2" t="s">
        <v>780</v>
      </c>
      <c r="E189" s="2" t="s">
        <v>436</v>
      </c>
      <c r="F189" s="2" t="s">
        <v>36</v>
      </c>
      <c r="G189" s="2" t="s">
        <v>37</v>
      </c>
      <c r="H189" s="2" t="s">
        <v>42</v>
      </c>
      <c r="I189" s="2" t="s">
        <v>43</v>
      </c>
      <c r="J189" s="2" t="s">
        <v>30</v>
      </c>
      <c r="K189" s="2" t="s">
        <v>53</v>
      </c>
      <c r="L189" s="2" t="s">
        <v>32</v>
      </c>
      <c r="M189" s="2" t="s">
        <v>33</v>
      </c>
      <c r="N189" s="2" t="s">
        <v>89</v>
      </c>
      <c r="O189" s="1">
        <v>41586</v>
      </c>
      <c r="P189" s="3">
        <v>3.75</v>
      </c>
      <c r="Q189" s="3">
        <v>7.08</v>
      </c>
      <c r="R189" s="3">
        <f t="shared" si="13"/>
        <v>3.33</v>
      </c>
      <c r="S189" s="2">
        <v>29</v>
      </c>
      <c r="T189" s="3">
        <f t="shared" si="14"/>
        <v>205.32</v>
      </c>
      <c r="U189" s="4">
        <v>7.0000000000000007E-2</v>
      </c>
      <c r="V189" s="6">
        <f t="shared" si="15"/>
        <v>14.372400000000001</v>
      </c>
      <c r="W189" s="6">
        <f t="shared" si="16"/>
        <v>190.94759999999999</v>
      </c>
      <c r="X189" s="3">
        <v>2.35</v>
      </c>
      <c r="Y189" s="5">
        <f t="shared" si="17"/>
        <v>193.29759999999999</v>
      </c>
    </row>
    <row r="190" spans="1:25" x14ac:dyDescent="0.2">
      <c r="A190" t="s">
        <v>1117</v>
      </c>
      <c r="B190" s="1">
        <v>41587</v>
      </c>
      <c r="C190" s="2" t="str">
        <f t="shared" si="12"/>
        <v>2013</v>
      </c>
      <c r="D190" s="2" t="s">
        <v>803</v>
      </c>
      <c r="E190" s="2" t="s">
        <v>246</v>
      </c>
      <c r="F190" s="2" t="s">
        <v>19</v>
      </c>
      <c r="G190" s="2" t="s">
        <v>20</v>
      </c>
      <c r="H190" s="2" t="s">
        <v>42</v>
      </c>
      <c r="I190" s="2" t="s">
        <v>22</v>
      </c>
      <c r="J190" s="2" t="s">
        <v>23</v>
      </c>
      <c r="K190" s="2" t="s">
        <v>316</v>
      </c>
      <c r="L190" s="2" t="s">
        <v>32</v>
      </c>
      <c r="M190" s="2" t="s">
        <v>33</v>
      </c>
      <c r="N190" s="2" t="s">
        <v>27</v>
      </c>
      <c r="O190" s="1">
        <v>41587</v>
      </c>
      <c r="P190" s="3">
        <v>3.32</v>
      </c>
      <c r="Q190" s="3">
        <v>5.18</v>
      </c>
      <c r="R190" s="3">
        <f t="shared" si="13"/>
        <v>1.8599999999999999</v>
      </c>
      <c r="S190" s="2">
        <v>8</v>
      </c>
      <c r="T190" s="3">
        <f t="shared" si="14"/>
        <v>41.44</v>
      </c>
      <c r="U190" s="4">
        <v>0.06</v>
      </c>
      <c r="V190" s="6">
        <f t="shared" si="15"/>
        <v>2.4863999999999997</v>
      </c>
      <c r="W190" s="6">
        <f t="shared" si="16"/>
        <v>38.953599999999994</v>
      </c>
      <c r="X190" s="3">
        <v>2.04</v>
      </c>
      <c r="Y190" s="5">
        <f t="shared" si="17"/>
        <v>40.993599999999994</v>
      </c>
    </row>
    <row r="191" spans="1:25" x14ac:dyDescent="0.2">
      <c r="A191" t="s">
        <v>1118</v>
      </c>
      <c r="B191" s="1">
        <v>41590</v>
      </c>
      <c r="C191" s="2" t="str">
        <f t="shared" si="12"/>
        <v>2013</v>
      </c>
      <c r="D191" s="2" t="s">
        <v>802</v>
      </c>
      <c r="E191" s="2" t="s">
        <v>498</v>
      </c>
      <c r="F191" s="2" t="s">
        <v>19</v>
      </c>
      <c r="G191" s="2" t="s">
        <v>20</v>
      </c>
      <c r="H191" s="2" t="s">
        <v>50</v>
      </c>
      <c r="I191" s="2" t="s">
        <v>92</v>
      </c>
      <c r="J191" s="2" t="s">
        <v>30</v>
      </c>
      <c r="K191" s="2" t="s">
        <v>634</v>
      </c>
      <c r="L191" s="2" t="s">
        <v>32</v>
      </c>
      <c r="M191" s="2" t="s">
        <v>26</v>
      </c>
      <c r="N191" s="2" t="s">
        <v>27</v>
      </c>
      <c r="O191" s="1">
        <v>41592</v>
      </c>
      <c r="P191" s="3">
        <v>3.37</v>
      </c>
      <c r="Q191" s="3">
        <v>5.53</v>
      </c>
      <c r="R191" s="3">
        <f t="shared" si="13"/>
        <v>2.16</v>
      </c>
      <c r="S191" s="2">
        <v>17</v>
      </c>
      <c r="T191" s="3">
        <f t="shared" si="14"/>
        <v>94.01</v>
      </c>
      <c r="U191" s="4">
        <v>0.02</v>
      </c>
      <c r="V191" s="6">
        <f t="shared" si="15"/>
        <v>1.8802000000000001</v>
      </c>
      <c r="W191" s="6">
        <f t="shared" si="16"/>
        <v>92.129800000000003</v>
      </c>
      <c r="X191" s="3">
        <v>6.98</v>
      </c>
      <c r="Y191" s="5">
        <f t="shared" si="17"/>
        <v>99.109800000000007</v>
      </c>
    </row>
    <row r="192" spans="1:25" x14ac:dyDescent="0.2">
      <c r="A192" t="s">
        <v>1119</v>
      </c>
      <c r="B192" s="1">
        <v>41593</v>
      </c>
      <c r="C192" s="2" t="str">
        <f t="shared" si="12"/>
        <v>2013</v>
      </c>
      <c r="D192" s="2" t="s">
        <v>715</v>
      </c>
      <c r="E192" s="2" t="s">
        <v>185</v>
      </c>
      <c r="F192" s="2" t="s">
        <v>36</v>
      </c>
      <c r="G192" s="2" t="s">
        <v>37</v>
      </c>
      <c r="H192" s="2" t="s">
        <v>29</v>
      </c>
      <c r="I192" s="2" t="s">
        <v>153</v>
      </c>
      <c r="J192" s="2" t="s">
        <v>52</v>
      </c>
      <c r="K192" s="2" t="s">
        <v>449</v>
      </c>
      <c r="L192" s="2" t="s">
        <v>32</v>
      </c>
      <c r="M192" s="2" t="s">
        <v>26</v>
      </c>
      <c r="N192" s="2" t="s">
        <v>27</v>
      </c>
      <c r="O192" s="1">
        <v>41595</v>
      </c>
      <c r="P192" s="3">
        <v>12.39</v>
      </c>
      <c r="Q192" s="3">
        <v>19.98</v>
      </c>
      <c r="R192" s="3">
        <f t="shared" si="13"/>
        <v>7.59</v>
      </c>
      <c r="S192" s="2">
        <v>47</v>
      </c>
      <c r="T192" s="3">
        <f t="shared" si="14"/>
        <v>939.06000000000006</v>
      </c>
      <c r="U192" s="4">
        <v>0.04</v>
      </c>
      <c r="V192" s="6">
        <f t="shared" si="15"/>
        <v>37.562400000000004</v>
      </c>
      <c r="W192" s="6">
        <f t="shared" si="16"/>
        <v>901.49760000000003</v>
      </c>
      <c r="X192" s="3">
        <v>5.77</v>
      </c>
      <c r="Y192" s="5">
        <f t="shared" si="17"/>
        <v>907.26760000000002</v>
      </c>
    </row>
    <row r="193" spans="1:25" x14ac:dyDescent="0.2">
      <c r="A193" t="s">
        <v>1120</v>
      </c>
      <c r="B193" s="1">
        <v>41594</v>
      </c>
      <c r="C193" s="2" t="str">
        <f t="shared" si="12"/>
        <v>2013</v>
      </c>
      <c r="D193" s="2" t="s">
        <v>801</v>
      </c>
      <c r="E193" s="2" t="s">
        <v>465</v>
      </c>
      <c r="F193" s="2" t="s">
        <v>36</v>
      </c>
      <c r="G193" s="2" t="s">
        <v>37</v>
      </c>
      <c r="H193" s="2" t="s">
        <v>29</v>
      </c>
      <c r="I193" s="2" t="s">
        <v>79</v>
      </c>
      <c r="J193" s="2" t="s">
        <v>52</v>
      </c>
      <c r="K193" s="2" t="s">
        <v>149</v>
      </c>
      <c r="L193" s="2" t="s">
        <v>150</v>
      </c>
      <c r="M193" s="2" t="s">
        <v>58</v>
      </c>
      <c r="N193" s="2" t="s">
        <v>27</v>
      </c>
      <c r="O193" s="1">
        <v>41594</v>
      </c>
      <c r="P193" s="3">
        <v>5.5</v>
      </c>
      <c r="Q193" s="3">
        <v>12.22</v>
      </c>
      <c r="R193" s="3">
        <f t="shared" si="13"/>
        <v>6.7200000000000006</v>
      </c>
      <c r="S193" s="2">
        <v>27</v>
      </c>
      <c r="T193" s="3">
        <f t="shared" si="14"/>
        <v>329.94</v>
      </c>
      <c r="U193" s="4">
        <v>7.0000000000000007E-2</v>
      </c>
      <c r="V193" s="6">
        <f t="shared" si="15"/>
        <v>23.095800000000001</v>
      </c>
      <c r="W193" s="6">
        <f t="shared" si="16"/>
        <v>306.8442</v>
      </c>
      <c r="X193" s="3">
        <v>2.85</v>
      </c>
      <c r="Y193" s="5">
        <f t="shared" si="17"/>
        <v>309.69420000000002</v>
      </c>
    </row>
    <row r="194" spans="1:25" x14ac:dyDescent="0.2">
      <c r="A194" t="s">
        <v>1121</v>
      </c>
      <c r="B194" s="1">
        <v>41594</v>
      </c>
      <c r="C194" s="2" t="str">
        <f t="shared" si="12"/>
        <v>2013</v>
      </c>
      <c r="D194" s="2" t="s">
        <v>518</v>
      </c>
      <c r="E194" s="2" t="s">
        <v>204</v>
      </c>
      <c r="F194" s="2" t="s">
        <v>36</v>
      </c>
      <c r="G194" s="2" t="s">
        <v>37</v>
      </c>
      <c r="H194" s="2" t="s">
        <v>50</v>
      </c>
      <c r="I194" s="2" t="s">
        <v>142</v>
      </c>
      <c r="J194" s="2" t="s">
        <v>66</v>
      </c>
      <c r="K194" s="2" t="s">
        <v>306</v>
      </c>
      <c r="L194" s="2" t="s">
        <v>32</v>
      </c>
      <c r="M194" s="2" t="s">
        <v>33</v>
      </c>
      <c r="N194" s="2" t="s">
        <v>27</v>
      </c>
      <c r="O194" s="1">
        <v>41595</v>
      </c>
      <c r="P194" s="3">
        <v>1.76</v>
      </c>
      <c r="Q194" s="3">
        <v>2.94</v>
      </c>
      <c r="R194" s="3">
        <f t="shared" si="13"/>
        <v>1.18</v>
      </c>
      <c r="S194" s="2">
        <v>23</v>
      </c>
      <c r="T194" s="3">
        <f t="shared" si="14"/>
        <v>67.62</v>
      </c>
      <c r="U194" s="4">
        <v>7.0000000000000007E-2</v>
      </c>
      <c r="V194" s="6">
        <f t="shared" si="15"/>
        <v>4.7334000000000005</v>
      </c>
      <c r="W194" s="6">
        <f t="shared" si="16"/>
        <v>62.886600000000001</v>
      </c>
      <c r="X194" s="3">
        <v>0.81</v>
      </c>
      <c r="Y194" s="5">
        <f t="shared" si="17"/>
        <v>63.696600000000004</v>
      </c>
    </row>
    <row r="195" spans="1:25" x14ac:dyDescent="0.2">
      <c r="A195" t="s">
        <v>1122</v>
      </c>
      <c r="B195" s="1">
        <v>41595</v>
      </c>
      <c r="C195" s="2" t="str">
        <f t="shared" si="12"/>
        <v>2013</v>
      </c>
      <c r="D195" s="2" t="s">
        <v>191</v>
      </c>
      <c r="E195" s="2" t="s">
        <v>130</v>
      </c>
      <c r="F195" s="2" t="s">
        <v>36</v>
      </c>
      <c r="G195" s="2" t="s">
        <v>37</v>
      </c>
      <c r="H195" s="2" t="s">
        <v>29</v>
      </c>
      <c r="I195" s="2" t="s">
        <v>79</v>
      </c>
      <c r="J195" s="2" t="s">
        <v>66</v>
      </c>
      <c r="K195" s="2" t="s">
        <v>117</v>
      </c>
      <c r="L195" s="2" t="s">
        <v>25</v>
      </c>
      <c r="M195" s="2" t="s">
        <v>26</v>
      </c>
      <c r="N195" s="2" t="s">
        <v>89</v>
      </c>
      <c r="O195" s="1">
        <v>41597</v>
      </c>
      <c r="P195" s="3">
        <v>39.64</v>
      </c>
      <c r="Q195" s="3">
        <v>152.47999999999999</v>
      </c>
      <c r="R195" s="3">
        <f t="shared" si="13"/>
        <v>112.83999999999999</v>
      </c>
      <c r="S195" s="2">
        <v>2</v>
      </c>
      <c r="T195" s="3">
        <f t="shared" si="14"/>
        <v>304.95999999999998</v>
      </c>
      <c r="U195" s="4">
        <v>0.02</v>
      </c>
      <c r="V195" s="6">
        <f t="shared" si="15"/>
        <v>6.0991999999999997</v>
      </c>
      <c r="W195" s="6">
        <f t="shared" si="16"/>
        <v>298.86079999999998</v>
      </c>
      <c r="X195" s="3">
        <v>6.5</v>
      </c>
      <c r="Y195" s="5">
        <f t="shared" si="17"/>
        <v>305.36079999999998</v>
      </c>
    </row>
    <row r="196" spans="1:25" x14ac:dyDescent="0.2">
      <c r="A196" t="s">
        <v>1123</v>
      </c>
      <c r="B196" s="1">
        <v>41595</v>
      </c>
      <c r="C196" s="2" t="str">
        <f t="shared" si="12"/>
        <v>2013</v>
      </c>
      <c r="D196" s="2" t="s">
        <v>609</v>
      </c>
      <c r="E196" s="2" t="s">
        <v>1911</v>
      </c>
      <c r="F196" s="2" t="s">
        <v>19</v>
      </c>
      <c r="G196" s="2" t="s">
        <v>20</v>
      </c>
      <c r="H196" s="2" t="s">
        <v>21</v>
      </c>
      <c r="I196" s="2" t="s">
        <v>22</v>
      </c>
      <c r="J196" s="2" t="s">
        <v>66</v>
      </c>
      <c r="K196" s="2" t="s">
        <v>544</v>
      </c>
      <c r="L196" s="2" t="s">
        <v>32</v>
      </c>
      <c r="M196" s="2" t="s">
        <v>58</v>
      </c>
      <c r="N196" s="2" t="s">
        <v>27</v>
      </c>
      <c r="O196" s="1">
        <v>41596</v>
      </c>
      <c r="P196" s="3">
        <v>3.51</v>
      </c>
      <c r="Q196" s="3">
        <v>8.57</v>
      </c>
      <c r="R196" s="3">
        <f t="shared" si="13"/>
        <v>5.0600000000000005</v>
      </c>
      <c r="S196" s="2">
        <v>24</v>
      </c>
      <c r="T196" s="3">
        <f t="shared" si="14"/>
        <v>205.68</v>
      </c>
      <c r="U196" s="4">
        <v>0.06</v>
      </c>
      <c r="V196" s="6">
        <f t="shared" si="15"/>
        <v>12.3408</v>
      </c>
      <c r="W196" s="6">
        <f t="shared" si="16"/>
        <v>193.33920000000001</v>
      </c>
      <c r="X196" s="3">
        <v>6.14</v>
      </c>
      <c r="Y196" s="5">
        <f t="shared" si="17"/>
        <v>199.47919999999999</v>
      </c>
    </row>
    <row r="197" spans="1:25" x14ac:dyDescent="0.2">
      <c r="A197" t="s">
        <v>1124</v>
      </c>
      <c r="B197" s="1">
        <v>41595</v>
      </c>
      <c r="C197" s="2" t="str">
        <f t="shared" si="12"/>
        <v>2013</v>
      </c>
      <c r="D197" s="2" t="s">
        <v>800</v>
      </c>
      <c r="E197" s="2" t="s">
        <v>91</v>
      </c>
      <c r="F197" s="2" t="s">
        <v>19</v>
      </c>
      <c r="G197" s="2" t="s">
        <v>20</v>
      </c>
      <c r="H197" s="2" t="s">
        <v>50</v>
      </c>
      <c r="I197" s="2" t="s">
        <v>22</v>
      </c>
      <c r="J197" s="2" t="s">
        <v>44</v>
      </c>
      <c r="K197" s="2" t="s">
        <v>134</v>
      </c>
      <c r="L197" s="2" t="s">
        <v>32</v>
      </c>
      <c r="M197" s="2" t="s">
        <v>26</v>
      </c>
      <c r="N197" s="2" t="s">
        <v>27</v>
      </c>
      <c r="O197" s="1">
        <v>41595</v>
      </c>
      <c r="P197" s="3">
        <v>2.4500000000000002</v>
      </c>
      <c r="Q197" s="3">
        <v>3.89</v>
      </c>
      <c r="R197" s="3">
        <f t="shared" si="13"/>
        <v>1.44</v>
      </c>
      <c r="S197" s="2">
        <v>47</v>
      </c>
      <c r="T197" s="3">
        <f t="shared" si="14"/>
        <v>182.83</v>
      </c>
      <c r="U197" s="4">
        <v>0</v>
      </c>
      <c r="V197" s="6">
        <f t="shared" si="15"/>
        <v>0</v>
      </c>
      <c r="W197" s="6">
        <f t="shared" si="16"/>
        <v>182.83</v>
      </c>
      <c r="X197" s="3">
        <v>7.01</v>
      </c>
      <c r="Y197" s="5">
        <f t="shared" si="17"/>
        <v>189.84</v>
      </c>
    </row>
    <row r="198" spans="1:25" x14ac:dyDescent="0.2">
      <c r="A198" t="s">
        <v>1125</v>
      </c>
      <c r="B198" s="1">
        <v>41596</v>
      </c>
      <c r="C198" s="2" t="str">
        <f t="shared" ref="C198:C261" si="18">TEXT(B198,"yyyy")</f>
        <v>2013</v>
      </c>
      <c r="D198" s="2" t="s">
        <v>282</v>
      </c>
      <c r="E198" s="2" t="s">
        <v>60</v>
      </c>
      <c r="F198" s="2" t="s">
        <v>36</v>
      </c>
      <c r="G198" s="2" t="s">
        <v>37</v>
      </c>
      <c r="H198" s="2" t="s">
        <v>42</v>
      </c>
      <c r="I198" s="2" t="s">
        <v>56</v>
      </c>
      <c r="J198" s="2" t="s">
        <v>23</v>
      </c>
      <c r="K198" s="2" t="s">
        <v>116</v>
      </c>
      <c r="L198" s="2" t="s">
        <v>32</v>
      </c>
      <c r="M198" s="2" t="s">
        <v>33</v>
      </c>
      <c r="N198" s="2" t="s">
        <v>27</v>
      </c>
      <c r="O198" s="1">
        <v>41598</v>
      </c>
      <c r="P198" s="3">
        <v>1.6</v>
      </c>
      <c r="Q198" s="3">
        <v>2.62</v>
      </c>
      <c r="R198" s="3">
        <f t="shared" ref="R198:R261" si="19">Q198-P198</f>
        <v>1.02</v>
      </c>
      <c r="S198" s="2">
        <v>26</v>
      </c>
      <c r="T198" s="3">
        <f t="shared" ref="T198:T261" si="20">Q198*S198</f>
        <v>68.12</v>
      </c>
      <c r="U198" s="4">
        <v>0.09</v>
      </c>
      <c r="V198" s="6">
        <f t="shared" ref="V198:V261" si="21">T198*U198</f>
        <v>6.1307999999999998</v>
      </c>
      <c r="W198" s="6">
        <f t="shared" ref="W198:W261" si="22">T198-V198</f>
        <v>61.989200000000004</v>
      </c>
      <c r="X198" s="3">
        <v>0.8</v>
      </c>
      <c r="Y198" s="5">
        <f t="shared" ref="Y198:Y261" si="23">W198+X198</f>
        <v>62.789200000000001</v>
      </c>
    </row>
    <row r="199" spans="1:25" x14ac:dyDescent="0.2">
      <c r="A199" t="s">
        <v>1126</v>
      </c>
      <c r="B199" s="1">
        <v>41596</v>
      </c>
      <c r="C199" s="2" t="str">
        <f t="shared" si="18"/>
        <v>2013</v>
      </c>
      <c r="D199" s="2" t="s">
        <v>608</v>
      </c>
      <c r="E199" t="s">
        <v>1901</v>
      </c>
      <c r="F199" s="2" t="s">
        <v>1881</v>
      </c>
      <c r="G199" s="2" t="s">
        <v>1882</v>
      </c>
      <c r="H199" s="2" t="s">
        <v>50</v>
      </c>
      <c r="I199" s="2" t="s">
        <v>75</v>
      </c>
      <c r="J199" s="2" t="s">
        <v>44</v>
      </c>
      <c r="K199" s="2" t="s">
        <v>775</v>
      </c>
      <c r="L199" s="2" t="s">
        <v>32</v>
      </c>
      <c r="M199" s="2" t="s">
        <v>26</v>
      </c>
      <c r="N199" s="2" t="s">
        <v>27</v>
      </c>
      <c r="O199" s="1">
        <v>41598</v>
      </c>
      <c r="P199" s="3">
        <v>21.56</v>
      </c>
      <c r="Q199" s="3">
        <v>35.94</v>
      </c>
      <c r="R199" s="3">
        <f t="shared" si="19"/>
        <v>14.379999999999999</v>
      </c>
      <c r="S199" s="2">
        <v>19</v>
      </c>
      <c r="T199" s="3">
        <f t="shared" si="20"/>
        <v>682.8599999999999</v>
      </c>
      <c r="U199" s="4">
        <v>0.09</v>
      </c>
      <c r="V199" s="6">
        <f t="shared" si="21"/>
        <v>61.457399999999986</v>
      </c>
      <c r="W199" s="6">
        <f t="shared" si="22"/>
        <v>621.40259999999989</v>
      </c>
      <c r="X199" s="3">
        <v>6.66</v>
      </c>
      <c r="Y199" s="5">
        <f t="shared" si="23"/>
        <v>628.06259999999986</v>
      </c>
    </row>
    <row r="200" spans="1:25" x14ac:dyDescent="0.2">
      <c r="A200" t="s">
        <v>1127</v>
      </c>
      <c r="B200" s="1">
        <v>41597</v>
      </c>
      <c r="C200" s="2" t="str">
        <f t="shared" si="18"/>
        <v>2013</v>
      </c>
      <c r="D200" s="2" t="s">
        <v>799</v>
      </c>
      <c r="E200" s="2" t="s">
        <v>286</v>
      </c>
      <c r="F200" s="2" t="s">
        <v>36</v>
      </c>
      <c r="G200" s="2" t="s">
        <v>37</v>
      </c>
      <c r="H200" s="2" t="s">
        <v>50</v>
      </c>
      <c r="I200" s="2" t="s">
        <v>102</v>
      </c>
      <c r="J200" s="2" t="s">
        <v>30</v>
      </c>
      <c r="K200" s="2" t="s">
        <v>80</v>
      </c>
      <c r="L200" s="2" t="s">
        <v>32</v>
      </c>
      <c r="M200" s="2" t="s">
        <v>26</v>
      </c>
      <c r="N200" s="2" t="s">
        <v>27</v>
      </c>
      <c r="O200" s="1">
        <v>41599</v>
      </c>
      <c r="P200" s="3">
        <v>4.59</v>
      </c>
      <c r="Q200" s="3">
        <v>7.28</v>
      </c>
      <c r="R200" s="3">
        <f t="shared" si="19"/>
        <v>2.6900000000000004</v>
      </c>
      <c r="S200" s="2">
        <v>3</v>
      </c>
      <c r="T200" s="3">
        <f t="shared" si="20"/>
        <v>21.84</v>
      </c>
      <c r="U200" s="4">
        <v>0.01</v>
      </c>
      <c r="V200" s="6">
        <f t="shared" si="21"/>
        <v>0.21840000000000001</v>
      </c>
      <c r="W200" s="6">
        <f t="shared" si="22"/>
        <v>21.621600000000001</v>
      </c>
      <c r="X200" s="3">
        <v>11.15</v>
      </c>
      <c r="Y200" s="5">
        <f t="shared" si="23"/>
        <v>32.771599999999999</v>
      </c>
    </row>
    <row r="201" spans="1:25" x14ac:dyDescent="0.2">
      <c r="A201" t="s">
        <v>1128</v>
      </c>
      <c r="B201" s="1">
        <v>41598</v>
      </c>
      <c r="C201" s="2" t="str">
        <f t="shared" si="18"/>
        <v>2013</v>
      </c>
      <c r="D201" s="2" t="s">
        <v>407</v>
      </c>
      <c r="E201" s="2" t="s">
        <v>213</v>
      </c>
      <c r="F201" s="2" t="s">
        <v>36</v>
      </c>
      <c r="G201" s="2" t="s">
        <v>37</v>
      </c>
      <c r="H201" s="2" t="s">
        <v>29</v>
      </c>
      <c r="I201" s="2" t="s">
        <v>79</v>
      </c>
      <c r="J201" s="2" t="s">
        <v>23</v>
      </c>
      <c r="K201" s="2" t="s">
        <v>787</v>
      </c>
      <c r="L201" s="2" t="s">
        <v>25</v>
      </c>
      <c r="M201" s="2" t="s">
        <v>62</v>
      </c>
      <c r="N201" s="2" t="s">
        <v>63</v>
      </c>
      <c r="O201" s="1">
        <v>41605</v>
      </c>
      <c r="P201" s="3">
        <v>76.790000000000006</v>
      </c>
      <c r="Q201" s="3">
        <v>119.99</v>
      </c>
      <c r="R201" s="3">
        <f t="shared" si="19"/>
        <v>43.199999999999989</v>
      </c>
      <c r="S201" s="2">
        <v>4</v>
      </c>
      <c r="T201" s="3">
        <f t="shared" si="20"/>
        <v>479.96</v>
      </c>
      <c r="U201" s="4">
        <v>0.06</v>
      </c>
      <c r="V201" s="6">
        <f t="shared" si="21"/>
        <v>28.797599999999999</v>
      </c>
      <c r="W201" s="6">
        <f t="shared" si="22"/>
        <v>451.16239999999999</v>
      </c>
      <c r="X201" s="3">
        <v>14</v>
      </c>
      <c r="Y201" s="5">
        <f t="shared" si="23"/>
        <v>465.16239999999999</v>
      </c>
    </row>
    <row r="202" spans="1:25" x14ac:dyDescent="0.2">
      <c r="A202" t="s">
        <v>1129</v>
      </c>
      <c r="B202" s="1">
        <v>41598</v>
      </c>
      <c r="C202" s="2" t="str">
        <f t="shared" si="18"/>
        <v>2013</v>
      </c>
      <c r="D202" s="2" t="s">
        <v>439</v>
      </c>
      <c r="E202" s="2" t="s">
        <v>91</v>
      </c>
      <c r="F202" s="2" t="s">
        <v>19</v>
      </c>
      <c r="G202" s="2" t="s">
        <v>20</v>
      </c>
      <c r="H202" s="2" t="s">
        <v>50</v>
      </c>
      <c r="I202" s="2" t="s">
        <v>22</v>
      </c>
      <c r="J202" s="2" t="s">
        <v>52</v>
      </c>
      <c r="K202" s="2" t="s">
        <v>488</v>
      </c>
      <c r="L202" s="2" t="s">
        <v>32</v>
      </c>
      <c r="M202" s="2" t="s">
        <v>33</v>
      </c>
      <c r="N202" s="2" t="s">
        <v>27</v>
      </c>
      <c r="O202" s="1">
        <v>41599</v>
      </c>
      <c r="P202" s="3">
        <v>3.47</v>
      </c>
      <c r="Q202" s="3">
        <v>6.68</v>
      </c>
      <c r="R202" s="3">
        <f t="shared" si="19"/>
        <v>3.2099999999999995</v>
      </c>
      <c r="S202" s="2">
        <v>15</v>
      </c>
      <c r="T202" s="3">
        <f t="shared" si="20"/>
        <v>100.19999999999999</v>
      </c>
      <c r="U202" s="4">
        <v>0.03</v>
      </c>
      <c r="V202" s="6">
        <f t="shared" si="21"/>
        <v>3.0059999999999993</v>
      </c>
      <c r="W202" s="6">
        <f t="shared" si="22"/>
        <v>97.193999999999988</v>
      </c>
      <c r="X202" s="3">
        <v>1.5</v>
      </c>
      <c r="Y202" s="5">
        <f t="shared" si="23"/>
        <v>98.693999999999988</v>
      </c>
    </row>
    <row r="203" spans="1:25" x14ac:dyDescent="0.2">
      <c r="A203" t="s">
        <v>1130</v>
      </c>
      <c r="B203" s="1">
        <v>41601</v>
      </c>
      <c r="C203" s="2" t="str">
        <f t="shared" si="18"/>
        <v>2013</v>
      </c>
      <c r="D203" s="2" t="s">
        <v>798</v>
      </c>
      <c r="E203" s="2" t="s">
        <v>363</v>
      </c>
      <c r="F203" s="2" t="s">
        <v>36</v>
      </c>
      <c r="G203" s="2" t="s">
        <v>37</v>
      </c>
      <c r="H203" s="2" t="s">
        <v>29</v>
      </c>
      <c r="I203" s="2" t="s">
        <v>153</v>
      </c>
      <c r="J203" s="2" t="s">
        <v>52</v>
      </c>
      <c r="K203" s="2" t="s">
        <v>583</v>
      </c>
      <c r="L203" s="2" t="s">
        <v>150</v>
      </c>
      <c r="M203" s="2" t="s">
        <v>58</v>
      </c>
      <c r="N203" s="2" t="s">
        <v>27</v>
      </c>
      <c r="O203" s="1">
        <v>41602</v>
      </c>
      <c r="P203" s="3">
        <v>11.38</v>
      </c>
      <c r="Q203" s="3">
        <v>18.649999999999999</v>
      </c>
      <c r="R203" s="3">
        <f t="shared" si="19"/>
        <v>7.2699999999999978</v>
      </c>
      <c r="S203" s="2">
        <v>19</v>
      </c>
      <c r="T203" s="3">
        <f t="shared" si="20"/>
        <v>354.34999999999997</v>
      </c>
      <c r="U203" s="4">
        <v>7.0000000000000007E-2</v>
      </c>
      <c r="V203" s="6">
        <f t="shared" si="21"/>
        <v>24.804500000000001</v>
      </c>
      <c r="W203" s="6">
        <f t="shared" si="22"/>
        <v>329.54549999999995</v>
      </c>
      <c r="X203" s="3">
        <v>3.77</v>
      </c>
      <c r="Y203" s="5">
        <f t="shared" si="23"/>
        <v>333.31549999999993</v>
      </c>
    </row>
    <row r="204" spans="1:25" x14ac:dyDescent="0.2">
      <c r="A204" t="s">
        <v>1131</v>
      </c>
      <c r="B204" s="1">
        <v>41601</v>
      </c>
      <c r="C204" s="2" t="str">
        <f t="shared" si="18"/>
        <v>2013</v>
      </c>
      <c r="D204" s="2" t="s">
        <v>496</v>
      </c>
      <c r="E204" s="2" t="s">
        <v>185</v>
      </c>
      <c r="F204" s="2" t="s">
        <v>36</v>
      </c>
      <c r="G204" s="2" t="s">
        <v>37</v>
      </c>
      <c r="H204" s="2" t="s">
        <v>50</v>
      </c>
      <c r="I204" s="2" t="s">
        <v>153</v>
      </c>
      <c r="J204" s="2" t="s">
        <v>30</v>
      </c>
      <c r="K204" s="2" t="s">
        <v>72</v>
      </c>
      <c r="L204" s="2" t="s">
        <v>32</v>
      </c>
      <c r="M204" s="2" t="s">
        <v>26</v>
      </c>
      <c r="N204" s="2" t="s">
        <v>89</v>
      </c>
      <c r="O204" s="1">
        <v>41603</v>
      </c>
      <c r="P204" s="3">
        <v>3.5</v>
      </c>
      <c r="Q204" s="3">
        <v>5.74</v>
      </c>
      <c r="R204" s="3">
        <f t="shared" si="19"/>
        <v>2.2400000000000002</v>
      </c>
      <c r="S204" s="2">
        <v>27</v>
      </c>
      <c r="T204" s="3">
        <f t="shared" si="20"/>
        <v>154.98000000000002</v>
      </c>
      <c r="U204" s="4">
        <v>0.08</v>
      </c>
      <c r="V204" s="6">
        <f t="shared" si="21"/>
        <v>12.398400000000002</v>
      </c>
      <c r="W204" s="6">
        <f t="shared" si="22"/>
        <v>142.58160000000001</v>
      </c>
      <c r="X204" s="3">
        <v>5.01</v>
      </c>
      <c r="Y204" s="5">
        <f t="shared" si="23"/>
        <v>147.5916</v>
      </c>
    </row>
    <row r="205" spans="1:25" x14ac:dyDescent="0.2">
      <c r="A205" t="s">
        <v>1132</v>
      </c>
      <c r="B205" s="1">
        <v>41605</v>
      </c>
      <c r="C205" s="2" t="str">
        <f t="shared" si="18"/>
        <v>2013</v>
      </c>
      <c r="D205" s="2" t="s">
        <v>253</v>
      </c>
      <c r="E205" s="2" t="s">
        <v>254</v>
      </c>
      <c r="F205" s="2" t="s">
        <v>19</v>
      </c>
      <c r="G205" s="2" t="s">
        <v>20</v>
      </c>
      <c r="H205" s="2" t="s">
        <v>29</v>
      </c>
      <c r="I205" s="2" t="s">
        <v>92</v>
      </c>
      <c r="J205" s="2" t="s">
        <v>66</v>
      </c>
      <c r="K205" s="2" t="s">
        <v>370</v>
      </c>
      <c r="L205" s="2" t="s">
        <v>25</v>
      </c>
      <c r="M205" s="2" t="s">
        <v>26</v>
      </c>
      <c r="N205" s="2" t="s">
        <v>27</v>
      </c>
      <c r="O205" s="1">
        <v>41607</v>
      </c>
      <c r="P205" s="3">
        <v>81.59</v>
      </c>
      <c r="Q205" s="3">
        <v>159.99</v>
      </c>
      <c r="R205" s="3">
        <f t="shared" si="19"/>
        <v>78.400000000000006</v>
      </c>
      <c r="S205" s="2">
        <v>50</v>
      </c>
      <c r="T205" s="3">
        <f t="shared" si="20"/>
        <v>7999.5</v>
      </c>
      <c r="U205" s="4">
        <v>0.05</v>
      </c>
      <c r="V205" s="6">
        <f t="shared" si="21"/>
        <v>399.97500000000002</v>
      </c>
      <c r="W205" s="6">
        <f t="shared" si="22"/>
        <v>7599.5249999999996</v>
      </c>
      <c r="X205" s="3">
        <v>5.5</v>
      </c>
      <c r="Y205" s="5">
        <f t="shared" si="23"/>
        <v>7605.0249999999996</v>
      </c>
    </row>
    <row r="206" spans="1:25" x14ac:dyDescent="0.2">
      <c r="A206" t="s">
        <v>1133</v>
      </c>
      <c r="B206" s="1">
        <v>41607</v>
      </c>
      <c r="C206" s="2" t="str">
        <f t="shared" si="18"/>
        <v>2013</v>
      </c>
      <c r="D206" s="2" t="s">
        <v>676</v>
      </c>
      <c r="E206" s="2" t="s">
        <v>465</v>
      </c>
      <c r="F206" s="2" t="s">
        <v>36</v>
      </c>
      <c r="G206" s="2" t="s">
        <v>37</v>
      </c>
      <c r="H206" s="2" t="s">
        <v>50</v>
      </c>
      <c r="I206" s="2" t="s">
        <v>79</v>
      </c>
      <c r="J206" s="2" t="s">
        <v>44</v>
      </c>
      <c r="K206" s="2" t="s">
        <v>787</v>
      </c>
      <c r="L206" s="2" t="s">
        <v>25</v>
      </c>
      <c r="M206" s="2" t="s">
        <v>62</v>
      </c>
      <c r="N206" s="2" t="s">
        <v>63</v>
      </c>
      <c r="O206" s="1">
        <v>41609</v>
      </c>
      <c r="P206" s="3">
        <v>76.790000000000006</v>
      </c>
      <c r="Q206" s="3">
        <v>119.99</v>
      </c>
      <c r="R206" s="3">
        <f t="shared" si="19"/>
        <v>43.199999999999989</v>
      </c>
      <c r="S206" s="2">
        <v>8</v>
      </c>
      <c r="T206" s="3">
        <f t="shared" si="20"/>
        <v>959.92</v>
      </c>
      <c r="U206" s="4">
        <v>0.09</v>
      </c>
      <c r="V206" s="6">
        <f t="shared" si="21"/>
        <v>86.392799999999994</v>
      </c>
      <c r="W206" s="6">
        <f t="shared" si="22"/>
        <v>873.52719999999999</v>
      </c>
      <c r="X206" s="3">
        <v>14</v>
      </c>
      <c r="Y206" s="5">
        <f t="shared" si="23"/>
        <v>887.52719999999999</v>
      </c>
    </row>
    <row r="207" spans="1:25" x14ac:dyDescent="0.2">
      <c r="A207" t="s">
        <v>1134</v>
      </c>
      <c r="B207" s="1">
        <v>41613</v>
      </c>
      <c r="C207" s="2" t="str">
        <f t="shared" si="18"/>
        <v>2013</v>
      </c>
      <c r="D207" s="2" t="s">
        <v>651</v>
      </c>
      <c r="E207" s="2" t="s">
        <v>69</v>
      </c>
      <c r="F207" s="2" t="s">
        <v>19</v>
      </c>
      <c r="G207" s="2" t="s">
        <v>20</v>
      </c>
      <c r="H207" s="2" t="s">
        <v>42</v>
      </c>
      <c r="I207" s="2" t="s">
        <v>22</v>
      </c>
      <c r="J207" s="2" t="s">
        <v>52</v>
      </c>
      <c r="K207" s="2" t="s">
        <v>234</v>
      </c>
      <c r="L207" s="2" t="s">
        <v>32</v>
      </c>
      <c r="M207" s="2" t="s">
        <v>58</v>
      </c>
      <c r="N207" s="2" t="s">
        <v>89</v>
      </c>
      <c r="O207" s="1">
        <v>41615</v>
      </c>
      <c r="P207" s="3">
        <v>16.8</v>
      </c>
      <c r="Q207" s="3">
        <v>40.97</v>
      </c>
      <c r="R207" s="3">
        <f t="shared" si="19"/>
        <v>24.169999999999998</v>
      </c>
      <c r="S207" s="2">
        <v>49</v>
      </c>
      <c r="T207" s="3">
        <f t="shared" si="20"/>
        <v>2007.53</v>
      </c>
      <c r="U207" s="4">
        <v>0.09</v>
      </c>
      <c r="V207" s="6">
        <f t="shared" si="21"/>
        <v>180.67769999999999</v>
      </c>
      <c r="W207" s="6">
        <f t="shared" si="22"/>
        <v>1826.8523</v>
      </c>
      <c r="X207" s="3">
        <v>8.99</v>
      </c>
      <c r="Y207" s="5">
        <f t="shared" si="23"/>
        <v>1835.8423</v>
      </c>
    </row>
    <row r="208" spans="1:25" x14ac:dyDescent="0.2">
      <c r="A208" t="s">
        <v>1135</v>
      </c>
      <c r="B208" s="1">
        <v>41616</v>
      </c>
      <c r="C208" s="2" t="str">
        <f t="shared" si="18"/>
        <v>2013</v>
      </c>
      <c r="D208" s="2" t="s">
        <v>158</v>
      </c>
      <c r="E208" s="2" t="s">
        <v>159</v>
      </c>
      <c r="F208" s="2" t="s">
        <v>36</v>
      </c>
      <c r="G208" s="2" t="s">
        <v>37</v>
      </c>
      <c r="H208" s="2" t="s">
        <v>21</v>
      </c>
      <c r="I208" s="2" t="s">
        <v>83</v>
      </c>
      <c r="J208" s="2" t="s">
        <v>23</v>
      </c>
      <c r="K208" s="2" t="s">
        <v>116</v>
      </c>
      <c r="L208" s="2" t="s">
        <v>32</v>
      </c>
      <c r="M208" s="2" t="s">
        <v>33</v>
      </c>
      <c r="N208" s="2" t="s">
        <v>27</v>
      </c>
      <c r="O208" s="1">
        <v>41623</v>
      </c>
      <c r="P208" s="3">
        <v>1.6</v>
      </c>
      <c r="Q208" s="3">
        <v>2.62</v>
      </c>
      <c r="R208" s="3">
        <f t="shared" si="19"/>
        <v>1.02</v>
      </c>
      <c r="S208" s="2">
        <v>47</v>
      </c>
      <c r="T208" s="3">
        <f t="shared" si="20"/>
        <v>123.14</v>
      </c>
      <c r="U208" s="4">
        <v>0.1</v>
      </c>
      <c r="V208" s="6">
        <f t="shared" si="21"/>
        <v>12.314</v>
      </c>
      <c r="W208" s="6">
        <f t="shared" si="22"/>
        <v>110.82599999999999</v>
      </c>
      <c r="X208" s="3">
        <v>0.8</v>
      </c>
      <c r="Y208" s="5">
        <f t="shared" si="23"/>
        <v>111.62599999999999</v>
      </c>
    </row>
    <row r="209" spans="1:25" x14ac:dyDescent="0.2">
      <c r="A209" t="s">
        <v>1136</v>
      </c>
      <c r="B209" s="1">
        <v>41616</v>
      </c>
      <c r="C209" s="2" t="str">
        <f t="shared" si="18"/>
        <v>2013</v>
      </c>
      <c r="D209" s="2" t="s">
        <v>581</v>
      </c>
      <c r="E209" s="2" t="s">
        <v>373</v>
      </c>
      <c r="F209" s="2" t="s">
        <v>36</v>
      </c>
      <c r="G209" s="2" t="s">
        <v>37</v>
      </c>
      <c r="H209" s="2" t="s">
        <v>21</v>
      </c>
      <c r="I209" s="2" t="s">
        <v>51</v>
      </c>
      <c r="J209" s="2" t="s">
        <v>30</v>
      </c>
      <c r="K209" s="2" t="s">
        <v>351</v>
      </c>
      <c r="L209" s="2" t="s">
        <v>32</v>
      </c>
      <c r="M209" s="2" t="s">
        <v>33</v>
      </c>
      <c r="N209" s="2" t="s">
        <v>27</v>
      </c>
      <c r="O209" s="1">
        <v>41616</v>
      </c>
      <c r="P209" s="3">
        <v>0.93</v>
      </c>
      <c r="Q209" s="3">
        <v>1.6</v>
      </c>
      <c r="R209" s="3">
        <f t="shared" si="19"/>
        <v>0.67</v>
      </c>
      <c r="S209" s="2">
        <v>25</v>
      </c>
      <c r="T209" s="3">
        <f t="shared" si="20"/>
        <v>40</v>
      </c>
      <c r="U209" s="4">
        <v>0.1</v>
      </c>
      <c r="V209" s="6">
        <f t="shared" si="21"/>
        <v>4</v>
      </c>
      <c r="W209" s="6">
        <f t="shared" si="22"/>
        <v>36</v>
      </c>
      <c r="X209" s="3">
        <v>1.29</v>
      </c>
      <c r="Y209" s="5">
        <f t="shared" si="23"/>
        <v>37.29</v>
      </c>
    </row>
    <row r="210" spans="1:25" x14ac:dyDescent="0.2">
      <c r="A210" t="s">
        <v>1137</v>
      </c>
      <c r="B210" s="1">
        <v>41617</v>
      </c>
      <c r="C210" s="2" t="str">
        <f t="shared" si="18"/>
        <v>2013</v>
      </c>
      <c r="D210" s="2" t="s">
        <v>212</v>
      </c>
      <c r="E210" s="2" t="s">
        <v>213</v>
      </c>
      <c r="F210" s="2" t="s">
        <v>36</v>
      </c>
      <c r="G210" s="2" t="s">
        <v>37</v>
      </c>
      <c r="H210" s="2" t="s">
        <v>50</v>
      </c>
      <c r="I210" s="2" t="s">
        <v>79</v>
      </c>
      <c r="J210" s="2" t="s">
        <v>66</v>
      </c>
      <c r="K210" s="2" t="s">
        <v>155</v>
      </c>
      <c r="L210" s="2" t="s">
        <v>32</v>
      </c>
      <c r="M210" s="2" t="s">
        <v>33</v>
      </c>
      <c r="N210" s="2" t="s">
        <v>27</v>
      </c>
      <c r="O210" s="1">
        <v>41617</v>
      </c>
      <c r="P210" s="3">
        <v>0.24</v>
      </c>
      <c r="Q210" s="3">
        <v>1.26</v>
      </c>
      <c r="R210" s="3">
        <f t="shared" si="19"/>
        <v>1.02</v>
      </c>
      <c r="S210" s="2">
        <v>9</v>
      </c>
      <c r="T210" s="3">
        <f t="shared" si="20"/>
        <v>11.34</v>
      </c>
      <c r="U210" s="4">
        <v>0.06</v>
      </c>
      <c r="V210" s="6">
        <f t="shared" si="21"/>
        <v>0.6804</v>
      </c>
      <c r="W210" s="6">
        <f t="shared" si="22"/>
        <v>10.659599999999999</v>
      </c>
      <c r="X210" s="3">
        <v>0.7</v>
      </c>
      <c r="Y210" s="5">
        <f t="shared" si="23"/>
        <v>11.359599999999999</v>
      </c>
    </row>
    <row r="211" spans="1:25" x14ac:dyDescent="0.2">
      <c r="A211" t="s">
        <v>1138</v>
      </c>
      <c r="B211" s="1">
        <v>41618</v>
      </c>
      <c r="C211" s="2" t="str">
        <f t="shared" si="18"/>
        <v>2013</v>
      </c>
      <c r="D211" s="2" t="s">
        <v>395</v>
      </c>
      <c r="E211" s="2" t="s">
        <v>1893</v>
      </c>
      <c r="F211" s="2" t="s">
        <v>1881</v>
      </c>
      <c r="G211" s="2" t="s">
        <v>1882</v>
      </c>
      <c r="H211" s="2" t="s">
        <v>42</v>
      </c>
      <c r="I211" s="2" t="s">
        <v>153</v>
      </c>
      <c r="J211" s="2" t="s">
        <v>52</v>
      </c>
      <c r="K211" s="2" t="s">
        <v>241</v>
      </c>
      <c r="L211" s="2" t="s">
        <v>32</v>
      </c>
      <c r="M211" s="2" t="s">
        <v>26</v>
      </c>
      <c r="N211" s="2" t="s">
        <v>27</v>
      </c>
      <c r="O211" s="1">
        <v>41620</v>
      </c>
      <c r="P211" s="3">
        <v>3.65</v>
      </c>
      <c r="Q211" s="3">
        <v>5.98</v>
      </c>
      <c r="R211" s="3">
        <f t="shared" si="19"/>
        <v>2.3300000000000005</v>
      </c>
      <c r="S211" s="2">
        <v>25</v>
      </c>
      <c r="T211" s="3">
        <f t="shared" si="20"/>
        <v>149.5</v>
      </c>
      <c r="U211" s="4">
        <v>0.03</v>
      </c>
      <c r="V211" s="6">
        <f t="shared" si="21"/>
        <v>4.4849999999999994</v>
      </c>
      <c r="W211" s="6">
        <f t="shared" si="22"/>
        <v>145.01499999999999</v>
      </c>
      <c r="X211" s="3">
        <v>1.49</v>
      </c>
      <c r="Y211" s="5">
        <f t="shared" si="23"/>
        <v>146.505</v>
      </c>
    </row>
    <row r="212" spans="1:25" x14ac:dyDescent="0.2">
      <c r="A212" t="s">
        <v>872</v>
      </c>
      <c r="B212" s="1">
        <v>41619</v>
      </c>
      <c r="C212" s="2" t="str">
        <f t="shared" si="18"/>
        <v>2013</v>
      </c>
      <c r="D212" s="2" t="s">
        <v>250</v>
      </c>
      <c r="E212" s="2" t="s">
        <v>251</v>
      </c>
      <c r="F212" s="2" t="s">
        <v>19</v>
      </c>
      <c r="G212" s="2" t="s">
        <v>20</v>
      </c>
      <c r="H212" s="2" t="s">
        <v>21</v>
      </c>
      <c r="I212" s="2" t="s">
        <v>92</v>
      </c>
      <c r="J212" s="2" t="s">
        <v>23</v>
      </c>
      <c r="K212" s="2" t="s">
        <v>300</v>
      </c>
      <c r="L212" s="2" t="s">
        <v>32</v>
      </c>
      <c r="M212" s="2" t="s">
        <v>26</v>
      </c>
      <c r="N212" s="2" t="s">
        <v>27</v>
      </c>
      <c r="O212" s="1">
        <v>41621</v>
      </c>
      <c r="P212" s="3">
        <v>5.33</v>
      </c>
      <c r="Q212" s="3">
        <v>8.6</v>
      </c>
      <c r="R212" s="3">
        <f t="shared" si="19"/>
        <v>3.2699999999999996</v>
      </c>
      <c r="S212" s="2">
        <v>6</v>
      </c>
      <c r="T212" s="3">
        <f t="shared" si="20"/>
        <v>51.599999999999994</v>
      </c>
      <c r="U212" s="4">
        <v>0.04</v>
      </c>
      <c r="V212" s="6">
        <f t="shared" si="21"/>
        <v>2.0639999999999996</v>
      </c>
      <c r="W212" s="6">
        <f t="shared" si="22"/>
        <v>49.535999999999994</v>
      </c>
      <c r="X212" s="3">
        <v>6.19</v>
      </c>
      <c r="Y212" s="5">
        <f t="shared" si="23"/>
        <v>55.725999999999992</v>
      </c>
    </row>
    <row r="213" spans="1:25" x14ac:dyDescent="0.2">
      <c r="A213" t="s">
        <v>873</v>
      </c>
      <c r="B213" s="1">
        <v>41619</v>
      </c>
      <c r="C213" s="2" t="str">
        <f t="shared" si="18"/>
        <v>2013</v>
      </c>
      <c r="D213" s="2" t="s">
        <v>250</v>
      </c>
      <c r="E213" s="2" t="s">
        <v>251</v>
      </c>
      <c r="F213" s="2" t="s">
        <v>19</v>
      </c>
      <c r="G213" s="2" t="s">
        <v>20</v>
      </c>
      <c r="H213" s="2" t="s">
        <v>21</v>
      </c>
      <c r="I213" s="2" t="s">
        <v>92</v>
      </c>
      <c r="J213" s="2" t="s">
        <v>23</v>
      </c>
      <c r="K213" s="2" t="s">
        <v>207</v>
      </c>
      <c r="L213" s="2" t="s">
        <v>32</v>
      </c>
      <c r="M213" s="2" t="s">
        <v>33</v>
      </c>
      <c r="N213" s="2" t="s">
        <v>27</v>
      </c>
      <c r="O213" s="1">
        <v>41623</v>
      </c>
      <c r="P213" s="3">
        <v>2.29</v>
      </c>
      <c r="Q213" s="3">
        <v>3.58</v>
      </c>
      <c r="R213" s="3">
        <f t="shared" si="19"/>
        <v>1.29</v>
      </c>
      <c r="S213" s="2">
        <v>30</v>
      </c>
      <c r="T213" s="3">
        <f t="shared" si="20"/>
        <v>107.4</v>
      </c>
      <c r="U213" s="4">
        <v>0.01</v>
      </c>
      <c r="V213" s="6">
        <f t="shared" si="21"/>
        <v>1.0740000000000001</v>
      </c>
      <c r="W213" s="6">
        <f t="shared" si="22"/>
        <v>106.32600000000001</v>
      </c>
      <c r="X213" s="3">
        <v>1.63</v>
      </c>
      <c r="Y213" s="5">
        <f t="shared" si="23"/>
        <v>107.956</v>
      </c>
    </row>
    <row r="214" spans="1:25" x14ac:dyDescent="0.2">
      <c r="A214" t="s">
        <v>1139</v>
      </c>
      <c r="B214" s="1">
        <v>41619</v>
      </c>
      <c r="C214" s="2" t="str">
        <f t="shared" si="18"/>
        <v>2013</v>
      </c>
      <c r="D214" s="2" t="s">
        <v>619</v>
      </c>
      <c r="E214" s="2" t="s">
        <v>1933</v>
      </c>
      <c r="F214" s="2" t="s">
        <v>36</v>
      </c>
      <c r="G214" s="2" t="s">
        <v>37</v>
      </c>
      <c r="H214" s="2" t="s">
        <v>50</v>
      </c>
      <c r="I214" s="2" t="s">
        <v>51</v>
      </c>
      <c r="J214" s="2" t="s">
        <v>23</v>
      </c>
      <c r="K214" s="2" t="s">
        <v>669</v>
      </c>
      <c r="L214" s="2" t="s">
        <v>32</v>
      </c>
      <c r="M214" s="2" t="s">
        <v>26</v>
      </c>
      <c r="N214" s="2" t="s">
        <v>27</v>
      </c>
      <c r="O214" s="1">
        <v>41623</v>
      </c>
      <c r="P214" s="3">
        <v>18.38</v>
      </c>
      <c r="Q214" s="3">
        <v>29.17</v>
      </c>
      <c r="R214" s="3">
        <f t="shared" si="19"/>
        <v>10.790000000000003</v>
      </c>
      <c r="S214" s="2">
        <v>16</v>
      </c>
      <c r="T214" s="3">
        <f t="shared" si="20"/>
        <v>466.72</v>
      </c>
      <c r="U214" s="4">
        <v>7.0000000000000007E-2</v>
      </c>
      <c r="V214" s="6">
        <f t="shared" si="21"/>
        <v>32.670400000000008</v>
      </c>
      <c r="W214" s="6">
        <f t="shared" si="22"/>
        <v>434.0496</v>
      </c>
      <c r="X214" s="3">
        <v>6.27</v>
      </c>
      <c r="Y214" s="5">
        <f t="shared" si="23"/>
        <v>440.31959999999998</v>
      </c>
    </row>
    <row r="215" spans="1:25" x14ac:dyDescent="0.2">
      <c r="A215" t="s">
        <v>1140</v>
      </c>
      <c r="B215" s="1">
        <v>41621</v>
      </c>
      <c r="C215" s="2" t="str">
        <f t="shared" si="18"/>
        <v>2013</v>
      </c>
      <c r="D215" s="2" t="s">
        <v>589</v>
      </c>
      <c r="E215" s="2" t="s">
        <v>65</v>
      </c>
      <c r="F215" s="2" t="s">
        <v>36</v>
      </c>
      <c r="G215" s="2" t="s">
        <v>37</v>
      </c>
      <c r="H215" s="2" t="s">
        <v>29</v>
      </c>
      <c r="I215" s="2" t="s">
        <v>43</v>
      </c>
      <c r="J215" s="2" t="s">
        <v>52</v>
      </c>
      <c r="K215" s="2" t="s">
        <v>121</v>
      </c>
      <c r="L215" s="2" t="s">
        <v>32</v>
      </c>
      <c r="M215" s="2" t="s">
        <v>26</v>
      </c>
      <c r="N215" s="2" t="s">
        <v>27</v>
      </c>
      <c r="O215" s="1">
        <v>41622</v>
      </c>
      <c r="P215" s="3">
        <v>3.75</v>
      </c>
      <c r="Q215" s="3">
        <v>5.77</v>
      </c>
      <c r="R215" s="3">
        <f t="shared" si="19"/>
        <v>2.0199999999999996</v>
      </c>
      <c r="S215" s="2">
        <v>9</v>
      </c>
      <c r="T215" s="3">
        <f t="shared" si="20"/>
        <v>51.929999999999993</v>
      </c>
      <c r="U215" s="4">
        <v>0</v>
      </c>
      <c r="V215" s="6">
        <f t="shared" si="21"/>
        <v>0</v>
      </c>
      <c r="W215" s="6">
        <f t="shared" si="22"/>
        <v>51.929999999999993</v>
      </c>
      <c r="X215" s="3">
        <v>4.97</v>
      </c>
      <c r="Y215" s="5">
        <f t="shared" si="23"/>
        <v>56.899999999999991</v>
      </c>
    </row>
    <row r="216" spans="1:25" x14ac:dyDescent="0.2">
      <c r="A216" t="s">
        <v>1141</v>
      </c>
      <c r="B216" s="1">
        <v>41621</v>
      </c>
      <c r="C216" s="2" t="str">
        <f t="shared" si="18"/>
        <v>2013</v>
      </c>
      <c r="D216" s="2" t="s">
        <v>168</v>
      </c>
      <c r="E216" s="2" t="s">
        <v>1928</v>
      </c>
      <c r="F216" s="2" t="s">
        <v>36</v>
      </c>
      <c r="G216" s="2" t="s">
        <v>37</v>
      </c>
      <c r="H216" s="2" t="s">
        <v>50</v>
      </c>
      <c r="I216" s="2" t="s">
        <v>79</v>
      </c>
      <c r="J216" s="2" t="s">
        <v>66</v>
      </c>
      <c r="K216" s="2" t="s">
        <v>311</v>
      </c>
      <c r="L216" s="2" t="s">
        <v>32</v>
      </c>
      <c r="M216" s="2" t="s">
        <v>33</v>
      </c>
      <c r="N216" s="2" t="s">
        <v>27</v>
      </c>
      <c r="O216" s="1">
        <v>41623</v>
      </c>
      <c r="P216" s="3">
        <v>1.92</v>
      </c>
      <c r="Q216" s="3">
        <v>3.26</v>
      </c>
      <c r="R216" s="3">
        <f t="shared" si="19"/>
        <v>1.3399999999999999</v>
      </c>
      <c r="S216" s="2">
        <v>6</v>
      </c>
      <c r="T216" s="3">
        <f t="shared" si="20"/>
        <v>19.559999999999999</v>
      </c>
      <c r="U216" s="4">
        <v>0.01</v>
      </c>
      <c r="V216" s="6">
        <f t="shared" si="21"/>
        <v>0.1956</v>
      </c>
      <c r="W216" s="6">
        <f t="shared" si="22"/>
        <v>19.3644</v>
      </c>
      <c r="X216" s="3">
        <v>1.86</v>
      </c>
      <c r="Y216" s="5">
        <f t="shared" si="23"/>
        <v>21.224399999999999</v>
      </c>
    </row>
    <row r="217" spans="1:25" x14ac:dyDescent="0.2">
      <c r="A217" t="s">
        <v>1142</v>
      </c>
      <c r="B217" s="1">
        <v>41624</v>
      </c>
      <c r="C217" s="2" t="str">
        <f t="shared" si="18"/>
        <v>2013</v>
      </c>
      <c r="D217" s="2" t="s">
        <v>320</v>
      </c>
      <c r="E217" s="2" t="s">
        <v>254</v>
      </c>
      <c r="F217" s="2" t="s">
        <v>19</v>
      </c>
      <c r="G217" s="2" t="s">
        <v>20</v>
      </c>
      <c r="H217" s="2" t="s">
        <v>42</v>
      </c>
      <c r="I217" s="2" t="s">
        <v>92</v>
      </c>
      <c r="J217" s="2" t="s">
        <v>66</v>
      </c>
      <c r="K217" s="2" t="s">
        <v>337</v>
      </c>
      <c r="L217" s="2" t="s">
        <v>32</v>
      </c>
      <c r="M217" s="2" t="s">
        <v>26</v>
      </c>
      <c r="N217" s="2" t="s">
        <v>27</v>
      </c>
      <c r="O217" s="1">
        <v>41627</v>
      </c>
      <c r="P217" s="3">
        <v>2.29</v>
      </c>
      <c r="Q217" s="3">
        <v>3.69</v>
      </c>
      <c r="R217" s="3">
        <f t="shared" si="19"/>
        <v>1.4</v>
      </c>
      <c r="S217" s="2">
        <v>45</v>
      </c>
      <c r="T217" s="3">
        <f t="shared" si="20"/>
        <v>166.05</v>
      </c>
      <c r="U217" s="4">
        <v>0.08</v>
      </c>
      <c r="V217" s="6">
        <f t="shared" si="21"/>
        <v>13.284000000000001</v>
      </c>
      <c r="W217" s="6">
        <f t="shared" si="22"/>
        <v>152.76600000000002</v>
      </c>
      <c r="X217" s="3">
        <v>0.5</v>
      </c>
      <c r="Y217" s="5">
        <f t="shared" si="23"/>
        <v>153.26600000000002</v>
      </c>
    </row>
    <row r="218" spans="1:25" x14ac:dyDescent="0.2">
      <c r="A218" t="s">
        <v>1143</v>
      </c>
      <c r="B218" s="1">
        <v>41625</v>
      </c>
      <c r="C218" s="2" t="str">
        <f t="shared" si="18"/>
        <v>2013</v>
      </c>
      <c r="D218" s="2" t="s">
        <v>797</v>
      </c>
      <c r="E218" s="2" t="s">
        <v>188</v>
      </c>
      <c r="F218" s="2" t="s">
        <v>36</v>
      </c>
      <c r="G218" s="2" t="s">
        <v>37</v>
      </c>
      <c r="H218" s="2" t="s">
        <v>50</v>
      </c>
      <c r="I218" s="2" t="s">
        <v>75</v>
      </c>
      <c r="J218" s="2" t="s">
        <v>66</v>
      </c>
      <c r="K218" s="2" t="s">
        <v>300</v>
      </c>
      <c r="L218" s="2" t="s">
        <v>32</v>
      </c>
      <c r="M218" s="2" t="s">
        <v>26</v>
      </c>
      <c r="N218" s="2" t="s">
        <v>27</v>
      </c>
      <c r="O218" s="1">
        <v>41627</v>
      </c>
      <c r="P218" s="3">
        <v>5.33</v>
      </c>
      <c r="Q218" s="3">
        <v>8.6</v>
      </c>
      <c r="R218" s="3">
        <f t="shared" si="19"/>
        <v>3.2699999999999996</v>
      </c>
      <c r="S218" s="2">
        <v>23</v>
      </c>
      <c r="T218" s="3">
        <f t="shared" si="20"/>
        <v>197.79999999999998</v>
      </c>
      <c r="U218" s="4">
        <v>0.02</v>
      </c>
      <c r="V218" s="6">
        <f t="shared" si="21"/>
        <v>3.956</v>
      </c>
      <c r="W218" s="6">
        <f t="shared" si="22"/>
        <v>193.84399999999999</v>
      </c>
      <c r="X218" s="3">
        <v>6.19</v>
      </c>
      <c r="Y218" s="5">
        <f t="shared" si="23"/>
        <v>200.03399999999999</v>
      </c>
    </row>
    <row r="219" spans="1:25" x14ac:dyDescent="0.2">
      <c r="A219" t="s">
        <v>1144</v>
      </c>
      <c r="B219" s="1">
        <v>41627</v>
      </c>
      <c r="C219" s="2" t="str">
        <f t="shared" si="18"/>
        <v>2013</v>
      </c>
      <c r="D219" s="2" t="s">
        <v>681</v>
      </c>
      <c r="E219" s="2" t="s">
        <v>251</v>
      </c>
      <c r="F219" s="2" t="s">
        <v>19</v>
      </c>
      <c r="G219" s="2" t="s">
        <v>20</v>
      </c>
      <c r="H219" s="2" t="s">
        <v>29</v>
      </c>
      <c r="I219" s="2" t="s">
        <v>92</v>
      </c>
      <c r="J219" s="2" t="s">
        <v>44</v>
      </c>
      <c r="K219" s="2" t="s">
        <v>565</v>
      </c>
      <c r="L219" s="2" t="s">
        <v>25</v>
      </c>
      <c r="M219" s="2" t="s">
        <v>26</v>
      </c>
      <c r="N219" s="2" t="s">
        <v>27</v>
      </c>
      <c r="O219" s="1">
        <v>41629</v>
      </c>
      <c r="P219" s="3">
        <v>42.11</v>
      </c>
      <c r="Q219" s="3">
        <v>80.98</v>
      </c>
      <c r="R219" s="3">
        <f t="shared" si="19"/>
        <v>38.870000000000005</v>
      </c>
      <c r="S219" s="2">
        <v>13</v>
      </c>
      <c r="T219" s="3">
        <f t="shared" si="20"/>
        <v>1052.74</v>
      </c>
      <c r="U219" s="4">
        <v>0.03</v>
      </c>
      <c r="V219" s="6">
        <f t="shared" si="21"/>
        <v>31.5822</v>
      </c>
      <c r="W219" s="6">
        <f t="shared" si="22"/>
        <v>1021.1578</v>
      </c>
      <c r="X219" s="3">
        <v>7.18</v>
      </c>
      <c r="Y219" s="5">
        <f t="shared" si="23"/>
        <v>1028.3378</v>
      </c>
    </row>
    <row r="220" spans="1:25" x14ac:dyDescent="0.2">
      <c r="A220" t="s">
        <v>1145</v>
      </c>
      <c r="B220" s="1">
        <v>41631</v>
      </c>
      <c r="C220" s="2" t="str">
        <f t="shared" si="18"/>
        <v>2013</v>
      </c>
      <c r="D220" s="2" t="s">
        <v>588</v>
      </c>
      <c r="E220" s="2" t="s">
        <v>286</v>
      </c>
      <c r="F220" s="2" t="s">
        <v>36</v>
      </c>
      <c r="G220" s="2" t="s">
        <v>37</v>
      </c>
      <c r="H220" s="2" t="s">
        <v>42</v>
      </c>
      <c r="I220" s="2" t="s">
        <v>102</v>
      </c>
      <c r="J220" s="2" t="s">
        <v>66</v>
      </c>
      <c r="K220" s="2" t="s">
        <v>117</v>
      </c>
      <c r="L220" s="2" t="s">
        <v>25</v>
      </c>
      <c r="M220" s="2" t="s">
        <v>26</v>
      </c>
      <c r="N220" s="2" t="s">
        <v>27</v>
      </c>
      <c r="O220" s="1">
        <v>41633</v>
      </c>
      <c r="P220" s="3">
        <v>39.64</v>
      </c>
      <c r="Q220" s="3">
        <v>152.47999999999999</v>
      </c>
      <c r="R220" s="3">
        <f t="shared" si="19"/>
        <v>112.83999999999999</v>
      </c>
      <c r="S220" s="2">
        <v>41</v>
      </c>
      <c r="T220" s="3">
        <f t="shared" si="20"/>
        <v>6251.6799999999994</v>
      </c>
      <c r="U220" s="4">
        <v>7.0000000000000007E-2</v>
      </c>
      <c r="V220" s="6">
        <f t="shared" si="21"/>
        <v>437.61759999999998</v>
      </c>
      <c r="W220" s="6">
        <f t="shared" si="22"/>
        <v>5814.0623999999998</v>
      </c>
      <c r="X220" s="3">
        <v>6.5</v>
      </c>
      <c r="Y220" s="5">
        <f t="shared" si="23"/>
        <v>5820.5623999999998</v>
      </c>
    </row>
    <row r="221" spans="1:25" x14ac:dyDescent="0.2">
      <c r="A221" t="s">
        <v>1146</v>
      </c>
      <c r="B221" s="1">
        <v>41631</v>
      </c>
      <c r="C221" s="2" t="str">
        <f t="shared" si="18"/>
        <v>2013</v>
      </c>
      <c r="D221" s="2" t="s">
        <v>796</v>
      </c>
      <c r="E221" s="2" t="s">
        <v>540</v>
      </c>
      <c r="F221" s="2" t="s">
        <v>19</v>
      </c>
      <c r="G221" s="2" t="s">
        <v>20</v>
      </c>
      <c r="H221" s="2" t="s">
        <v>21</v>
      </c>
      <c r="I221" s="2" t="s">
        <v>22</v>
      </c>
      <c r="J221" s="2" t="s">
        <v>30</v>
      </c>
      <c r="K221" s="2" t="s">
        <v>299</v>
      </c>
      <c r="L221" s="2" t="s">
        <v>32</v>
      </c>
      <c r="M221" s="2" t="s">
        <v>26</v>
      </c>
      <c r="N221" s="2" t="s">
        <v>27</v>
      </c>
      <c r="O221" s="1">
        <v>41631</v>
      </c>
      <c r="P221" s="3">
        <v>3.14</v>
      </c>
      <c r="Q221" s="3">
        <v>4.91</v>
      </c>
      <c r="R221" s="3">
        <f t="shared" si="19"/>
        <v>1.77</v>
      </c>
      <c r="S221" s="2">
        <v>12</v>
      </c>
      <c r="T221" s="3">
        <f t="shared" si="20"/>
        <v>58.92</v>
      </c>
      <c r="U221" s="4">
        <v>0.04</v>
      </c>
      <c r="V221" s="6">
        <f t="shared" si="21"/>
        <v>2.3568000000000002</v>
      </c>
      <c r="W221" s="6">
        <f t="shared" si="22"/>
        <v>56.563200000000002</v>
      </c>
      <c r="X221" s="3">
        <v>0.5</v>
      </c>
      <c r="Y221" s="5">
        <f t="shared" si="23"/>
        <v>57.063200000000002</v>
      </c>
    </row>
    <row r="222" spans="1:25" x14ac:dyDescent="0.2">
      <c r="A222" t="s">
        <v>1147</v>
      </c>
      <c r="B222" s="1">
        <v>41635</v>
      </c>
      <c r="C222" s="2" t="str">
        <f t="shared" si="18"/>
        <v>2013</v>
      </c>
      <c r="D222" s="2" t="s">
        <v>356</v>
      </c>
      <c r="E222" s="2" t="s">
        <v>357</v>
      </c>
      <c r="F222" s="2" t="s">
        <v>36</v>
      </c>
      <c r="G222" s="2" t="s">
        <v>37</v>
      </c>
      <c r="H222" s="2" t="s">
        <v>21</v>
      </c>
      <c r="I222" s="2" t="s">
        <v>96</v>
      </c>
      <c r="J222" s="2" t="s">
        <v>23</v>
      </c>
      <c r="K222" s="2" t="s">
        <v>669</v>
      </c>
      <c r="L222" s="2" t="s">
        <v>32</v>
      </c>
      <c r="M222" s="2" t="s">
        <v>26</v>
      </c>
      <c r="N222" s="2" t="s">
        <v>27</v>
      </c>
      <c r="O222" s="1">
        <v>41637</v>
      </c>
      <c r="P222" s="3">
        <v>18.38</v>
      </c>
      <c r="Q222" s="3">
        <v>29.17</v>
      </c>
      <c r="R222" s="3">
        <f t="shared" si="19"/>
        <v>10.790000000000003</v>
      </c>
      <c r="S222" s="2">
        <v>37</v>
      </c>
      <c r="T222" s="3">
        <f t="shared" si="20"/>
        <v>1079.29</v>
      </c>
      <c r="U222" s="4">
        <v>0.09</v>
      </c>
      <c r="V222" s="6">
        <f t="shared" si="21"/>
        <v>97.136099999999999</v>
      </c>
      <c r="W222" s="6">
        <f t="shared" si="22"/>
        <v>982.15390000000002</v>
      </c>
      <c r="X222" s="3">
        <v>6.27</v>
      </c>
      <c r="Y222" s="5">
        <f t="shared" si="23"/>
        <v>988.4239</v>
      </c>
    </row>
    <row r="223" spans="1:25" x14ac:dyDescent="0.2">
      <c r="A223" t="s">
        <v>1148</v>
      </c>
      <c r="B223" s="1">
        <v>41637</v>
      </c>
      <c r="C223" s="2" t="str">
        <f t="shared" si="18"/>
        <v>2013</v>
      </c>
      <c r="D223" s="2" t="s">
        <v>384</v>
      </c>
      <c r="E223" s="2" t="s">
        <v>172</v>
      </c>
      <c r="F223" s="2" t="s">
        <v>36</v>
      </c>
      <c r="G223" s="2" t="s">
        <v>37</v>
      </c>
      <c r="H223" s="2" t="s">
        <v>29</v>
      </c>
      <c r="I223" s="2" t="s">
        <v>75</v>
      </c>
      <c r="J223" s="2" t="s">
        <v>30</v>
      </c>
      <c r="K223" s="2" t="s">
        <v>157</v>
      </c>
      <c r="L223" s="2" t="s">
        <v>32</v>
      </c>
      <c r="M223" s="2" t="s">
        <v>33</v>
      </c>
      <c r="N223" s="2" t="s">
        <v>27</v>
      </c>
      <c r="O223" s="1">
        <v>41638</v>
      </c>
      <c r="P223" s="3">
        <v>2.39</v>
      </c>
      <c r="Q223" s="3">
        <v>4.26</v>
      </c>
      <c r="R223" s="3">
        <f t="shared" si="19"/>
        <v>1.8699999999999997</v>
      </c>
      <c r="S223" s="2">
        <v>26</v>
      </c>
      <c r="T223" s="3">
        <f t="shared" si="20"/>
        <v>110.75999999999999</v>
      </c>
      <c r="U223" s="4">
        <v>0.1</v>
      </c>
      <c r="V223" s="6">
        <f t="shared" si="21"/>
        <v>11.076000000000001</v>
      </c>
      <c r="W223" s="6">
        <f t="shared" si="22"/>
        <v>99.683999999999997</v>
      </c>
      <c r="X223" s="3">
        <v>1.2</v>
      </c>
      <c r="Y223" s="5">
        <f t="shared" si="23"/>
        <v>100.884</v>
      </c>
    </row>
    <row r="224" spans="1:25" x14ac:dyDescent="0.2">
      <c r="A224" t="s">
        <v>1149</v>
      </c>
      <c r="B224" s="1">
        <v>41637</v>
      </c>
      <c r="C224" s="2" t="str">
        <f t="shared" si="18"/>
        <v>2013</v>
      </c>
      <c r="D224" s="2" t="s">
        <v>298</v>
      </c>
      <c r="E224" s="2" t="s">
        <v>87</v>
      </c>
      <c r="F224" s="2" t="s">
        <v>36</v>
      </c>
      <c r="G224" s="2" t="s">
        <v>37</v>
      </c>
      <c r="H224" s="2" t="s">
        <v>42</v>
      </c>
      <c r="I224" s="2" t="s">
        <v>43</v>
      </c>
      <c r="J224" s="2" t="s">
        <v>52</v>
      </c>
      <c r="K224" s="2" t="s">
        <v>111</v>
      </c>
      <c r="L224" s="2" t="s">
        <v>25</v>
      </c>
      <c r="M224" s="2" t="s">
        <v>26</v>
      </c>
      <c r="N224" s="2" t="s">
        <v>27</v>
      </c>
      <c r="O224" s="1">
        <v>41638</v>
      </c>
      <c r="P224" s="3">
        <v>60.59</v>
      </c>
      <c r="Q224" s="3">
        <v>100.98</v>
      </c>
      <c r="R224" s="3">
        <f t="shared" si="19"/>
        <v>40.39</v>
      </c>
      <c r="S224" s="2">
        <v>1</v>
      </c>
      <c r="T224" s="3">
        <f t="shared" si="20"/>
        <v>100.98</v>
      </c>
      <c r="U224" s="4">
        <v>0.1</v>
      </c>
      <c r="V224" s="6">
        <f t="shared" si="21"/>
        <v>10.098000000000001</v>
      </c>
      <c r="W224" s="6">
        <f t="shared" si="22"/>
        <v>90.882000000000005</v>
      </c>
      <c r="X224" s="3">
        <v>7.18</v>
      </c>
      <c r="Y224" s="5">
        <f t="shared" si="23"/>
        <v>98.062000000000012</v>
      </c>
    </row>
    <row r="225" spans="1:25" x14ac:dyDescent="0.2">
      <c r="A225" t="s">
        <v>1150</v>
      </c>
      <c r="B225" s="1">
        <v>41638</v>
      </c>
      <c r="C225" s="2" t="str">
        <f t="shared" si="18"/>
        <v>2013</v>
      </c>
      <c r="D225" s="2" t="s">
        <v>795</v>
      </c>
      <c r="E225" s="2" t="s">
        <v>550</v>
      </c>
      <c r="F225" s="2" t="s">
        <v>36</v>
      </c>
      <c r="G225" s="2" t="s">
        <v>37</v>
      </c>
      <c r="H225" s="2" t="s">
        <v>42</v>
      </c>
      <c r="I225" s="2" t="s">
        <v>43</v>
      </c>
      <c r="J225" s="2" t="s">
        <v>44</v>
      </c>
      <c r="K225" s="2" t="s">
        <v>429</v>
      </c>
      <c r="L225" s="2" t="s">
        <v>32</v>
      </c>
      <c r="M225" s="2" t="s">
        <v>58</v>
      </c>
      <c r="N225" s="2" t="s">
        <v>27</v>
      </c>
      <c r="O225" s="1">
        <v>41639</v>
      </c>
      <c r="P225" s="3">
        <v>4.0999999999999996</v>
      </c>
      <c r="Q225" s="3">
        <v>9.31</v>
      </c>
      <c r="R225" s="3">
        <f t="shared" si="19"/>
        <v>5.2100000000000009</v>
      </c>
      <c r="S225" s="2">
        <v>18</v>
      </c>
      <c r="T225" s="3">
        <f t="shared" si="20"/>
        <v>167.58</v>
      </c>
      <c r="U225" s="4">
        <v>0.01</v>
      </c>
      <c r="V225" s="6">
        <f t="shared" si="21"/>
        <v>1.6758000000000002</v>
      </c>
      <c r="W225" s="6">
        <f t="shared" si="22"/>
        <v>165.9042</v>
      </c>
      <c r="X225" s="3">
        <v>3.98</v>
      </c>
      <c r="Y225" s="5">
        <f t="shared" si="23"/>
        <v>169.88419999999999</v>
      </c>
    </row>
    <row r="226" spans="1:25" x14ac:dyDescent="0.2">
      <c r="A226" t="s">
        <v>1151</v>
      </c>
      <c r="B226" s="1">
        <v>41638</v>
      </c>
      <c r="C226" s="2" t="str">
        <f t="shared" si="18"/>
        <v>2013</v>
      </c>
      <c r="D226" s="2" t="s">
        <v>651</v>
      </c>
      <c r="E226" s="2" t="s">
        <v>69</v>
      </c>
      <c r="F226" s="2" t="s">
        <v>19</v>
      </c>
      <c r="G226" s="2" t="s">
        <v>20</v>
      </c>
      <c r="H226" s="2" t="s">
        <v>42</v>
      </c>
      <c r="I226" s="2" t="s">
        <v>22</v>
      </c>
      <c r="J226" s="2" t="s">
        <v>23</v>
      </c>
      <c r="K226" s="2" t="s">
        <v>39</v>
      </c>
      <c r="L226" s="2" t="s">
        <v>32</v>
      </c>
      <c r="M226" s="2" t="s">
        <v>26</v>
      </c>
      <c r="N226" s="2" t="s">
        <v>27</v>
      </c>
      <c r="O226" s="1">
        <v>41638</v>
      </c>
      <c r="P226" s="3">
        <v>13.64</v>
      </c>
      <c r="Q226" s="3">
        <v>20.98</v>
      </c>
      <c r="R226" s="3">
        <f t="shared" si="19"/>
        <v>7.34</v>
      </c>
      <c r="S226" s="2">
        <v>23</v>
      </c>
      <c r="T226" s="3">
        <f t="shared" si="20"/>
        <v>482.54</v>
      </c>
      <c r="U226" s="4">
        <v>0.03</v>
      </c>
      <c r="V226" s="6">
        <f t="shared" si="21"/>
        <v>14.4762</v>
      </c>
      <c r="W226" s="6">
        <f t="shared" si="22"/>
        <v>468.06380000000001</v>
      </c>
      <c r="X226" s="3">
        <v>1.49</v>
      </c>
      <c r="Y226" s="5">
        <f t="shared" si="23"/>
        <v>469.55380000000002</v>
      </c>
    </row>
    <row r="227" spans="1:25" x14ac:dyDescent="0.2">
      <c r="A227" t="s">
        <v>874</v>
      </c>
      <c r="B227" s="1">
        <v>41643</v>
      </c>
      <c r="C227" s="2" t="str">
        <f t="shared" si="18"/>
        <v>2014</v>
      </c>
      <c r="D227" s="2" t="s">
        <v>203</v>
      </c>
      <c r="E227" s="2" t="s">
        <v>204</v>
      </c>
      <c r="F227" s="2" t="s">
        <v>36</v>
      </c>
      <c r="G227" s="2" t="s">
        <v>37</v>
      </c>
      <c r="H227" s="2" t="s">
        <v>29</v>
      </c>
      <c r="I227" s="2" t="s">
        <v>142</v>
      </c>
      <c r="J227" s="2" t="s">
        <v>66</v>
      </c>
      <c r="K227" s="2" t="s">
        <v>411</v>
      </c>
      <c r="L227" s="2" t="s">
        <v>32</v>
      </c>
      <c r="M227" s="2" t="s">
        <v>26</v>
      </c>
      <c r="N227" s="2" t="s">
        <v>27</v>
      </c>
      <c r="O227" s="1">
        <v>41645</v>
      </c>
      <c r="P227" s="3">
        <v>3.52</v>
      </c>
      <c r="Q227" s="3">
        <v>5.58</v>
      </c>
      <c r="R227" s="3">
        <f t="shared" si="19"/>
        <v>2.06</v>
      </c>
      <c r="S227" s="2">
        <v>49</v>
      </c>
      <c r="T227" s="3">
        <f t="shared" si="20"/>
        <v>273.42</v>
      </c>
      <c r="U227" s="4">
        <v>0.02</v>
      </c>
      <c r="V227" s="6">
        <f t="shared" si="21"/>
        <v>5.4684000000000008</v>
      </c>
      <c r="W227" s="6">
        <f t="shared" si="22"/>
        <v>267.95160000000004</v>
      </c>
      <c r="X227" s="3">
        <v>2.99</v>
      </c>
      <c r="Y227" s="5">
        <f t="shared" si="23"/>
        <v>270.94160000000005</v>
      </c>
    </row>
    <row r="228" spans="1:25" x14ac:dyDescent="0.2">
      <c r="A228" t="s">
        <v>875</v>
      </c>
      <c r="B228" s="1">
        <v>41643</v>
      </c>
      <c r="C228" s="2" t="str">
        <f t="shared" si="18"/>
        <v>2014</v>
      </c>
      <c r="D228" s="2" t="s">
        <v>203</v>
      </c>
      <c r="E228" s="2" t="s">
        <v>204</v>
      </c>
      <c r="F228" s="2" t="s">
        <v>36</v>
      </c>
      <c r="G228" s="2" t="s">
        <v>37</v>
      </c>
      <c r="H228" s="2" t="s">
        <v>29</v>
      </c>
      <c r="I228" s="2" t="s">
        <v>142</v>
      </c>
      <c r="J228" s="2" t="s">
        <v>66</v>
      </c>
      <c r="K228" s="2" t="s">
        <v>687</v>
      </c>
      <c r="L228" s="2" t="s">
        <v>32</v>
      </c>
      <c r="M228" s="2" t="s">
        <v>26</v>
      </c>
      <c r="N228" s="2" t="s">
        <v>27</v>
      </c>
      <c r="O228" s="1">
        <v>41644</v>
      </c>
      <c r="P228" s="3">
        <v>22.18</v>
      </c>
      <c r="Q228" s="3">
        <v>54.1</v>
      </c>
      <c r="R228" s="3">
        <f t="shared" si="19"/>
        <v>31.92</v>
      </c>
      <c r="S228" s="2">
        <v>42</v>
      </c>
      <c r="T228" s="3">
        <f t="shared" si="20"/>
        <v>2272.2000000000003</v>
      </c>
      <c r="U228" s="4">
        <v>0.02</v>
      </c>
      <c r="V228" s="6">
        <f t="shared" si="21"/>
        <v>45.44400000000001</v>
      </c>
      <c r="W228" s="6">
        <f t="shared" si="22"/>
        <v>2226.7560000000003</v>
      </c>
      <c r="X228" s="3">
        <v>19.989999999999998</v>
      </c>
      <c r="Y228" s="5">
        <f t="shared" si="23"/>
        <v>2246.7460000000001</v>
      </c>
    </row>
    <row r="229" spans="1:25" x14ac:dyDescent="0.2">
      <c r="A229" t="s">
        <v>1152</v>
      </c>
      <c r="B229" s="1">
        <v>41646</v>
      </c>
      <c r="C229" s="2" t="str">
        <f t="shared" si="18"/>
        <v>2014</v>
      </c>
      <c r="D229" s="2" t="s">
        <v>358</v>
      </c>
      <c r="E229" s="2" t="s">
        <v>359</v>
      </c>
      <c r="F229" s="2" t="s">
        <v>36</v>
      </c>
      <c r="G229" s="2" t="s">
        <v>37</v>
      </c>
      <c r="H229" s="2" t="s">
        <v>21</v>
      </c>
      <c r="I229" s="2" t="s">
        <v>51</v>
      </c>
      <c r="J229" s="2" t="s">
        <v>44</v>
      </c>
      <c r="K229" s="2" t="s">
        <v>301</v>
      </c>
      <c r="L229" s="2" t="s">
        <v>32</v>
      </c>
      <c r="M229" s="2" t="s">
        <v>26</v>
      </c>
      <c r="N229" s="2" t="s">
        <v>27</v>
      </c>
      <c r="O229" s="1">
        <v>41646</v>
      </c>
      <c r="P229" s="3">
        <v>67.73</v>
      </c>
      <c r="Q229" s="3">
        <v>165.2</v>
      </c>
      <c r="R229" s="3">
        <f t="shared" si="19"/>
        <v>97.469999999999985</v>
      </c>
      <c r="S229" s="2">
        <v>49</v>
      </c>
      <c r="T229" s="3">
        <f t="shared" si="20"/>
        <v>8094.7999999999993</v>
      </c>
      <c r="U229" s="4">
        <v>0.05</v>
      </c>
      <c r="V229" s="6">
        <f t="shared" si="21"/>
        <v>404.74</v>
      </c>
      <c r="W229" s="6">
        <f t="shared" si="22"/>
        <v>7690.0599999999995</v>
      </c>
      <c r="X229" s="3">
        <v>19.989999999999998</v>
      </c>
      <c r="Y229" s="5">
        <f t="shared" si="23"/>
        <v>7710.0499999999993</v>
      </c>
    </row>
    <row r="230" spans="1:25" x14ac:dyDescent="0.2">
      <c r="A230" t="s">
        <v>1153</v>
      </c>
      <c r="B230" s="1">
        <v>41646</v>
      </c>
      <c r="C230" s="2" t="str">
        <f t="shared" si="18"/>
        <v>2014</v>
      </c>
      <c r="D230" s="2" t="s">
        <v>794</v>
      </c>
      <c r="E230" s="2" t="s">
        <v>444</v>
      </c>
      <c r="F230" s="2" t="s">
        <v>36</v>
      </c>
      <c r="G230" s="2" t="s">
        <v>37</v>
      </c>
      <c r="H230" s="2" t="s">
        <v>21</v>
      </c>
      <c r="I230" s="2" t="s">
        <v>142</v>
      </c>
      <c r="J230" s="2" t="s">
        <v>30</v>
      </c>
      <c r="K230" s="2" t="s">
        <v>278</v>
      </c>
      <c r="L230" s="2" t="s">
        <v>32</v>
      </c>
      <c r="M230" s="2" t="s">
        <v>33</v>
      </c>
      <c r="N230" s="2" t="s">
        <v>27</v>
      </c>
      <c r="O230" s="1">
        <v>41647</v>
      </c>
      <c r="P230" s="3">
        <v>2.31</v>
      </c>
      <c r="Q230" s="3">
        <v>3.78</v>
      </c>
      <c r="R230" s="3">
        <f t="shared" si="19"/>
        <v>1.4699999999999998</v>
      </c>
      <c r="S230" s="2">
        <v>47</v>
      </c>
      <c r="T230" s="3">
        <f t="shared" si="20"/>
        <v>177.66</v>
      </c>
      <c r="U230" s="4">
        <v>0.02</v>
      </c>
      <c r="V230" s="6">
        <f t="shared" si="21"/>
        <v>3.5531999999999999</v>
      </c>
      <c r="W230" s="6">
        <f t="shared" si="22"/>
        <v>174.10679999999999</v>
      </c>
      <c r="X230" s="3">
        <v>0.71</v>
      </c>
      <c r="Y230" s="5">
        <f t="shared" si="23"/>
        <v>174.8168</v>
      </c>
    </row>
    <row r="231" spans="1:25" x14ac:dyDescent="0.2">
      <c r="A231" t="s">
        <v>1154</v>
      </c>
      <c r="B231" s="1">
        <v>41647</v>
      </c>
      <c r="C231" s="2" t="str">
        <f t="shared" si="18"/>
        <v>2014</v>
      </c>
      <c r="D231" s="2" t="s">
        <v>462</v>
      </c>
      <c r="E231" s="2" t="s">
        <v>188</v>
      </c>
      <c r="F231" s="2" t="s">
        <v>36</v>
      </c>
      <c r="G231" s="2" t="s">
        <v>37</v>
      </c>
      <c r="H231" s="2" t="s">
        <v>42</v>
      </c>
      <c r="I231" s="2" t="s">
        <v>75</v>
      </c>
      <c r="J231" s="2" t="s">
        <v>23</v>
      </c>
      <c r="K231" s="2" t="s">
        <v>287</v>
      </c>
      <c r="L231" s="2" t="s">
        <v>32</v>
      </c>
      <c r="M231" s="2" t="s">
        <v>26</v>
      </c>
      <c r="N231" s="2" t="s">
        <v>27</v>
      </c>
      <c r="O231" s="1">
        <v>41654</v>
      </c>
      <c r="P231" s="3">
        <v>13.88</v>
      </c>
      <c r="Q231" s="3">
        <v>22.38</v>
      </c>
      <c r="R231" s="3">
        <f t="shared" si="19"/>
        <v>8.4999999999999982</v>
      </c>
      <c r="S231" s="2">
        <v>21</v>
      </c>
      <c r="T231" s="3">
        <f t="shared" si="20"/>
        <v>469.97999999999996</v>
      </c>
      <c r="U231" s="4">
        <v>0.04</v>
      </c>
      <c r="V231" s="6">
        <f t="shared" si="21"/>
        <v>18.799199999999999</v>
      </c>
      <c r="W231" s="6">
        <f t="shared" si="22"/>
        <v>451.18079999999998</v>
      </c>
      <c r="X231" s="3">
        <v>15.1</v>
      </c>
      <c r="Y231" s="5">
        <f t="shared" si="23"/>
        <v>466.2808</v>
      </c>
    </row>
    <row r="232" spans="1:25" x14ac:dyDescent="0.2">
      <c r="A232" t="s">
        <v>1155</v>
      </c>
      <c r="B232" s="1">
        <v>41647</v>
      </c>
      <c r="C232" s="2" t="str">
        <f t="shared" si="18"/>
        <v>2014</v>
      </c>
      <c r="D232" s="2" t="s">
        <v>259</v>
      </c>
      <c r="E232" s="2" t="s">
        <v>222</v>
      </c>
      <c r="F232" s="2" t="s">
        <v>19</v>
      </c>
      <c r="G232" s="2" t="s">
        <v>20</v>
      </c>
      <c r="H232" s="2" t="s">
        <v>50</v>
      </c>
      <c r="I232" s="2" t="s">
        <v>92</v>
      </c>
      <c r="J232" s="2" t="s">
        <v>23</v>
      </c>
      <c r="K232" s="2" t="s">
        <v>236</v>
      </c>
      <c r="L232" s="2" t="s">
        <v>32</v>
      </c>
      <c r="M232" s="2" t="s">
        <v>33</v>
      </c>
      <c r="N232" s="2" t="s">
        <v>27</v>
      </c>
      <c r="O232" s="1">
        <v>41651</v>
      </c>
      <c r="P232" s="3">
        <v>1.3</v>
      </c>
      <c r="Q232" s="3">
        <v>2.88</v>
      </c>
      <c r="R232" s="3">
        <f t="shared" si="19"/>
        <v>1.5799999999999998</v>
      </c>
      <c r="S232" s="2">
        <v>46</v>
      </c>
      <c r="T232" s="3">
        <f t="shared" si="20"/>
        <v>132.47999999999999</v>
      </c>
      <c r="U232" s="4">
        <v>0.04</v>
      </c>
      <c r="V232" s="6">
        <f t="shared" si="21"/>
        <v>5.2991999999999999</v>
      </c>
      <c r="W232" s="6">
        <f t="shared" si="22"/>
        <v>127.18079999999999</v>
      </c>
      <c r="X232" s="3">
        <v>1.01</v>
      </c>
      <c r="Y232" s="5">
        <f t="shared" si="23"/>
        <v>128.1908</v>
      </c>
    </row>
    <row r="233" spans="1:25" x14ac:dyDescent="0.2">
      <c r="A233" t="s">
        <v>876</v>
      </c>
      <c r="B233" s="1">
        <v>41649</v>
      </c>
      <c r="C233" s="2" t="str">
        <f t="shared" si="18"/>
        <v>2014</v>
      </c>
      <c r="D233" s="2" t="s">
        <v>763</v>
      </c>
      <c r="E233" s="2" t="s">
        <v>1918</v>
      </c>
      <c r="F233" s="2" t="s">
        <v>36</v>
      </c>
      <c r="G233" s="2" t="s">
        <v>37</v>
      </c>
      <c r="H233" s="2" t="s">
        <v>21</v>
      </c>
      <c r="I233" s="2" t="s">
        <v>102</v>
      </c>
      <c r="J233" s="2" t="s">
        <v>30</v>
      </c>
      <c r="K233" s="2" t="s">
        <v>189</v>
      </c>
      <c r="L233" s="2" t="s">
        <v>32</v>
      </c>
      <c r="M233" s="2" t="s">
        <v>26</v>
      </c>
      <c r="N233" s="2" t="s">
        <v>89</v>
      </c>
      <c r="O233" s="1">
        <v>41649</v>
      </c>
      <c r="P233" s="3">
        <v>3.4</v>
      </c>
      <c r="Q233" s="3">
        <v>5.4</v>
      </c>
      <c r="R233" s="3">
        <f t="shared" si="19"/>
        <v>2.0000000000000004</v>
      </c>
      <c r="S233" s="2">
        <v>9</v>
      </c>
      <c r="T233" s="3">
        <f t="shared" si="20"/>
        <v>48.6</v>
      </c>
      <c r="U233" s="4">
        <v>0.09</v>
      </c>
      <c r="V233" s="6">
        <f t="shared" si="21"/>
        <v>4.3739999999999997</v>
      </c>
      <c r="W233" s="6">
        <f t="shared" si="22"/>
        <v>44.225999999999999</v>
      </c>
      <c r="X233" s="3">
        <v>7.78</v>
      </c>
      <c r="Y233" s="5">
        <f t="shared" si="23"/>
        <v>52.006</v>
      </c>
    </row>
    <row r="234" spans="1:25" x14ac:dyDescent="0.2">
      <c r="A234" t="s">
        <v>877</v>
      </c>
      <c r="B234" s="1">
        <v>41649</v>
      </c>
      <c r="C234" s="2" t="str">
        <f t="shared" si="18"/>
        <v>2014</v>
      </c>
      <c r="D234" s="2" t="s">
        <v>763</v>
      </c>
      <c r="E234" s="2" t="s">
        <v>1918</v>
      </c>
      <c r="F234" s="2" t="s">
        <v>36</v>
      </c>
      <c r="G234" s="2" t="s">
        <v>37</v>
      </c>
      <c r="H234" s="2" t="s">
        <v>21</v>
      </c>
      <c r="I234" s="2" t="s">
        <v>102</v>
      </c>
      <c r="J234" s="2" t="s">
        <v>30</v>
      </c>
      <c r="K234" s="2" t="s">
        <v>139</v>
      </c>
      <c r="L234" s="2" t="s">
        <v>32</v>
      </c>
      <c r="M234" s="2" t="s">
        <v>58</v>
      </c>
      <c r="N234" s="2" t="s">
        <v>27</v>
      </c>
      <c r="O234" s="1">
        <v>41650</v>
      </c>
      <c r="P234" s="3">
        <v>0.94</v>
      </c>
      <c r="Q234" s="3">
        <v>2.08</v>
      </c>
      <c r="R234" s="3">
        <f t="shared" si="19"/>
        <v>1.1400000000000001</v>
      </c>
      <c r="S234" s="2">
        <v>43</v>
      </c>
      <c r="T234" s="3">
        <f t="shared" si="20"/>
        <v>89.44</v>
      </c>
      <c r="U234" s="4">
        <v>0.05</v>
      </c>
      <c r="V234" s="6">
        <f t="shared" si="21"/>
        <v>4.4720000000000004</v>
      </c>
      <c r="W234" s="6">
        <f t="shared" si="22"/>
        <v>84.968000000000004</v>
      </c>
      <c r="X234" s="3">
        <v>2.56</v>
      </c>
      <c r="Y234" s="5">
        <f t="shared" si="23"/>
        <v>87.528000000000006</v>
      </c>
    </row>
    <row r="235" spans="1:25" x14ac:dyDescent="0.2">
      <c r="A235" t="s">
        <v>1156</v>
      </c>
      <c r="B235" s="1">
        <v>41649</v>
      </c>
      <c r="C235" s="2" t="str">
        <f t="shared" si="18"/>
        <v>2014</v>
      </c>
      <c r="D235" s="2" t="s">
        <v>793</v>
      </c>
      <c r="E235" s="2" t="s">
        <v>400</v>
      </c>
      <c r="F235" s="2" t="s">
        <v>19</v>
      </c>
      <c r="G235" s="2" t="s">
        <v>20</v>
      </c>
      <c r="H235" s="2" t="s">
        <v>42</v>
      </c>
      <c r="I235" s="2" t="s">
        <v>22</v>
      </c>
      <c r="J235" s="2" t="s">
        <v>52</v>
      </c>
      <c r="K235" s="2" t="s">
        <v>260</v>
      </c>
      <c r="L235" s="2" t="s">
        <v>150</v>
      </c>
      <c r="M235" s="2" t="s">
        <v>261</v>
      </c>
      <c r="N235" s="2" t="s">
        <v>89</v>
      </c>
      <c r="O235" s="1">
        <v>41650</v>
      </c>
      <c r="P235" s="3">
        <v>56.16</v>
      </c>
      <c r="Q235" s="3">
        <v>136.97999999999999</v>
      </c>
      <c r="R235" s="3">
        <f t="shared" si="19"/>
        <v>80.819999999999993</v>
      </c>
      <c r="S235" s="2">
        <v>18</v>
      </c>
      <c r="T235" s="3">
        <f t="shared" si="20"/>
        <v>2465.64</v>
      </c>
      <c r="U235" s="4">
        <v>0.02</v>
      </c>
      <c r="V235" s="6">
        <f t="shared" si="21"/>
        <v>49.312799999999996</v>
      </c>
      <c r="W235" s="6">
        <f t="shared" si="22"/>
        <v>2416.3271999999997</v>
      </c>
      <c r="X235" s="3">
        <v>24.49</v>
      </c>
      <c r="Y235" s="5">
        <f t="shared" si="23"/>
        <v>2440.8171999999995</v>
      </c>
    </row>
    <row r="236" spans="1:25" x14ac:dyDescent="0.2">
      <c r="A236" t="s">
        <v>1157</v>
      </c>
      <c r="B236" s="1">
        <v>41652</v>
      </c>
      <c r="C236" s="2" t="str">
        <f t="shared" si="18"/>
        <v>2014</v>
      </c>
      <c r="D236" s="2" t="s">
        <v>294</v>
      </c>
      <c r="E236" s="2" t="s">
        <v>1922</v>
      </c>
      <c r="F236" s="2" t="s">
        <v>19</v>
      </c>
      <c r="G236" s="2" t="s">
        <v>20</v>
      </c>
      <c r="H236" s="2" t="s">
        <v>21</v>
      </c>
      <c r="I236" s="2" t="s">
        <v>22</v>
      </c>
      <c r="J236" s="2" t="s">
        <v>23</v>
      </c>
      <c r="K236" s="2" t="s">
        <v>775</v>
      </c>
      <c r="L236" s="2" t="s">
        <v>32</v>
      </c>
      <c r="M236" s="2" t="s">
        <v>26</v>
      </c>
      <c r="N236" s="2" t="s">
        <v>27</v>
      </c>
      <c r="O236" s="1">
        <v>41657</v>
      </c>
      <c r="P236" s="3">
        <v>21.56</v>
      </c>
      <c r="Q236" s="3">
        <v>35.94</v>
      </c>
      <c r="R236" s="3">
        <f t="shared" si="19"/>
        <v>14.379999999999999</v>
      </c>
      <c r="S236" s="2">
        <v>13</v>
      </c>
      <c r="T236" s="3">
        <f t="shared" si="20"/>
        <v>467.21999999999997</v>
      </c>
      <c r="U236" s="4">
        <v>0.09</v>
      </c>
      <c r="V236" s="6">
        <f t="shared" si="21"/>
        <v>42.049799999999998</v>
      </c>
      <c r="W236" s="6">
        <f t="shared" si="22"/>
        <v>425.17019999999997</v>
      </c>
      <c r="X236" s="3">
        <v>6.66</v>
      </c>
      <c r="Y236" s="5">
        <f t="shared" si="23"/>
        <v>431.83019999999999</v>
      </c>
    </row>
    <row r="237" spans="1:25" x14ac:dyDescent="0.2">
      <c r="A237" t="s">
        <v>1158</v>
      </c>
      <c r="B237" s="1">
        <v>41653</v>
      </c>
      <c r="C237" s="2" t="str">
        <f t="shared" si="18"/>
        <v>2014</v>
      </c>
      <c r="D237" s="2" t="s">
        <v>790</v>
      </c>
      <c r="E237" s="2" t="s">
        <v>791</v>
      </c>
      <c r="F237" s="2" t="s">
        <v>36</v>
      </c>
      <c r="G237" s="2" t="s">
        <v>37</v>
      </c>
      <c r="H237" s="2" t="s">
        <v>29</v>
      </c>
      <c r="I237" s="2" t="s">
        <v>79</v>
      </c>
      <c r="J237" s="2" t="s">
        <v>52</v>
      </c>
      <c r="K237" s="2" t="s">
        <v>189</v>
      </c>
      <c r="L237" s="2" t="s">
        <v>32</v>
      </c>
      <c r="M237" s="2" t="s">
        <v>26</v>
      </c>
      <c r="N237" s="2" t="s">
        <v>89</v>
      </c>
      <c r="O237" s="1">
        <v>41655</v>
      </c>
      <c r="P237" s="3">
        <v>3.4</v>
      </c>
      <c r="Q237" s="3">
        <v>5.4</v>
      </c>
      <c r="R237" s="3">
        <f t="shared" si="19"/>
        <v>2.0000000000000004</v>
      </c>
      <c r="S237" s="2">
        <v>14</v>
      </c>
      <c r="T237" s="3">
        <f t="shared" si="20"/>
        <v>75.600000000000009</v>
      </c>
      <c r="U237" s="4">
        <v>0.09</v>
      </c>
      <c r="V237" s="6">
        <f t="shared" si="21"/>
        <v>6.8040000000000003</v>
      </c>
      <c r="W237" s="6">
        <f t="shared" si="22"/>
        <v>68.796000000000006</v>
      </c>
      <c r="X237" s="3">
        <v>7.78</v>
      </c>
      <c r="Y237" s="5">
        <f t="shared" si="23"/>
        <v>76.576000000000008</v>
      </c>
    </row>
    <row r="238" spans="1:25" x14ac:dyDescent="0.2">
      <c r="A238" t="s">
        <v>1159</v>
      </c>
      <c r="B238" s="1">
        <v>41653</v>
      </c>
      <c r="C238" s="2" t="str">
        <f t="shared" si="18"/>
        <v>2014</v>
      </c>
      <c r="D238" s="2" t="s">
        <v>792</v>
      </c>
      <c r="E238" s="2" t="s">
        <v>130</v>
      </c>
      <c r="F238" s="2" t="s">
        <v>36</v>
      </c>
      <c r="G238" s="2" t="s">
        <v>37</v>
      </c>
      <c r="H238" s="2" t="s">
        <v>21</v>
      </c>
      <c r="I238" s="2" t="s">
        <v>79</v>
      </c>
      <c r="J238" s="2" t="s">
        <v>52</v>
      </c>
      <c r="K238" s="2" t="s">
        <v>410</v>
      </c>
      <c r="L238" s="2" t="s">
        <v>32</v>
      </c>
      <c r="M238" s="2" t="s">
        <v>33</v>
      </c>
      <c r="N238" s="2" t="s">
        <v>27</v>
      </c>
      <c r="O238" s="1">
        <v>41656</v>
      </c>
      <c r="P238" s="3">
        <v>1.95</v>
      </c>
      <c r="Q238" s="3">
        <v>3.98</v>
      </c>
      <c r="R238" s="3">
        <f t="shared" si="19"/>
        <v>2.0300000000000002</v>
      </c>
      <c r="S238" s="2">
        <v>41</v>
      </c>
      <c r="T238" s="3">
        <f t="shared" si="20"/>
        <v>163.18</v>
      </c>
      <c r="U238" s="4">
        <v>7.0000000000000007E-2</v>
      </c>
      <c r="V238" s="6">
        <f t="shared" si="21"/>
        <v>11.422600000000001</v>
      </c>
      <c r="W238" s="6">
        <f t="shared" si="22"/>
        <v>151.75740000000002</v>
      </c>
      <c r="X238" s="3">
        <v>0.83</v>
      </c>
      <c r="Y238" s="5">
        <f t="shared" si="23"/>
        <v>152.58740000000003</v>
      </c>
    </row>
    <row r="239" spans="1:25" x14ac:dyDescent="0.2">
      <c r="A239" t="s">
        <v>1160</v>
      </c>
      <c r="B239" s="1">
        <v>41654</v>
      </c>
      <c r="C239" s="2" t="str">
        <f t="shared" si="18"/>
        <v>2014</v>
      </c>
      <c r="D239" s="2" t="s">
        <v>479</v>
      </c>
      <c r="E239" s="2" t="s">
        <v>1906</v>
      </c>
      <c r="F239" s="2" t="s">
        <v>1881</v>
      </c>
      <c r="G239" s="2" t="s">
        <v>1882</v>
      </c>
      <c r="H239" s="2" t="s">
        <v>50</v>
      </c>
      <c r="I239" s="2" t="s">
        <v>51</v>
      </c>
      <c r="J239" s="2" t="s">
        <v>30</v>
      </c>
      <c r="K239" s="2" t="s">
        <v>88</v>
      </c>
      <c r="L239" s="2" t="s">
        <v>32</v>
      </c>
      <c r="M239" s="2" t="s">
        <v>58</v>
      </c>
      <c r="N239" s="2" t="s">
        <v>89</v>
      </c>
      <c r="O239" s="1">
        <v>41656</v>
      </c>
      <c r="P239" s="3">
        <v>5.19</v>
      </c>
      <c r="Q239" s="3">
        <v>12.98</v>
      </c>
      <c r="R239" s="3">
        <f t="shared" si="19"/>
        <v>7.79</v>
      </c>
      <c r="S239" s="2">
        <v>34</v>
      </c>
      <c r="T239" s="3">
        <f t="shared" si="20"/>
        <v>441.32</v>
      </c>
      <c r="U239" s="4">
        <v>0.04</v>
      </c>
      <c r="V239" s="6">
        <f t="shared" si="21"/>
        <v>17.652799999999999</v>
      </c>
      <c r="W239" s="6">
        <f t="shared" si="22"/>
        <v>423.66719999999998</v>
      </c>
      <c r="X239" s="3">
        <v>3.14</v>
      </c>
      <c r="Y239" s="5">
        <f t="shared" si="23"/>
        <v>426.80719999999997</v>
      </c>
    </row>
    <row r="240" spans="1:25" x14ac:dyDescent="0.2">
      <c r="A240" t="s">
        <v>1161</v>
      </c>
      <c r="B240" s="1">
        <v>41654</v>
      </c>
      <c r="C240" s="2" t="str">
        <f t="shared" si="18"/>
        <v>2014</v>
      </c>
      <c r="D240" s="2" t="s">
        <v>789</v>
      </c>
      <c r="E240" s="2" t="s">
        <v>55</v>
      </c>
      <c r="F240" s="2" t="s">
        <v>36</v>
      </c>
      <c r="G240" s="2" t="s">
        <v>37</v>
      </c>
      <c r="H240" s="2" t="s">
        <v>21</v>
      </c>
      <c r="I240" s="2" t="s">
        <v>56</v>
      </c>
      <c r="J240" s="2" t="s">
        <v>30</v>
      </c>
      <c r="K240" s="2" t="s">
        <v>304</v>
      </c>
      <c r="L240" s="2" t="s">
        <v>25</v>
      </c>
      <c r="M240" s="2" t="s">
        <v>62</v>
      </c>
      <c r="N240" s="2" t="s">
        <v>63</v>
      </c>
      <c r="O240" s="1">
        <v>41656</v>
      </c>
      <c r="P240" s="3">
        <v>219.61</v>
      </c>
      <c r="Q240" s="3">
        <v>535.64</v>
      </c>
      <c r="R240" s="3">
        <f t="shared" si="19"/>
        <v>316.02999999999997</v>
      </c>
      <c r="S240" s="2">
        <v>1</v>
      </c>
      <c r="T240" s="3">
        <f t="shared" si="20"/>
        <v>535.64</v>
      </c>
      <c r="U240" s="4">
        <v>0.05</v>
      </c>
      <c r="V240" s="6">
        <f t="shared" si="21"/>
        <v>26.782</v>
      </c>
      <c r="W240" s="6">
        <f t="shared" si="22"/>
        <v>508.858</v>
      </c>
      <c r="X240" s="3">
        <v>14.7</v>
      </c>
      <c r="Y240" s="5">
        <f t="shared" si="23"/>
        <v>523.55799999999999</v>
      </c>
    </row>
    <row r="241" spans="1:25" x14ac:dyDescent="0.2">
      <c r="A241" t="s">
        <v>1162</v>
      </c>
      <c r="B241" s="1">
        <v>41656</v>
      </c>
      <c r="C241" s="2" t="str">
        <f t="shared" si="18"/>
        <v>2014</v>
      </c>
      <c r="D241" s="2" t="s">
        <v>499</v>
      </c>
      <c r="E241" s="2" t="s">
        <v>1889</v>
      </c>
      <c r="F241" s="2" t="s">
        <v>1881</v>
      </c>
      <c r="G241" s="2" t="s">
        <v>1882</v>
      </c>
      <c r="H241" s="2" t="s">
        <v>21</v>
      </c>
      <c r="I241" s="2" t="s">
        <v>51</v>
      </c>
      <c r="J241" s="2" t="s">
        <v>66</v>
      </c>
      <c r="K241" s="2" t="s">
        <v>227</v>
      </c>
      <c r="L241" s="2" t="s">
        <v>32</v>
      </c>
      <c r="M241" s="2" t="s">
        <v>26</v>
      </c>
      <c r="N241" s="2" t="s">
        <v>27</v>
      </c>
      <c r="O241" s="1">
        <v>41658</v>
      </c>
      <c r="P241" s="3">
        <v>3.84</v>
      </c>
      <c r="Q241" s="3">
        <v>6.3</v>
      </c>
      <c r="R241" s="3">
        <f t="shared" si="19"/>
        <v>2.46</v>
      </c>
      <c r="S241" s="2">
        <v>32</v>
      </c>
      <c r="T241" s="3">
        <f t="shared" si="20"/>
        <v>201.6</v>
      </c>
      <c r="U241" s="4">
        <v>0.04</v>
      </c>
      <c r="V241" s="6">
        <f t="shared" si="21"/>
        <v>8.0640000000000001</v>
      </c>
      <c r="W241" s="6">
        <f t="shared" si="22"/>
        <v>193.536</v>
      </c>
      <c r="X241" s="3">
        <v>0.5</v>
      </c>
      <c r="Y241" s="5">
        <f t="shared" si="23"/>
        <v>194.036</v>
      </c>
    </row>
    <row r="242" spans="1:25" x14ac:dyDescent="0.2">
      <c r="A242" t="s">
        <v>1163</v>
      </c>
      <c r="B242" s="1">
        <v>41662</v>
      </c>
      <c r="C242" s="2" t="str">
        <f t="shared" si="18"/>
        <v>2014</v>
      </c>
      <c r="D242" s="2" t="s">
        <v>788</v>
      </c>
      <c r="E242" s="2" t="s">
        <v>477</v>
      </c>
      <c r="F242" s="2" t="s">
        <v>36</v>
      </c>
      <c r="G242" s="2" t="s">
        <v>37</v>
      </c>
      <c r="H242" s="2" t="s">
        <v>21</v>
      </c>
      <c r="I242" s="2" t="s">
        <v>83</v>
      </c>
      <c r="J242" s="2" t="s">
        <v>52</v>
      </c>
      <c r="K242" s="2" t="s">
        <v>31</v>
      </c>
      <c r="L242" s="2" t="s">
        <v>32</v>
      </c>
      <c r="M242" s="2" t="s">
        <v>33</v>
      </c>
      <c r="N242" s="2" t="s">
        <v>27</v>
      </c>
      <c r="O242" s="1">
        <v>41664</v>
      </c>
      <c r="P242" s="3">
        <v>0.93</v>
      </c>
      <c r="Q242" s="3">
        <v>1.48</v>
      </c>
      <c r="R242" s="3">
        <f t="shared" si="19"/>
        <v>0.54999999999999993</v>
      </c>
      <c r="S242" s="2">
        <v>27</v>
      </c>
      <c r="T242" s="3">
        <f t="shared" si="20"/>
        <v>39.96</v>
      </c>
      <c r="U242" s="4">
        <v>0</v>
      </c>
      <c r="V242" s="6">
        <f t="shared" si="21"/>
        <v>0</v>
      </c>
      <c r="W242" s="6">
        <f t="shared" si="22"/>
        <v>39.96</v>
      </c>
      <c r="X242" s="3">
        <v>0.7</v>
      </c>
      <c r="Y242" s="5">
        <f t="shared" si="23"/>
        <v>40.660000000000004</v>
      </c>
    </row>
    <row r="243" spans="1:25" x14ac:dyDescent="0.2">
      <c r="A243" t="s">
        <v>1164</v>
      </c>
      <c r="B243" s="1">
        <v>41663</v>
      </c>
      <c r="C243" s="2" t="str">
        <f t="shared" si="18"/>
        <v>2014</v>
      </c>
      <c r="D243" s="2" t="s">
        <v>786</v>
      </c>
      <c r="E243" s="2" t="s">
        <v>194</v>
      </c>
      <c r="F243" s="2" t="s">
        <v>36</v>
      </c>
      <c r="G243" s="2" t="s">
        <v>37</v>
      </c>
      <c r="H243" s="2" t="s">
        <v>50</v>
      </c>
      <c r="I243" s="2" t="s">
        <v>51</v>
      </c>
      <c r="J243" s="2" t="s">
        <v>44</v>
      </c>
      <c r="K243" s="2" t="s">
        <v>787</v>
      </c>
      <c r="L243" s="2" t="s">
        <v>25</v>
      </c>
      <c r="M243" s="2" t="s">
        <v>62</v>
      </c>
      <c r="N243" s="2" t="s">
        <v>63</v>
      </c>
      <c r="O243" s="1">
        <v>41665</v>
      </c>
      <c r="P243" s="3">
        <v>76.790000000000006</v>
      </c>
      <c r="Q243" s="3">
        <v>119.99</v>
      </c>
      <c r="R243" s="3">
        <f t="shared" si="19"/>
        <v>43.199999999999989</v>
      </c>
      <c r="S243" s="2">
        <v>13</v>
      </c>
      <c r="T243" s="3">
        <f t="shared" si="20"/>
        <v>1559.87</v>
      </c>
      <c r="U243" s="4">
        <v>0.04</v>
      </c>
      <c r="V243" s="6">
        <f t="shared" si="21"/>
        <v>62.394799999999996</v>
      </c>
      <c r="W243" s="6">
        <f t="shared" si="22"/>
        <v>1497.4751999999999</v>
      </c>
      <c r="X243" s="3">
        <v>14</v>
      </c>
      <c r="Y243" s="5">
        <f t="shared" si="23"/>
        <v>1511.4751999999999</v>
      </c>
    </row>
    <row r="244" spans="1:25" x14ac:dyDescent="0.2">
      <c r="A244" t="s">
        <v>1165</v>
      </c>
      <c r="B244" s="1">
        <v>41664</v>
      </c>
      <c r="C244" s="2" t="str">
        <f t="shared" si="18"/>
        <v>2014</v>
      </c>
      <c r="D244" s="2" t="s">
        <v>309</v>
      </c>
      <c r="E244" s="2" t="s">
        <v>49</v>
      </c>
      <c r="F244" s="2" t="s">
        <v>36</v>
      </c>
      <c r="G244" s="2" t="s">
        <v>37</v>
      </c>
      <c r="H244" s="2" t="s">
        <v>21</v>
      </c>
      <c r="I244" s="2" t="s">
        <v>51</v>
      </c>
      <c r="J244" s="2" t="s">
        <v>30</v>
      </c>
      <c r="K244" s="2" t="s">
        <v>163</v>
      </c>
      <c r="L244" s="2" t="s">
        <v>32</v>
      </c>
      <c r="M244" s="2" t="s">
        <v>33</v>
      </c>
      <c r="N244" s="2" t="s">
        <v>27</v>
      </c>
      <c r="O244" s="1">
        <v>41666</v>
      </c>
      <c r="P244" s="3">
        <v>1.0900000000000001</v>
      </c>
      <c r="Q244" s="3">
        <v>2.6</v>
      </c>
      <c r="R244" s="3">
        <f t="shared" si="19"/>
        <v>1.51</v>
      </c>
      <c r="S244" s="2">
        <v>27</v>
      </c>
      <c r="T244" s="3">
        <f t="shared" si="20"/>
        <v>70.2</v>
      </c>
      <c r="U244" s="4">
        <v>0.09</v>
      </c>
      <c r="V244" s="6">
        <f t="shared" si="21"/>
        <v>6.3179999999999996</v>
      </c>
      <c r="W244" s="6">
        <f t="shared" si="22"/>
        <v>63.882000000000005</v>
      </c>
      <c r="X244" s="3">
        <v>2.4</v>
      </c>
      <c r="Y244" s="5">
        <f t="shared" si="23"/>
        <v>66.282000000000011</v>
      </c>
    </row>
    <row r="245" spans="1:25" x14ac:dyDescent="0.2">
      <c r="A245" t="s">
        <v>1166</v>
      </c>
      <c r="B245" s="1">
        <v>41665</v>
      </c>
      <c r="C245" s="2" t="str">
        <f t="shared" si="18"/>
        <v>2014</v>
      </c>
      <c r="D245" s="2" t="s">
        <v>784</v>
      </c>
      <c r="E245" s="2" t="s">
        <v>69</v>
      </c>
      <c r="F245" s="2" t="s">
        <v>19</v>
      </c>
      <c r="G245" s="2" t="s">
        <v>20</v>
      </c>
      <c r="H245" s="2" t="s">
        <v>29</v>
      </c>
      <c r="I245" s="2" t="s">
        <v>22</v>
      </c>
      <c r="J245" s="2" t="s">
        <v>23</v>
      </c>
      <c r="K245" s="2" t="s">
        <v>149</v>
      </c>
      <c r="L245" s="2" t="s">
        <v>150</v>
      </c>
      <c r="M245" s="2" t="s">
        <v>58</v>
      </c>
      <c r="N245" s="2" t="s">
        <v>27</v>
      </c>
      <c r="O245" s="1">
        <v>41672</v>
      </c>
      <c r="P245" s="3">
        <v>5.5</v>
      </c>
      <c r="Q245" s="3">
        <v>12.22</v>
      </c>
      <c r="R245" s="3">
        <f t="shared" si="19"/>
        <v>6.7200000000000006</v>
      </c>
      <c r="S245" s="2">
        <v>19</v>
      </c>
      <c r="T245" s="3">
        <f t="shared" si="20"/>
        <v>232.18</v>
      </c>
      <c r="U245" s="4">
        <v>0.09</v>
      </c>
      <c r="V245" s="6">
        <f t="shared" si="21"/>
        <v>20.8962</v>
      </c>
      <c r="W245" s="6">
        <f t="shared" si="22"/>
        <v>211.28380000000001</v>
      </c>
      <c r="X245" s="3">
        <v>2.85</v>
      </c>
      <c r="Y245" s="5">
        <f t="shared" si="23"/>
        <v>214.13380000000001</v>
      </c>
    </row>
    <row r="246" spans="1:25" x14ac:dyDescent="0.2">
      <c r="A246" t="s">
        <v>1167</v>
      </c>
      <c r="B246" s="1">
        <v>41665</v>
      </c>
      <c r="C246" s="2" t="str">
        <f t="shared" si="18"/>
        <v>2014</v>
      </c>
      <c r="D246" s="2" t="s">
        <v>785</v>
      </c>
      <c r="E246" s="2" t="s">
        <v>1932</v>
      </c>
      <c r="F246" s="2" t="s">
        <v>36</v>
      </c>
      <c r="G246" s="2" t="s">
        <v>37</v>
      </c>
      <c r="H246" s="2" t="s">
        <v>50</v>
      </c>
      <c r="I246" s="2" t="s">
        <v>51</v>
      </c>
      <c r="J246" s="2" t="s">
        <v>66</v>
      </c>
      <c r="K246" s="2" t="s">
        <v>128</v>
      </c>
      <c r="L246" s="2" t="s">
        <v>25</v>
      </c>
      <c r="M246" s="2" t="s">
        <v>26</v>
      </c>
      <c r="N246" s="2" t="s">
        <v>27</v>
      </c>
      <c r="O246" s="1">
        <v>41666</v>
      </c>
      <c r="P246" s="3">
        <v>10.07</v>
      </c>
      <c r="Q246" s="3">
        <v>15.98</v>
      </c>
      <c r="R246" s="3">
        <f t="shared" si="19"/>
        <v>5.91</v>
      </c>
      <c r="S246" s="2">
        <v>8</v>
      </c>
      <c r="T246" s="3">
        <f t="shared" si="20"/>
        <v>127.84</v>
      </c>
      <c r="U246" s="4">
        <v>0.04</v>
      </c>
      <c r="V246" s="6">
        <f t="shared" si="21"/>
        <v>5.1135999999999999</v>
      </c>
      <c r="W246" s="6">
        <f t="shared" si="22"/>
        <v>122.7264</v>
      </c>
      <c r="X246" s="3">
        <v>4</v>
      </c>
      <c r="Y246" s="5">
        <f t="shared" si="23"/>
        <v>126.7264</v>
      </c>
    </row>
    <row r="247" spans="1:25" x14ac:dyDescent="0.2">
      <c r="A247" t="s">
        <v>1168</v>
      </c>
      <c r="B247" s="1">
        <v>41666</v>
      </c>
      <c r="C247" s="2" t="str">
        <f t="shared" si="18"/>
        <v>2014</v>
      </c>
      <c r="D247" s="2" t="s">
        <v>156</v>
      </c>
      <c r="E247" s="2" t="s">
        <v>46</v>
      </c>
      <c r="F247" s="2" t="s">
        <v>19</v>
      </c>
      <c r="G247" s="2" t="s">
        <v>20</v>
      </c>
      <c r="H247" s="2" t="s">
        <v>29</v>
      </c>
      <c r="I247" s="2" t="s">
        <v>22</v>
      </c>
      <c r="J247" s="2" t="s">
        <v>44</v>
      </c>
      <c r="K247" s="2" t="s">
        <v>300</v>
      </c>
      <c r="L247" s="2" t="s">
        <v>32</v>
      </c>
      <c r="M247" s="2" t="s">
        <v>26</v>
      </c>
      <c r="N247" s="2" t="s">
        <v>27</v>
      </c>
      <c r="O247" s="1">
        <v>41666</v>
      </c>
      <c r="P247" s="3">
        <v>5.33</v>
      </c>
      <c r="Q247" s="3">
        <v>8.6</v>
      </c>
      <c r="R247" s="3">
        <f t="shared" si="19"/>
        <v>3.2699999999999996</v>
      </c>
      <c r="S247" s="2">
        <v>4</v>
      </c>
      <c r="T247" s="3">
        <f t="shared" si="20"/>
        <v>34.4</v>
      </c>
      <c r="U247" s="4">
        <v>0.04</v>
      </c>
      <c r="V247" s="6">
        <f t="shared" si="21"/>
        <v>1.3759999999999999</v>
      </c>
      <c r="W247" s="6">
        <f t="shared" si="22"/>
        <v>33.024000000000001</v>
      </c>
      <c r="X247" s="3">
        <v>6.19</v>
      </c>
      <c r="Y247" s="5">
        <f t="shared" si="23"/>
        <v>39.213999999999999</v>
      </c>
    </row>
    <row r="248" spans="1:25" x14ac:dyDescent="0.2">
      <c r="A248" t="s">
        <v>1169</v>
      </c>
      <c r="B248" s="1">
        <v>41668</v>
      </c>
      <c r="C248" s="2" t="str">
        <f t="shared" si="18"/>
        <v>2014</v>
      </c>
      <c r="D248" s="2" t="s">
        <v>783</v>
      </c>
      <c r="E248" s="2" t="s">
        <v>136</v>
      </c>
      <c r="F248" s="2" t="s">
        <v>36</v>
      </c>
      <c r="G248" s="2" t="s">
        <v>37</v>
      </c>
      <c r="H248" s="2" t="s">
        <v>42</v>
      </c>
      <c r="I248" s="2" t="s">
        <v>43</v>
      </c>
      <c r="J248" s="2" t="s">
        <v>44</v>
      </c>
      <c r="K248" s="2" t="s">
        <v>277</v>
      </c>
      <c r="L248" s="2" t="s">
        <v>32</v>
      </c>
      <c r="M248" s="2" t="s">
        <v>26</v>
      </c>
      <c r="N248" s="2" t="s">
        <v>27</v>
      </c>
      <c r="O248" s="1">
        <v>41671</v>
      </c>
      <c r="P248" s="3">
        <v>54.29</v>
      </c>
      <c r="Q248" s="3">
        <v>90.48</v>
      </c>
      <c r="R248" s="3">
        <f t="shared" si="19"/>
        <v>36.190000000000005</v>
      </c>
      <c r="S248" s="2">
        <v>27</v>
      </c>
      <c r="T248" s="3">
        <f t="shared" si="20"/>
        <v>2442.96</v>
      </c>
      <c r="U248" s="4">
        <v>0</v>
      </c>
      <c r="V248" s="6">
        <f t="shared" si="21"/>
        <v>0</v>
      </c>
      <c r="W248" s="6">
        <f t="shared" si="22"/>
        <v>2442.96</v>
      </c>
      <c r="X248" s="3">
        <v>19.989999999999998</v>
      </c>
      <c r="Y248" s="5">
        <f t="shared" si="23"/>
        <v>2462.9499999999998</v>
      </c>
    </row>
    <row r="249" spans="1:25" x14ac:dyDescent="0.2">
      <c r="A249" t="s">
        <v>1170</v>
      </c>
      <c r="B249" s="1">
        <v>41669</v>
      </c>
      <c r="C249" s="2" t="str">
        <f t="shared" si="18"/>
        <v>2014</v>
      </c>
      <c r="D249" s="2" t="s">
        <v>782</v>
      </c>
      <c r="E249" s="2" t="s">
        <v>266</v>
      </c>
      <c r="F249" s="2" t="s">
        <v>36</v>
      </c>
      <c r="G249" s="2" t="s">
        <v>37</v>
      </c>
      <c r="H249" s="2" t="s">
        <v>50</v>
      </c>
      <c r="I249" s="2" t="s">
        <v>153</v>
      </c>
      <c r="J249" s="2" t="s">
        <v>66</v>
      </c>
      <c r="K249" s="2" t="s">
        <v>39</v>
      </c>
      <c r="L249" s="2" t="s">
        <v>32</v>
      </c>
      <c r="M249" s="2" t="s">
        <v>26</v>
      </c>
      <c r="N249" s="2" t="s">
        <v>27</v>
      </c>
      <c r="O249" s="1">
        <v>41671</v>
      </c>
      <c r="P249" s="3">
        <v>13.64</v>
      </c>
      <c r="Q249" s="3">
        <v>20.98</v>
      </c>
      <c r="R249" s="3">
        <f t="shared" si="19"/>
        <v>7.34</v>
      </c>
      <c r="S249" s="2">
        <v>31</v>
      </c>
      <c r="T249" s="3">
        <f t="shared" si="20"/>
        <v>650.38</v>
      </c>
      <c r="U249" s="4">
        <v>0.09</v>
      </c>
      <c r="V249" s="6">
        <f t="shared" si="21"/>
        <v>58.534199999999998</v>
      </c>
      <c r="W249" s="6">
        <f t="shared" si="22"/>
        <v>591.84580000000005</v>
      </c>
      <c r="X249" s="3">
        <v>1.49</v>
      </c>
      <c r="Y249" s="5">
        <f t="shared" si="23"/>
        <v>593.33580000000006</v>
      </c>
    </row>
    <row r="250" spans="1:25" x14ac:dyDescent="0.2">
      <c r="A250" t="s">
        <v>1171</v>
      </c>
      <c r="B250" s="1">
        <v>41669</v>
      </c>
      <c r="C250" s="2" t="str">
        <f t="shared" si="18"/>
        <v>2014</v>
      </c>
      <c r="D250" s="2" t="s">
        <v>303</v>
      </c>
      <c r="E250" s="2" t="s">
        <v>101</v>
      </c>
      <c r="F250" s="2" t="s">
        <v>36</v>
      </c>
      <c r="G250" s="2" t="s">
        <v>37</v>
      </c>
      <c r="H250" s="2" t="s">
        <v>42</v>
      </c>
      <c r="I250" s="2" t="s">
        <v>102</v>
      </c>
      <c r="J250" s="2" t="s">
        <v>30</v>
      </c>
      <c r="K250" s="2" t="s">
        <v>297</v>
      </c>
      <c r="L250" s="2" t="s">
        <v>32</v>
      </c>
      <c r="M250" s="2" t="s">
        <v>33</v>
      </c>
      <c r="N250" s="2" t="s">
        <v>27</v>
      </c>
      <c r="O250" s="1">
        <v>41671</v>
      </c>
      <c r="P250" s="3">
        <v>3.48</v>
      </c>
      <c r="Q250" s="3">
        <v>5.43</v>
      </c>
      <c r="R250" s="3">
        <f t="shared" si="19"/>
        <v>1.9499999999999997</v>
      </c>
      <c r="S250" s="2">
        <v>2</v>
      </c>
      <c r="T250" s="3">
        <f t="shared" si="20"/>
        <v>10.86</v>
      </c>
      <c r="U250" s="4">
        <v>0.1</v>
      </c>
      <c r="V250" s="6">
        <f t="shared" si="21"/>
        <v>1.0860000000000001</v>
      </c>
      <c r="W250" s="6">
        <f t="shared" si="22"/>
        <v>9.7739999999999991</v>
      </c>
      <c r="X250" s="3">
        <v>0.95</v>
      </c>
      <c r="Y250" s="5">
        <f t="shared" si="23"/>
        <v>10.723999999999998</v>
      </c>
    </row>
    <row r="251" spans="1:25" x14ac:dyDescent="0.2">
      <c r="A251" t="s">
        <v>1172</v>
      </c>
      <c r="B251" s="1">
        <v>41672</v>
      </c>
      <c r="C251" s="2" t="str">
        <f t="shared" si="18"/>
        <v>2014</v>
      </c>
      <c r="D251" s="2" t="s">
        <v>621</v>
      </c>
      <c r="E251" s="2" t="s">
        <v>91</v>
      </c>
      <c r="F251" s="2" t="s">
        <v>19</v>
      </c>
      <c r="G251" s="2" t="s">
        <v>20</v>
      </c>
      <c r="H251" s="2" t="s">
        <v>42</v>
      </c>
      <c r="I251" s="2" t="s">
        <v>22</v>
      </c>
      <c r="J251" s="2" t="s">
        <v>23</v>
      </c>
      <c r="K251" s="2" t="s">
        <v>332</v>
      </c>
      <c r="L251" s="2" t="s">
        <v>32</v>
      </c>
      <c r="M251" s="2" t="s">
        <v>26</v>
      </c>
      <c r="N251" s="2" t="s">
        <v>27</v>
      </c>
      <c r="O251" s="1">
        <v>41677</v>
      </c>
      <c r="P251" s="3">
        <v>2.25</v>
      </c>
      <c r="Q251" s="3">
        <v>3.69</v>
      </c>
      <c r="R251" s="3">
        <f t="shared" si="19"/>
        <v>1.44</v>
      </c>
      <c r="S251" s="2">
        <v>20</v>
      </c>
      <c r="T251" s="3">
        <f t="shared" si="20"/>
        <v>73.8</v>
      </c>
      <c r="U251" s="4">
        <v>0.08</v>
      </c>
      <c r="V251" s="6">
        <f t="shared" si="21"/>
        <v>5.9039999999999999</v>
      </c>
      <c r="W251" s="6">
        <f t="shared" si="22"/>
        <v>67.896000000000001</v>
      </c>
      <c r="X251" s="3">
        <v>2.5</v>
      </c>
      <c r="Y251" s="5">
        <f t="shared" si="23"/>
        <v>70.396000000000001</v>
      </c>
    </row>
    <row r="252" spans="1:25" x14ac:dyDescent="0.2">
      <c r="A252" t="s">
        <v>1173</v>
      </c>
      <c r="B252" s="1">
        <v>41673</v>
      </c>
      <c r="C252" s="2" t="str">
        <f t="shared" si="18"/>
        <v>2014</v>
      </c>
      <c r="D252" s="2" t="s">
        <v>781</v>
      </c>
      <c r="E252" s="2" t="s">
        <v>672</v>
      </c>
      <c r="F252" s="2" t="s">
        <v>36</v>
      </c>
      <c r="G252" s="2" t="s">
        <v>37</v>
      </c>
      <c r="H252" s="2" t="s">
        <v>42</v>
      </c>
      <c r="I252" s="2" t="s">
        <v>56</v>
      </c>
      <c r="J252" s="2" t="s">
        <v>66</v>
      </c>
      <c r="K252" s="2" t="s">
        <v>174</v>
      </c>
      <c r="L252" s="2" t="s">
        <v>25</v>
      </c>
      <c r="M252" s="2" t="s">
        <v>26</v>
      </c>
      <c r="N252" s="2" t="s">
        <v>27</v>
      </c>
      <c r="O252" s="1">
        <v>41674</v>
      </c>
      <c r="P252" s="3">
        <v>54.52</v>
      </c>
      <c r="Q252" s="3">
        <v>100.97</v>
      </c>
      <c r="R252" s="3">
        <f t="shared" si="19"/>
        <v>46.449999999999996</v>
      </c>
      <c r="S252" s="2">
        <v>15</v>
      </c>
      <c r="T252" s="3">
        <f t="shared" si="20"/>
        <v>1514.55</v>
      </c>
      <c r="U252" s="4">
        <v>0.08</v>
      </c>
      <c r="V252" s="6">
        <f t="shared" si="21"/>
        <v>121.164</v>
      </c>
      <c r="W252" s="6">
        <f t="shared" si="22"/>
        <v>1393.386</v>
      </c>
      <c r="X252" s="3">
        <v>7.18</v>
      </c>
      <c r="Y252" s="5">
        <f t="shared" si="23"/>
        <v>1400.566</v>
      </c>
    </row>
    <row r="253" spans="1:25" x14ac:dyDescent="0.2">
      <c r="A253" t="s">
        <v>1174</v>
      </c>
      <c r="B253" s="1">
        <v>41675</v>
      </c>
      <c r="C253" s="2" t="str">
        <f t="shared" si="18"/>
        <v>2014</v>
      </c>
      <c r="D253" s="2" t="s">
        <v>780</v>
      </c>
      <c r="E253" s="2" t="s">
        <v>436</v>
      </c>
      <c r="F253" s="2" t="s">
        <v>36</v>
      </c>
      <c r="G253" s="2" t="s">
        <v>37</v>
      </c>
      <c r="H253" s="2" t="s">
        <v>42</v>
      </c>
      <c r="I253" s="2" t="s">
        <v>43</v>
      </c>
      <c r="J253" s="2" t="s">
        <v>30</v>
      </c>
      <c r="K253" s="2" t="s">
        <v>186</v>
      </c>
      <c r="L253" s="2" t="s">
        <v>25</v>
      </c>
      <c r="M253" s="2" t="s">
        <v>62</v>
      </c>
      <c r="N253" s="2" t="s">
        <v>63</v>
      </c>
      <c r="O253" s="1">
        <v>41676</v>
      </c>
      <c r="P253" s="3">
        <v>278.99</v>
      </c>
      <c r="Q253" s="3">
        <v>449.99</v>
      </c>
      <c r="R253" s="3">
        <f t="shared" si="19"/>
        <v>171</v>
      </c>
      <c r="S253" s="2">
        <v>39</v>
      </c>
      <c r="T253" s="3">
        <f t="shared" si="20"/>
        <v>17549.61</v>
      </c>
      <c r="U253" s="4">
        <v>0.08</v>
      </c>
      <c r="V253" s="6">
        <f t="shared" si="21"/>
        <v>1403.9688000000001</v>
      </c>
      <c r="W253" s="6">
        <f t="shared" si="22"/>
        <v>16145.6412</v>
      </c>
      <c r="X253" s="3">
        <v>49</v>
      </c>
      <c r="Y253" s="5">
        <f t="shared" si="23"/>
        <v>16194.6412</v>
      </c>
    </row>
    <row r="254" spans="1:25" x14ac:dyDescent="0.2">
      <c r="A254" t="s">
        <v>878</v>
      </c>
      <c r="B254" s="1">
        <v>41677</v>
      </c>
      <c r="C254" s="2" t="str">
        <f t="shared" si="18"/>
        <v>2014</v>
      </c>
      <c r="D254" s="2" t="s">
        <v>248</v>
      </c>
      <c r="E254" s="2" t="s">
        <v>249</v>
      </c>
      <c r="F254" s="2" t="s">
        <v>19</v>
      </c>
      <c r="G254" s="2" t="s">
        <v>20</v>
      </c>
      <c r="H254" s="2" t="s">
        <v>50</v>
      </c>
      <c r="I254" s="2" t="s">
        <v>92</v>
      </c>
      <c r="J254" s="2" t="s">
        <v>23</v>
      </c>
      <c r="K254" s="2" t="s">
        <v>322</v>
      </c>
      <c r="L254" s="2" t="s">
        <v>25</v>
      </c>
      <c r="M254" s="2" t="s">
        <v>261</v>
      </c>
      <c r="N254" s="2" t="s">
        <v>27</v>
      </c>
      <c r="O254" s="1">
        <v>41686</v>
      </c>
      <c r="P254" s="3">
        <v>377.99</v>
      </c>
      <c r="Q254" s="3">
        <v>599.99</v>
      </c>
      <c r="R254" s="3">
        <f t="shared" si="19"/>
        <v>222</v>
      </c>
      <c r="S254" s="2">
        <v>48</v>
      </c>
      <c r="T254" s="3">
        <f t="shared" si="20"/>
        <v>28799.52</v>
      </c>
      <c r="U254" s="4">
        <v>0.08</v>
      </c>
      <c r="V254" s="6">
        <f t="shared" si="21"/>
        <v>2303.9616000000001</v>
      </c>
      <c r="W254" s="6">
        <f t="shared" si="22"/>
        <v>26495.558400000002</v>
      </c>
      <c r="X254" s="3">
        <v>24.49</v>
      </c>
      <c r="Y254" s="5">
        <f t="shared" si="23"/>
        <v>26520.048400000003</v>
      </c>
    </row>
    <row r="255" spans="1:25" x14ac:dyDescent="0.2">
      <c r="A255" t="s">
        <v>879</v>
      </c>
      <c r="B255" s="1">
        <v>41677</v>
      </c>
      <c r="C255" s="2" t="str">
        <f t="shared" si="18"/>
        <v>2014</v>
      </c>
      <c r="D255" s="2" t="s">
        <v>248</v>
      </c>
      <c r="E255" s="2" t="s">
        <v>249</v>
      </c>
      <c r="F255" s="2" t="s">
        <v>19</v>
      </c>
      <c r="G255" s="2" t="s">
        <v>20</v>
      </c>
      <c r="H255" s="2" t="s">
        <v>50</v>
      </c>
      <c r="I255" s="2" t="s">
        <v>92</v>
      </c>
      <c r="J255" s="2" t="s">
        <v>23</v>
      </c>
      <c r="K255" s="2" t="s">
        <v>252</v>
      </c>
      <c r="L255" s="2" t="s">
        <v>32</v>
      </c>
      <c r="M255" s="2" t="s">
        <v>33</v>
      </c>
      <c r="N255" s="2" t="s">
        <v>89</v>
      </c>
      <c r="O255" s="1">
        <v>41682</v>
      </c>
      <c r="P255" s="3">
        <v>2.59</v>
      </c>
      <c r="Q255" s="3">
        <v>3.98</v>
      </c>
      <c r="R255" s="3">
        <f t="shared" si="19"/>
        <v>1.3900000000000001</v>
      </c>
      <c r="S255" s="2">
        <v>11</v>
      </c>
      <c r="T255" s="3">
        <f t="shared" si="20"/>
        <v>43.78</v>
      </c>
      <c r="U255" s="4">
        <v>0.1</v>
      </c>
      <c r="V255" s="6">
        <f t="shared" si="21"/>
        <v>4.3780000000000001</v>
      </c>
      <c r="W255" s="6">
        <f t="shared" si="22"/>
        <v>39.402000000000001</v>
      </c>
      <c r="X255" s="3">
        <v>2.97</v>
      </c>
      <c r="Y255" s="5">
        <f t="shared" si="23"/>
        <v>42.372</v>
      </c>
    </row>
    <row r="256" spans="1:25" x14ac:dyDescent="0.2">
      <c r="A256" t="s">
        <v>1175</v>
      </c>
      <c r="B256" s="1">
        <v>41679</v>
      </c>
      <c r="C256" s="2" t="str">
        <f t="shared" si="18"/>
        <v>2014</v>
      </c>
      <c r="D256" s="2" t="s">
        <v>779</v>
      </c>
      <c r="E256" s="2" t="s">
        <v>451</v>
      </c>
      <c r="F256" s="2" t="s">
        <v>36</v>
      </c>
      <c r="G256" s="2" t="s">
        <v>37</v>
      </c>
      <c r="H256" s="2" t="s">
        <v>50</v>
      </c>
      <c r="I256" s="2" t="s">
        <v>51</v>
      </c>
      <c r="J256" s="2" t="s">
        <v>23</v>
      </c>
      <c r="K256" s="2" t="s">
        <v>103</v>
      </c>
      <c r="L256" s="2" t="s">
        <v>32</v>
      </c>
      <c r="M256" s="2" t="s">
        <v>26</v>
      </c>
      <c r="N256" s="2" t="s">
        <v>27</v>
      </c>
      <c r="O256" s="1">
        <v>41683</v>
      </c>
      <c r="P256" s="3">
        <v>2.2599999999999998</v>
      </c>
      <c r="Q256" s="3">
        <v>3.58</v>
      </c>
      <c r="R256" s="3">
        <f t="shared" si="19"/>
        <v>1.3200000000000003</v>
      </c>
      <c r="S256" s="2">
        <v>42</v>
      </c>
      <c r="T256" s="3">
        <f t="shared" si="20"/>
        <v>150.36000000000001</v>
      </c>
      <c r="U256" s="4">
        <v>0.01</v>
      </c>
      <c r="V256" s="6">
        <f t="shared" si="21"/>
        <v>1.5036000000000003</v>
      </c>
      <c r="W256" s="6">
        <f t="shared" si="22"/>
        <v>148.85640000000001</v>
      </c>
      <c r="X256" s="3">
        <v>5.47</v>
      </c>
      <c r="Y256" s="5">
        <f t="shared" si="23"/>
        <v>154.32640000000001</v>
      </c>
    </row>
    <row r="257" spans="1:25" x14ac:dyDescent="0.2">
      <c r="A257" t="s">
        <v>1176</v>
      </c>
      <c r="B257" s="1">
        <v>41680</v>
      </c>
      <c r="C257" s="2" t="str">
        <f t="shared" si="18"/>
        <v>2014</v>
      </c>
      <c r="D257" s="2" t="s">
        <v>766</v>
      </c>
      <c r="E257" s="2" t="s">
        <v>276</v>
      </c>
      <c r="F257" s="2" t="s">
        <v>19</v>
      </c>
      <c r="G257" s="2" t="s">
        <v>20</v>
      </c>
      <c r="H257" s="2" t="s">
        <v>42</v>
      </c>
      <c r="I257" s="2" t="s">
        <v>22</v>
      </c>
      <c r="J257" s="2" t="s">
        <v>66</v>
      </c>
      <c r="K257" s="2" t="s">
        <v>84</v>
      </c>
      <c r="L257" s="2" t="s">
        <v>25</v>
      </c>
      <c r="M257" s="2" t="s">
        <v>85</v>
      </c>
      <c r="N257" s="2" t="s">
        <v>27</v>
      </c>
      <c r="O257" s="1">
        <v>41681</v>
      </c>
      <c r="P257" s="3">
        <v>8.82</v>
      </c>
      <c r="Q257" s="3">
        <v>20.99</v>
      </c>
      <c r="R257" s="3">
        <f t="shared" si="19"/>
        <v>12.169999999999998</v>
      </c>
      <c r="S257" s="2">
        <v>42</v>
      </c>
      <c r="T257" s="3">
        <f t="shared" si="20"/>
        <v>881.57999999999993</v>
      </c>
      <c r="U257" s="4">
        <v>7.0000000000000007E-2</v>
      </c>
      <c r="V257" s="6">
        <f t="shared" si="21"/>
        <v>61.710599999999999</v>
      </c>
      <c r="W257" s="6">
        <f t="shared" si="22"/>
        <v>819.86939999999993</v>
      </c>
      <c r="X257" s="3">
        <v>4.8099999999999996</v>
      </c>
      <c r="Y257" s="5">
        <f t="shared" si="23"/>
        <v>824.67939999999987</v>
      </c>
    </row>
    <row r="258" spans="1:25" x14ac:dyDescent="0.2">
      <c r="A258" t="s">
        <v>1177</v>
      </c>
      <c r="B258" s="1">
        <v>41680</v>
      </c>
      <c r="C258" s="2" t="str">
        <f t="shared" si="18"/>
        <v>2014</v>
      </c>
      <c r="D258" s="2" t="s">
        <v>778</v>
      </c>
      <c r="E258" s="2" t="s">
        <v>694</v>
      </c>
      <c r="F258" s="2" t="s">
        <v>36</v>
      </c>
      <c r="G258" s="2" t="s">
        <v>37</v>
      </c>
      <c r="H258" s="2" t="s">
        <v>29</v>
      </c>
      <c r="I258" s="2" t="s">
        <v>83</v>
      </c>
      <c r="J258" s="2" t="s">
        <v>23</v>
      </c>
      <c r="K258" s="2" t="s">
        <v>131</v>
      </c>
      <c r="L258" s="2" t="s">
        <v>32</v>
      </c>
      <c r="M258" s="2" t="s">
        <v>26</v>
      </c>
      <c r="N258" s="2" t="s">
        <v>89</v>
      </c>
      <c r="O258" s="1">
        <v>41682</v>
      </c>
      <c r="P258" s="3">
        <v>52.07</v>
      </c>
      <c r="Q258" s="3">
        <v>83.98</v>
      </c>
      <c r="R258" s="3">
        <f t="shared" si="19"/>
        <v>31.910000000000004</v>
      </c>
      <c r="S258" s="2">
        <v>9</v>
      </c>
      <c r="T258" s="3">
        <f t="shared" si="20"/>
        <v>755.82</v>
      </c>
      <c r="U258" s="4">
        <v>0.05</v>
      </c>
      <c r="V258" s="6">
        <f t="shared" si="21"/>
        <v>37.791000000000004</v>
      </c>
      <c r="W258" s="6">
        <f t="shared" si="22"/>
        <v>718.029</v>
      </c>
      <c r="X258" s="3">
        <v>5.01</v>
      </c>
      <c r="Y258" s="5">
        <f t="shared" si="23"/>
        <v>723.03899999999999</v>
      </c>
    </row>
    <row r="259" spans="1:25" x14ac:dyDescent="0.2">
      <c r="A259" t="s">
        <v>1178</v>
      </c>
      <c r="B259" s="1">
        <v>41682</v>
      </c>
      <c r="C259" s="2" t="str">
        <f t="shared" si="18"/>
        <v>2014</v>
      </c>
      <c r="D259" s="2" t="s">
        <v>566</v>
      </c>
      <c r="E259" s="2" t="s">
        <v>41</v>
      </c>
      <c r="F259" s="2" t="s">
        <v>36</v>
      </c>
      <c r="G259" s="2" t="s">
        <v>37</v>
      </c>
      <c r="H259" s="2" t="s">
        <v>21</v>
      </c>
      <c r="I259" s="2" t="s">
        <v>43</v>
      </c>
      <c r="J259" s="2" t="s">
        <v>44</v>
      </c>
      <c r="K259" s="2" t="s">
        <v>186</v>
      </c>
      <c r="L259" s="2" t="s">
        <v>25</v>
      </c>
      <c r="M259" s="2" t="s">
        <v>261</v>
      </c>
      <c r="N259" s="2" t="s">
        <v>27</v>
      </c>
      <c r="O259" s="1">
        <v>41683</v>
      </c>
      <c r="P259" s="3">
        <v>216</v>
      </c>
      <c r="Q259" s="3">
        <v>449.99</v>
      </c>
      <c r="R259" s="3">
        <f t="shared" si="19"/>
        <v>233.99</v>
      </c>
      <c r="S259" s="2">
        <v>5</v>
      </c>
      <c r="T259" s="3">
        <f t="shared" si="20"/>
        <v>2249.9499999999998</v>
      </c>
      <c r="U259" s="4">
        <v>0.02</v>
      </c>
      <c r="V259" s="6">
        <f t="shared" si="21"/>
        <v>44.998999999999995</v>
      </c>
      <c r="W259" s="6">
        <f t="shared" si="22"/>
        <v>2204.951</v>
      </c>
      <c r="X259" s="3">
        <v>24.49</v>
      </c>
      <c r="Y259" s="5">
        <f t="shared" si="23"/>
        <v>2229.4409999999998</v>
      </c>
    </row>
    <row r="260" spans="1:25" x14ac:dyDescent="0.2">
      <c r="A260" t="s">
        <v>1179</v>
      </c>
      <c r="B260" s="1">
        <v>41683</v>
      </c>
      <c r="C260" s="2" t="str">
        <f t="shared" si="18"/>
        <v>2014</v>
      </c>
      <c r="D260" s="2" t="s">
        <v>129</v>
      </c>
      <c r="E260" s="2" t="s">
        <v>130</v>
      </c>
      <c r="F260" s="2" t="s">
        <v>36</v>
      </c>
      <c r="G260" s="2" t="s">
        <v>37</v>
      </c>
      <c r="H260" s="2" t="s">
        <v>29</v>
      </c>
      <c r="I260" s="2" t="s">
        <v>79</v>
      </c>
      <c r="J260" s="2" t="s">
        <v>44</v>
      </c>
      <c r="K260" s="2" t="s">
        <v>76</v>
      </c>
      <c r="L260" s="2" t="s">
        <v>32</v>
      </c>
      <c r="M260" s="2" t="s">
        <v>33</v>
      </c>
      <c r="N260" s="2" t="s">
        <v>27</v>
      </c>
      <c r="O260" s="1">
        <v>41683</v>
      </c>
      <c r="P260" s="3">
        <v>2.16</v>
      </c>
      <c r="Q260" s="3">
        <v>3.85</v>
      </c>
      <c r="R260" s="3">
        <f t="shared" si="19"/>
        <v>1.69</v>
      </c>
      <c r="S260" s="2">
        <v>31</v>
      </c>
      <c r="T260" s="3">
        <f t="shared" si="20"/>
        <v>119.35000000000001</v>
      </c>
      <c r="U260" s="4">
        <v>0.09</v>
      </c>
      <c r="V260" s="6">
        <f t="shared" si="21"/>
        <v>10.7415</v>
      </c>
      <c r="W260" s="6">
        <f t="shared" si="22"/>
        <v>108.60850000000001</v>
      </c>
      <c r="X260" s="3">
        <v>0.7</v>
      </c>
      <c r="Y260" s="5">
        <f t="shared" si="23"/>
        <v>109.30850000000001</v>
      </c>
    </row>
    <row r="261" spans="1:25" x14ac:dyDescent="0.2">
      <c r="A261" t="s">
        <v>1180</v>
      </c>
      <c r="B261" s="1">
        <v>41685</v>
      </c>
      <c r="C261" s="2" t="str">
        <f t="shared" si="18"/>
        <v>2014</v>
      </c>
      <c r="D261" s="2" t="s">
        <v>660</v>
      </c>
      <c r="E261" s="2" t="s">
        <v>400</v>
      </c>
      <c r="F261" s="2" t="s">
        <v>19</v>
      </c>
      <c r="G261" s="2" t="s">
        <v>20</v>
      </c>
      <c r="H261" s="2" t="s">
        <v>21</v>
      </c>
      <c r="I261" s="2" t="s">
        <v>22</v>
      </c>
      <c r="J261" s="2" t="s">
        <v>30</v>
      </c>
      <c r="K261" s="2" t="s">
        <v>777</v>
      </c>
      <c r="L261" s="2" t="s">
        <v>32</v>
      </c>
      <c r="M261" s="2" t="s">
        <v>33</v>
      </c>
      <c r="N261" s="2" t="s">
        <v>27</v>
      </c>
      <c r="O261" s="1">
        <v>41686</v>
      </c>
      <c r="P261" s="3">
        <v>1.1499999999999999</v>
      </c>
      <c r="Q261" s="3">
        <v>2.67</v>
      </c>
      <c r="R261" s="3">
        <f t="shared" si="19"/>
        <v>1.52</v>
      </c>
      <c r="S261" s="2">
        <v>19</v>
      </c>
      <c r="T261" s="3">
        <f t="shared" si="20"/>
        <v>50.73</v>
      </c>
      <c r="U261" s="4">
        <v>0.03</v>
      </c>
      <c r="V261" s="6">
        <f t="shared" si="21"/>
        <v>1.5218999999999998</v>
      </c>
      <c r="W261" s="6">
        <f t="shared" si="22"/>
        <v>49.208099999999995</v>
      </c>
      <c r="X261" s="3">
        <v>0.86</v>
      </c>
      <c r="Y261" s="5">
        <f t="shared" si="23"/>
        <v>50.068099999999994</v>
      </c>
    </row>
    <row r="262" spans="1:25" x14ac:dyDescent="0.2">
      <c r="A262" t="s">
        <v>1181</v>
      </c>
      <c r="B262" s="1">
        <v>41685</v>
      </c>
      <c r="C262" s="2" t="str">
        <f t="shared" ref="C262:C325" si="24">TEXT(B262,"yyyy")</f>
        <v>2014</v>
      </c>
      <c r="D262" s="2" t="s">
        <v>541</v>
      </c>
      <c r="E262" s="2" t="s">
        <v>49</v>
      </c>
      <c r="F262" s="2" t="s">
        <v>36</v>
      </c>
      <c r="G262" s="2" t="s">
        <v>37</v>
      </c>
      <c r="H262" s="2" t="s">
        <v>50</v>
      </c>
      <c r="I262" s="2" t="s">
        <v>51</v>
      </c>
      <c r="J262" s="2" t="s">
        <v>23</v>
      </c>
      <c r="K262" s="2" t="s">
        <v>772</v>
      </c>
      <c r="L262" s="2" t="s">
        <v>32</v>
      </c>
      <c r="M262" s="2" t="s">
        <v>33</v>
      </c>
      <c r="N262" s="2" t="s">
        <v>89</v>
      </c>
      <c r="O262" s="1">
        <v>41690</v>
      </c>
      <c r="P262" s="3">
        <v>1.57</v>
      </c>
      <c r="Q262" s="3">
        <v>3.28</v>
      </c>
      <c r="R262" s="3">
        <f t="shared" ref="R262:R325" si="25">Q262-P262</f>
        <v>1.7099999999999997</v>
      </c>
      <c r="S262" s="2">
        <v>44</v>
      </c>
      <c r="T262" s="3">
        <f t="shared" ref="T262:T325" si="26">Q262*S262</f>
        <v>144.32</v>
      </c>
      <c r="U262" s="4">
        <v>0</v>
      </c>
      <c r="V262" s="6">
        <f t="shared" ref="V262:V325" si="27">T262*U262</f>
        <v>0</v>
      </c>
      <c r="W262" s="6">
        <f t="shared" ref="W262:W325" si="28">T262-V262</f>
        <v>144.32</v>
      </c>
      <c r="X262" s="3">
        <v>0.98</v>
      </c>
      <c r="Y262" s="5">
        <f t="shared" ref="Y262:Y325" si="29">W262+X262</f>
        <v>145.29999999999998</v>
      </c>
    </row>
    <row r="263" spans="1:25" x14ac:dyDescent="0.2">
      <c r="A263" t="s">
        <v>1182</v>
      </c>
      <c r="B263" s="1">
        <v>41686</v>
      </c>
      <c r="C263" s="2" t="str">
        <f t="shared" si="24"/>
        <v>2014</v>
      </c>
      <c r="D263" s="2" t="s">
        <v>776</v>
      </c>
      <c r="E263" s="2" t="s">
        <v>540</v>
      </c>
      <c r="F263" s="2" t="s">
        <v>19</v>
      </c>
      <c r="G263" s="2" t="s">
        <v>20</v>
      </c>
      <c r="H263" s="2" t="s">
        <v>50</v>
      </c>
      <c r="I263" s="2" t="s">
        <v>92</v>
      </c>
      <c r="J263" s="2" t="s">
        <v>44</v>
      </c>
      <c r="K263" s="2" t="s">
        <v>84</v>
      </c>
      <c r="L263" s="2" t="s">
        <v>25</v>
      </c>
      <c r="M263" s="2" t="s">
        <v>85</v>
      </c>
      <c r="N263" s="2" t="s">
        <v>27</v>
      </c>
      <c r="O263" s="1">
        <v>41688</v>
      </c>
      <c r="P263" s="3">
        <v>8.82</v>
      </c>
      <c r="Q263" s="3">
        <v>20.99</v>
      </c>
      <c r="R263" s="3">
        <f t="shared" si="25"/>
        <v>12.169999999999998</v>
      </c>
      <c r="S263" s="2">
        <v>24</v>
      </c>
      <c r="T263" s="3">
        <f t="shared" si="26"/>
        <v>503.76</v>
      </c>
      <c r="U263" s="4">
        <v>0.01</v>
      </c>
      <c r="V263" s="6">
        <f t="shared" si="27"/>
        <v>5.0376000000000003</v>
      </c>
      <c r="W263" s="6">
        <f t="shared" si="28"/>
        <v>498.72239999999999</v>
      </c>
      <c r="X263" s="3">
        <v>4.8099999999999996</v>
      </c>
      <c r="Y263" s="5">
        <f t="shared" si="29"/>
        <v>503.5324</v>
      </c>
    </row>
    <row r="264" spans="1:25" x14ac:dyDescent="0.2">
      <c r="A264" t="s">
        <v>1183</v>
      </c>
      <c r="B264" s="1">
        <v>41692</v>
      </c>
      <c r="C264" s="2" t="str">
        <f t="shared" si="24"/>
        <v>2014</v>
      </c>
      <c r="D264" s="2" t="s">
        <v>774</v>
      </c>
      <c r="E264" s="2" t="s">
        <v>1911</v>
      </c>
      <c r="F264" s="2" t="s">
        <v>36</v>
      </c>
      <c r="G264" s="2" t="s">
        <v>37</v>
      </c>
      <c r="H264" s="2" t="s">
        <v>50</v>
      </c>
      <c r="I264" s="2" t="s">
        <v>102</v>
      </c>
      <c r="J264" s="2" t="s">
        <v>66</v>
      </c>
      <c r="K264" s="2" t="s">
        <v>144</v>
      </c>
      <c r="L264" s="2" t="s">
        <v>32</v>
      </c>
      <c r="M264" s="2" t="s">
        <v>58</v>
      </c>
      <c r="N264" s="2" t="s">
        <v>27</v>
      </c>
      <c r="O264" s="1">
        <v>41693</v>
      </c>
      <c r="P264" s="3">
        <v>4.1900000000000004</v>
      </c>
      <c r="Q264" s="3">
        <v>10.23</v>
      </c>
      <c r="R264" s="3">
        <f t="shared" si="25"/>
        <v>6.04</v>
      </c>
      <c r="S264" s="2">
        <v>9</v>
      </c>
      <c r="T264" s="3">
        <f t="shared" si="26"/>
        <v>92.070000000000007</v>
      </c>
      <c r="U264" s="4">
        <v>7.0000000000000007E-2</v>
      </c>
      <c r="V264" s="6">
        <f t="shared" si="27"/>
        <v>6.4449000000000014</v>
      </c>
      <c r="W264" s="6">
        <f t="shared" si="28"/>
        <v>85.625100000000003</v>
      </c>
      <c r="X264" s="3">
        <v>4.68</v>
      </c>
      <c r="Y264" s="5">
        <f t="shared" si="29"/>
        <v>90.30510000000001</v>
      </c>
    </row>
    <row r="265" spans="1:25" x14ac:dyDescent="0.2">
      <c r="A265" t="s">
        <v>1184</v>
      </c>
      <c r="B265" s="1">
        <v>41692</v>
      </c>
      <c r="C265" s="2" t="str">
        <f t="shared" si="24"/>
        <v>2014</v>
      </c>
      <c r="D265" s="2" t="s">
        <v>714</v>
      </c>
      <c r="E265" s="2" t="s">
        <v>254</v>
      </c>
      <c r="F265" s="2" t="s">
        <v>19</v>
      </c>
      <c r="G265" s="2" t="s">
        <v>20</v>
      </c>
      <c r="H265" s="2" t="s">
        <v>29</v>
      </c>
      <c r="I265" s="2" t="s">
        <v>92</v>
      </c>
      <c r="J265" s="2" t="s">
        <v>44</v>
      </c>
      <c r="K265" s="2" t="s">
        <v>31</v>
      </c>
      <c r="L265" s="2" t="s">
        <v>32</v>
      </c>
      <c r="M265" s="2" t="s">
        <v>33</v>
      </c>
      <c r="N265" s="2" t="s">
        <v>27</v>
      </c>
      <c r="O265" s="1">
        <v>41693</v>
      </c>
      <c r="P265" s="3">
        <v>0.93</v>
      </c>
      <c r="Q265" s="3">
        <v>1.48</v>
      </c>
      <c r="R265" s="3">
        <f t="shared" si="25"/>
        <v>0.54999999999999993</v>
      </c>
      <c r="S265" s="2">
        <v>46</v>
      </c>
      <c r="T265" s="3">
        <f t="shared" si="26"/>
        <v>68.08</v>
      </c>
      <c r="U265" s="4">
        <v>0</v>
      </c>
      <c r="V265" s="6">
        <f t="shared" si="27"/>
        <v>0</v>
      </c>
      <c r="W265" s="6">
        <f t="shared" si="28"/>
        <v>68.08</v>
      </c>
      <c r="X265" s="3">
        <v>0.7</v>
      </c>
      <c r="Y265" s="5">
        <f t="shared" si="29"/>
        <v>68.78</v>
      </c>
    </row>
    <row r="266" spans="1:25" x14ac:dyDescent="0.2">
      <c r="A266" t="s">
        <v>1185</v>
      </c>
      <c r="B266" s="1">
        <v>41692</v>
      </c>
      <c r="C266" s="2" t="str">
        <f t="shared" si="24"/>
        <v>2014</v>
      </c>
      <c r="D266" s="2" t="s">
        <v>549</v>
      </c>
      <c r="E266" s="2" t="s">
        <v>550</v>
      </c>
      <c r="F266" s="2" t="s">
        <v>36</v>
      </c>
      <c r="G266" s="2" t="s">
        <v>37</v>
      </c>
      <c r="H266" s="2" t="s">
        <v>50</v>
      </c>
      <c r="I266" s="2" t="s">
        <v>43</v>
      </c>
      <c r="J266" s="2" t="s">
        <v>44</v>
      </c>
      <c r="K266" s="2" t="s">
        <v>775</v>
      </c>
      <c r="L266" s="2" t="s">
        <v>32</v>
      </c>
      <c r="M266" s="2" t="s">
        <v>26</v>
      </c>
      <c r="N266" s="2" t="s">
        <v>27</v>
      </c>
      <c r="O266" s="1">
        <v>41693</v>
      </c>
      <c r="P266" s="3">
        <v>21.56</v>
      </c>
      <c r="Q266" s="3">
        <v>35.94</v>
      </c>
      <c r="R266" s="3">
        <f t="shared" si="25"/>
        <v>14.379999999999999</v>
      </c>
      <c r="S266" s="2">
        <v>13</v>
      </c>
      <c r="T266" s="3">
        <f t="shared" si="26"/>
        <v>467.21999999999997</v>
      </c>
      <c r="U266" s="4">
        <v>0.03</v>
      </c>
      <c r="V266" s="6">
        <f t="shared" si="27"/>
        <v>14.016599999999999</v>
      </c>
      <c r="W266" s="6">
        <f t="shared" si="28"/>
        <v>453.20339999999999</v>
      </c>
      <c r="X266" s="3">
        <v>6.66</v>
      </c>
      <c r="Y266" s="5">
        <f t="shared" si="29"/>
        <v>459.86340000000001</v>
      </c>
    </row>
    <row r="267" spans="1:25" x14ac:dyDescent="0.2">
      <c r="A267" t="s">
        <v>1186</v>
      </c>
      <c r="B267" s="1">
        <v>41693</v>
      </c>
      <c r="C267" s="2" t="str">
        <f t="shared" si="24"/>
        <v>2014</v>
      </c>
      <c r="D267" s="2" t="s">
        <v>773</v>
      </c>
      <c r="E267" s="2" t="s">
        <v>251</v>
      </c>
      <c r="F267" s="2" t="s">
        <v>19</v>
      </c>
      <c r="G267" s="2" t="s">
        <v>20</v>
      </c>
      <c r="H267" s="2" t="s">
        <v>42</v>
      </c>
      <c r="I267" s="2" t="s">
        <v>92</v>
      </c>
      <c r="J267" s="2" t="s">
        <v>30</v>
      </c>
      <c r="K267" s="2" t="s">
        <v>565</v>
      </c>
      <c r="L267" s="2" t="s">
        <v>25</v>
      </c>
      <c r="M267" s="2" t="s">
        <v>26</v>
      </c>
      <c r="N267" s="2" t="s">
        <v>27</v>
      </c>
      <c r="O267" s="1">
        <v>41696</v>
      </c>
      <c r="P267" s="3">
        <v>42.11</v>
      </c>
      <c r="Q267" s="3">
        <v>80.98</v>
      </c>
      <c r="R267" s="3">
        <f t="shared" si="25"/>
        <v>38.870000000000005</v>
      </c>
      <c r="S267" s="2">
        <v>45</v>
      </c>
      <c r="T267" s="3">
        <f t="shared" si="26"/>
        <v>3644.1000000000004</v>
      </c>
      <c r="U267" s="4">
        <v>0</v>
      </c>
      <c r="V267" s="6">
        <f t="shared" si="27"/>
        <v>0</v>
      </c>
      <c r="W267" s="6">
        <f t="shared" si="28"/>
        <v>3644.1000000000004</v>
      </c>
      <c r="X267" s="3">
        <v>7.18</v>
      </c>
      <c r="Y267" s="5">
        <f t="shared" si="29"/>
        <v>3651.28</v>
      </c>
    </row>
    <row r="268" spans="1:25" x14ac:dyDescent="0.2">
      <c r="A268" t="s">
        <v>1187</v>
      </c>
      <c r="B268" s="1">
        <v>41694</v>
      </c>
      <c r="C268" s="2" t="str">
        <f t="shared" si="24"/>
        <v>2014</v>
      </c>
      <c r="D268" s="2" t="s">
        <v>624</v>
      </c>
      <c r="E268" s="2" t="s">
        <v>225</v>
      </c>
      <c r="F268" s="2" t="s">
        <v>36</v>
      </c>
      <c r="G268" s="2" t="s">
        <v>37</v>
      </c>
      <c r="H268" s="2" t="s">
        <v>42</v>
      </c>
      <c r="I268" s="2" t="s">
        <v>43</v>
      </c>
      <c r="J268" s="2" t="s">
        <v>66</v>
      </c>
      <c r="K268" s="2" t="s">
        <v>585</v>
      </c>
      <c r="L268" s="2" t="s">
        <v>32</v>
      </c>
      <c r="M268" s="2" t="s">
        <v>26</v>
      </c>
      <c r="N268" s="2" t="s">
        <v>27</v>
      </c>
      <c r="O268" s="1">
        <v>41695</v>
      </c>
      <c r="P268" s="3">
        <v>2.74</v>
      </c>
      <c r="Q268" s="3">
        <v>4.49</v>
      </c>
      <c r="R268" s="3">
        <f t="shared" si="25"/>
        <v>1.75</v>
      </c>
      <c r="S268" s="2">
        <v>6</v>
      </c>
      <c r="T268" s="3">
        <f t="shared" si="26"/>
        <v>26.94</v>
      </c>
      <c r="U268" s="4">
        <v>0.03</v>
      </c>
      <c r="V268" s="6">
        <f t="shared" si="27"/>
        <v>0.80820000000000003</v>
      </c>
      <c r="W268" s="6">
        <f t="shared" si="28"/>
        <v>26.131800000000002</v>
      </c>
      <c r="X268" s="3">
        <v>1.49</v>
      </c>
      <c r="Y268" s="5">
        <f t="shared" si="29"/>
        <v>27.6218</v>
      </c>
    </row>
    <row r="269" spans="1:25" x14ac:dyDescent="0.2">
      <c r="A269" t="s">
        <v>1188</v>
      </c>
      <c r="B269" s="1">
        <v>41694</v>
      </c>
      <c r="C269" s="2" t="str">
        <f t="shared" si="24"/>
        <v>2014</v>
      </c>
      <c r="D269" s="2" t="s">
        <v>181</v>
      </c>
      <c r="E269" s="2" t="s">
        <v>182</v>
      </c>
      <c r="F269" s="2" t="s">
        <v>36</v>
      </c>
      <c r="G269" s="2" t="s">
        <v>37</v>
      </c>
      <c r="H269" s="2" t="s">
        <v>42</v>
      </c>
      <c r="I269" s="2" t="s">
        <v>96</v>
      </c>
      <c r="J269" s="2" t="s">
        <v>52</v>
      </c>
      <c r="K269" s="2" t="s">
        <v>146</v>
      </c>
      <c r="L269" s="2" t="s">
        <v>32</v>
      </c>
      <c r="M269" s="2" t="s">
        <v>33</v>
      </c>
      <c r="N269" s="2" t="s">
        <v>27</v>
      </c>
      <c r="O269" s="1">
        <v>41696</v>
      </c>
      <c r="P269" s="3">
        <v>2.52</v>
      </c>
      <c r="Q269" s="3">
        <v>4</v>
      </c>
      <c r="R269" s="3">
        <f t="shared" si="25"/>
        <v>1.48</v>
      </c>
      <c r="S269" s="2">
        <v>33</v>
      </c>
      <c r="T269" s="3">
        <f t="shared" si="26"/>
        <v>132</v>
      </c>
      <c r="U269" s="4">
        <v>0.08</v>
      </c>
      <c r="V269" s="6">
        <f t="shared" si="27"/>
        <v>10.56</v>
      </c>
      <c r="W269" s="6">
        <f t="shared" si="28"/>
        <v>121.44</v>
      </c>
      <c r="X269" s="3">
        <v>1.3</v>
      </c>
      <c r="Y269" s="5">
        <f t="shared" si="29"/>
        <v>122.74</v>
      </c>
    </row>
    <row r="270" spans="1:25" x14ac:dyDescent="0.2">
      <c r="A270" t="s">
        <v>1189</v>
      </c>
      <c r="B270" s="1">
        <v>41695</v>
      </c>
      <c r="C270" s="2" t="str">
        <f t="shared" si="24"/>
        <v>2014</v>
      </c>
      <c r="D270" s="2" t="s">
        <v>546</v>
      </c>
      <c r="E270" s="2" t="s">
        <v>1933</v>
      </c>
      <c r="F270" s="2" t="s">
        <v>19</v>
      </c>
      <c r="G270" s="2" t="s">
        <v>20</v>
      </c>
      <c r="H270" s="2" t="s">
        <v>42</v>
      </c>
      <c r="I270" s="2" t="s">
        <v>22</v>
      </c>
      <c r="J270" s="2" t="s">
        <v>52</v>
      </c>
      <c r="K270" s="2" t="s">
        <v>772</v>
      </c>
      <c r="L270" s="2" t="s">
        <v>32</v>
      </c>
      <c r="M270" s="2" t="s">
        <v>33</v>
      </c>
      <c r="N270" s="2" t="s">
        <v>27</v>
      </c>
      <c r="O270" s="1">
        <v>41696</v>
      </c>
      <c r="P270" s="3">
        <v>1.57</v>
      </c>
      <c r="Q270" s="3">
        <v>3.28</v>
      </c>
      <c r="R270" s="3">
        <f t="shared" si="25"/>
        <v>1.7099999999999997</v>
      </c>
      <c r="S270" s="2">
        <v>26</v>
      </c>
      <c r="T270" s="3">
        <f t="shared" si="26"/>
        <v>85.28</v>
      </c>
      <c r="U270" s="4">
        <v>0.08</v>
      </c>
      <c r="V270" s="6">
        <f t="shared" si="27"/>
        <v>6.8224</v>
      </c>
      <c r="W270" s="6">
        <f t="shared" si="28"/>
        <v>78.457599999999999</v>
      </c>
      <c r="X270" s="3">
        <v>0.98</v>
      </c>
      <c r="Y270" s="5">
        <f t="shared" si="29"/>
        <v>79.437600000000003</v>
      </c>
    </row>
    <row r="271" spans="1:25" x14ac:dyDescent="0.2">
      <c r="A271" t="s">
        <v>1190</v>
      </c>
      <c r="B271" s="1">
        <v>41695</v>
      </c>
      <c r="C271" s="2" t="str">
        <f t="shared" si="24"/>
        <v>2014</v>
      </c>
      <c r="D271" s="2" t="s">
        <v>158</v>
      </c>
      <c r="E271" s="2" t="s">
        <v>159</v>
      </c>
      <c r="F271" s="2" t="s">
        <v>36</v>
      </c>
      <c r="G271" s="2" t="s">
        <v>37</v>
      </c>
      <c r="H271" s="2" t="s">
        <v>21</v>
      </c>
      <c r="I271" s="2" t="s">
        <v>83</v>
      </c>
      <c r="J271" s="2" t="s">
        <v>66</v>
      </c>
      <c r="K271" s="2" t="s">
        <v>488</v>
      </c>
      <c r="L271" s="2" t="s">
        <v>32</v>
      </c>
      <c r="M271" s="2" t="s">
        <v>33</v>
      </c>
      <c r="N271" s="2" t="s">
        <v>27</v>
      </c>
      <c r="O271" s="1">
        <v>41697</v>
      </c>
      <c r="P271" s="3">
        <v>3.47</v>
      </c>
      <c r="Q271" s="3">
        <v>6.68</v>
      </c>
      <c r="R271" s="3">
        <f t="shared" si="25"/>
        <v>3.2099999999999995</v>
      </c>
      <c r="S271" s="2">
        <v>33</v>
      </c>
      <c r="T271" s="3">
        <f t="shared" si="26"/>
        <v>220.44</v>
      </c>
      <c r="U271" s="4">
        <v>0.03</v>
      </c>
      <c r="V271" s="6">
        <f t="shared" si="27"/>
        <v>6.6132</v>
      </c>
      <c r="W271" s="6">
        <f t="shared" si="28"/>
        <v>213.82679999999999</v>
      </c>
      <c r="X271" s="3">
        <v>1.5</v>
      </c>
      <c r="Y271" s="5">
        <f t="shared" si="29"/>
        <v>215.32679999999999</v>
      </c>
    </row>
    <row r="272" spans="1:25" x14ac:dyDescent="0.2">
      <c r="A272" t="s">
        <v>1191</v>
      </c>
      <c r="B272" s="1">
        <v>41698</v>
      </c>
      <c r="C272" s="2" t="str">
        <f t="shared" si="24"/>
        <v>2014</v>
      </c>
      <c r="D272" s="2" t="s">
        <v>771</v>
      </c>
      <c r="E272" s="2" t="s">
        <v>373</v>
      </c>
      <c r="F272" s="2" t="s">
        <v>36</v>
      </c>
      <c r="G272" s="2" t="s">
        <v>37</v>
      </c>
      <c r="H272" s="2" t="s">
        <v>42</v>
      </c>
      <c r="I272" s="2" t="s">
        <v>51</v>
      </c>
      <c r="J272" s="2" t="s">
        <v>30</v>
      </c>
      <c r="K272" s="2" t="s">
        <v>223</v>
      </c>
      <c r="L272" s="2" t="s">
        <v>32</v>
      </c>
      <c r="M272" s="2" t="s">
        <v>33</v>
      </c>
      <c r="N272" s="2" t="s">
        <v>27</v>
      </c>
      <c r="O272" s="1">
        <v>41699</v>
      </c>
      <c r="P272" s="3">
        <v>0.9</v>
      </c>
      <c r="Q272" s="3">
        <v>2.1</v>
      </c>
      <c r="R272" s="3">
        <f t="shared" si="25"/>
        <v>1.2000000000000002</v>
      </c>
      <c r="S272" s="2">
        <v>21</v>
      </c>
      <c r="T272" s="3">
        <f t="shared" si="26"/>
        <v>44.1</v>
      </c>
      <c r="U272" s="4">
        <v>0.04</v>
      </c>
      <c r="V272" s="6">
        <f t="shared" si="27"/>
        <v>1.764</v>
      </c>
      <c r="W272" s="6">
        <f t="shared" si="28"/>
        <v>42.335999999999999</v>
      </c>
      <c r="X272" s="3">
        <v>0.7</v>
      </c>
      <c r="Y272" s="5">
        <f t="shared" si="29"/>
        <v>43.036000000000001</v>
      </c>
    </row>
    <row r="273" spans="1:25" x14ac:dyDescent="0.2">
      <c r="A273" t="s">
        <v>1192</v>
      </c>
      <c r="B273" s="1">
        <v>41700</v>
      </c>
      <c r="C273" s="2" t="str">
        <f t="shared" si="24"/>
        <v>2014</v>
      </c>
      <c r="D273" s="2" t="s">
        <v>265</v>
      </c>
      <c r="E273" s="2" t="s">
        <v>266</v>
      </c>
      <c r="F273" s="2" t="s">
        <v>36</v>
      </c>
      <c r="G273" s="2" t="s">
        <v>37</v>
      </c>
      <c r="H273" s="2" t="s">
        <v>21</v>
      </c>
      <c r="I273" s="2" t="s">
        <v>153</v>
      </c>
      <c r="J273" s="2" t="s">
        <v>30</v>
      </c>
      <c r="K273" s="2" t="s">
        <v>669</v>
      </c>
      <c r="L273" s="2" t="s">
        <v>32</v>
      </c>
      <c r="M273" s="2" t="s">
        <v>26</v>
      </c>
      <c r="N273" s="2" t="s">
        <v>27</v>
      </c>
      <c r="O273" s="1">
        <v>41701</v>
      </c>
      <c r="P273" s="3">
        <v>18.38</v>
      </c>
      <c r="Q273" s="3">
        <v>29.17</v>
      </c>
      <c r="R273" s="3">
        <f t="shared" si="25"/>
        <v>10.790000000000003</v>
      </c>
      <c r="S273" s="2">
        <v>1</v>
      </c>
      <c r="T273" s="3">
        <f t="shared" si="26"/>
        <v>29.17</v>
      </c>
      <c r="U273" s="4">
        <v>0.02</v>
      </c>
      <c r="V273" s="6">
        <f t="shared" si="27"/>
        <v>0.58340000000000003</v>
      </c>
      <c r="W273" s="6">
        <f t="shared" si="28"/>
        <v>28.586600000000001</v>
      </c>
      <c r="X273" s="3">
        <v>6.27</v>
      </c>
      <c r="Y273" s="5">
        <f t="shared" si="29"/>
        <v>34.8566</v>
      </c>
    </row>
    <row r="274" spans="1:25" x14ac:dyDescent="0.2">
      <c r="A274" t="s">
        <v>1193</v>
      </c>
      <c r="B274" s="1">
        <v>41704</v>
      </c>
      <c r="C274" s="2" t="str">
        <f t="shared" si="24"/>
        <v>2014</v>
      </c>
      <c r="D274" s="2" t="s">
        <v>770</v>
      </c>
      <c r="E274" s="2" t="s">
        <v>246</v>
      </c>
      <c r="F274" s="2" t="s">
        <v>19</v>
      </c>
      <c r="G274" s="2" t="s">
        <v>20</v>
      </c>
      <c r="H274" s="2" t="s">
        <v>42</v>
      </c>
      <c r="I274" s="2" t="s">
        <v>22</v>
      </c>
      <c r="J274" s="2" t="s">
        <v>66</v>
      </c>
      <c r="K274" s="2" t="s">
        <v>247</v>
      </c>
      <c r="L274" s="2" t="s">
        <v>32</v>
      </c>
      <c r="M274" s="2" t="s">
        <v>26</v>
      </c>
      <c r="N274" s="2" t="s">
        <v>27</v>
      </c>
      <c r="O274" s="1">
        <v>41705</v>
      </c>
      <c r="P274" s="3">
        <v>4.46</v>
      </c>
      <c r="Q274" s="3">
        <v>10.89</v>
      </c>
      <c r="R274" s="3">
        <f t="shared" si="25"/>
        <v>6.4300000000000006</v>
      </c>
      <c r="S274" s="2">
        <v>32</v>
      </c>
      <c r="T274" s="3">
        <f t="shared" si="26"/>
        <v>348.48</v>
      </c>
      <c r="U274" s="4">
        <v>0.1</v>
      </c>
      <c r="V274" s="6">
        <f t="shared" si="27"/>
        <v>34.848000000000006</v>
      </c>
      <c r="W274" s="6">
        <f t="shared" si="28"/>
        <v>313.63200000000001</v>
      </c>
      <c r="X274" s="3">
        <v>4.5</v>
      </c>
      <c r="Y274" s="5">
        <f t="shared" si="29"/>
        <v>318.13200000000001</v>
      </c>
    </row>
    <row r="275" spans="1:25" x14ac:dyDescent="0.2">
      <c r="A275" t="s">
        <v>1194</v>
      </c>
      <c r="B275" s="1">
        <v>41708</v>
      </c>
      <c r="C275" s="2" t="str">
        <f t="shared" si="24"/>
        <v>2014</v>
      </c>
      <c r="D275" s="2" t="s">
        <v>769</v>
      </c>
      <c r="E275" s="2" t="s">
        <v>266</v>
      </c>
      <c r="F275" s="2" t="s">
        <v>36</v>
      </c>
      <c r="G275" s="2" t="s">
        <v>37</v>
      </c>
      <c r="H275" s="2" t="s">
        <v>50</v>
      </c>
      <c r="I275" s="2" t="s">
        <v>153</v>
      </c>
      <c r="J275" s="2" t="s">
        <v>52</v>
      </c>
      <c r="K275" s="2" t="s">
        <v>180</v>
      </c>
      <c r="L275" s="2" t="s">
        <v>32</v>
      </c>
      <c r="M275" s="2" t="s">
        <v>26</v>
      </c>
      <c r="N275" s="2" t="s">
        <v>27</v>
      </c>
      <c r="O275" s="1">
        <v>41709</v>
      </c>
      <c r="P275" s="3">
        <v>1.94</v>
      </c>
      <c r="Q275" s="3">
        <v>3.08</v>
      </c>
      <c r="R275" s="3">
        <f t="shared" si="25"/>
        <v>1.1400000000000001</v>
      </c>
      <c r="S275" s="2">
        <v>1</v>
      </c>
      <c r="T275" s="3">
        <f t="shared" si="26"/>
        <v>3.08</v>
      </c>
      <c r="U275" s="4">
        <v>0.08</v>
      </c>
      <c r="V275" s="6">
        <f t="shared" si="27"/>
        <v>0.24640000000000001</v>
      </c>
      <c r="W275" s="6">
        <f t="shared" si="28"/>
        <v>2.8336000000000001</v>
      </c>
      <c r="X275" s="3">
        <v>0.99</v>
      </c>
      <c r="Y275" s="5">
        <f t="shared" si="29"/>
        <v>3.8235999999999999</v>
      </c>
    </row>
    <row r="276" spans="1:25" x14ac:dyDescent="0.2">
      <c r="A276" t="s">
        <v>1195</v>
      </c>
      <c r="B276" s="1">
        <v>41709</v>
      </c>
      <c r="C276" s="2" t="str">
        <f t="shared" si="24"/>
        <v>2014</v>
      </c>
      <c r="D276" s="2" t="s">
        <v>767</v>
      </c>
      <c r="E276" s="2" t="s">
        <v>768</v>
      </c>
      <c r="F276" s="2" t="s">
        <v>36</v>
      </c>
      <c r="G276" s="2" t="s">
        <v>37</v>
      </c>
      <c r="H276" s="2" t="s">
        <v>50</v>
      </c>
      <c r="I276" s="2" t="s">
        <v>56</v>
      </c>
      <c r="J276" s="2" t="s">
        <v>30</v>
      </c>
      <c r="K276" s="2" t="s">
        <v>342</v>
      </c>
      <c r="L276" s="2" t="s">
        <v>32</v>
      </c>
      <c r="M276" s="2" t="s">
        <v>26</v>
      </c>
      <c r="N276" s="2" t="s">
        <v>27</v>
      </c>
      <c r="O276" s="1">
        <v>41710</v>
      </c>
      <c r="P276" s="3">
        <v>52.04</v>
      </c>
      <c r="Q276" s="3">
        <v>83.93</v>
      </c>
      <c r="R276" s="3">
        <f t="shared" si="25"/>
        <v>31.890000000000008</v>
      </c>
      <c r="S276" s="2">
        <v>50</v>
      </c>
      <c r="T276" s="3">
        <f t="shared" si="26"/>
        <v>4196.5</v>
      </c>
      <c r="U276" s="4">
        <v>0.1</v>
      </c>
      <c r="V276" s="6">
        <f t="shared" si="27"/>
        <v>419.65000000000003</v>
      </c>
      <c r="W276" s="6">
        <f t="shared" si="28"/>
        <v>3776.85</v>
      </c>
      <c r="X276" s="3">
        <v>19.989999999999998</v>
      </c>
      <c r="Y276" s="5">
        <f t="shared" si="29"/>
        <v>3796.8399999999997</v>
      </c>
    </row>
    <row r="277" spans="1:25" x14ac:dyDescent="0.2">
      <c r="A277" t="s">
        <v>1196</v>
      </c>
      <c r="B277" s="1">
        <v>41710</v>
      </c>
      <c r="C277" s="2" t="str">
        <f t="shared" si="24"/>
        <v>2014</v>
      </c>
      <c r="D277" s="2" t="s">
        <v>490</v>
      </c>
      <c r="E277" s="2" t="s">
        <v>1896</v>
      </c>
      <c r="F277" s="2" t="s">
        <v>1881</v>
      </c>
      <c r="G277" s="2" t="s">
        <v>1882</v>
      </c>
      <c r="H277" s="2" t="s">
        <v>21</v>
      </c>
      <c r="I277" s="2" t="s">
        <v>43</v>
      </c>
      <c r="J277" s="2" t="s">
        <v>44</v>
      </c>
      <c r="K277" s="2" t="s">
        <v>111</v>
      </c>
      <c r="L277" s="2" t="s">
        <v>25</v>
      </c>
      <c r="M277" s="2" t="s">
        <v>26</v>
      </c>
      <c r="N277" s="2" t="s">
        <v>89</v>
      </c>
      <c r="O277" s="1">
        <v>41711</v>
      </c>
      <c r="P277" s="3">
        <v>60.59</v>
      </c>
      <c r="Q277" s="3">
        <v>100.98</v>
      </c>
      <c r="R277" s="3">
        <f t="shared" si="25"/>
        <v>40.39</v>
      </c>
      <c r="S277" s="2">
        <v>5</v>
      </c>
      <c r="T277" s="3">
        <f t="shared" si="26"/>
        <v>504.90000000000003</v>
      </c>
      <c r="U277" s="4">
        <v>0.02</v>
      </c>
      <c r="V277" s="6">
        <f t="shared" si="27"/>
        <v>10.098000000000001</v>
      </c>
      <c r="W277" s="6">
        <f t="shared" si="28"/>
        <v>494.80200000000002</v>
      </c>
      <c r="X277" s="3">
        <v>7.18</v>
      </c>
      <c r="Y277" s="5">
        <f t="shared" si="29"/>
        <v>501.98200000000003</v>
      </c>
    </row>
    <row r="278" spans="1:25" x14ac:dyDescent="0.2">
      <c r="A278" t="s">
        <v>1197</v>
      </c>
      <c r="B278" s="1">
        <v>41711</v>
      </c>
      <c r="C278" s="2" t="str">
        <f t="shared" si="24"/>
        <v>2014</v>
      </c>
      <c r="D278" s="2" t="s">
        <v>766</v>
      </c>
      <c r="E278" s="2" t="s">
        <v>276</v>
      </c>
      <c r="F278" s="2" t="s">
        <v>19</v>
      </c>
      <c r="G278" s="2" t="s">
        <v>20</v>
      </c>
      <c r="H278" s="2" t="s">
        <v>50</v>
      </c>
      <c r="I278" s="2" t="s">
        <v>22</v>
      </c>
      <c r="J278" s="2" t="s">
        <v>23</v>
      </c>
      <c r="K278" s="2" t="s">
        <v>53</v>
      </c>
      <c r="L278" s="2" t="s">
        <v>32</v>
      </c>
      <c r="M278" s="2" t="s">
        <v>33</v>
      </c>
      <c r="N278" s="2" t="s">
        <v>27</v>
      </c>
      <c r="O278" s="1">
        <v>41711</v>
      </c>
      <c r="P278" s="3">
        <v>3.75</v>
      </c>
      <c r="Q278" s="3">
        <v>7.08</v>
      </c>
      <c r="R278" s="3">
        <f t="shared" si="25"/>
        <v>3.33</v>
      </c>
      <c r="S278" s="2">
        <v>34</v>
      </c>
      <c r="T278" s="3">
        <f t="shared" si="26"/>
        <v>240.72</v>
      </c>
      <c r="U278" s="4">
        <v>0.03</v>
      </c>
      <c r="V278" s="6">
        <f t="shared" si="27"/>
        <v>7.2215999999999996</v>
      </c>
      <c r="W278" s="6">
        <f t="shared" si="28"/>
        <v>233.4984</v>
      </c>
      <c r="X278" s="3">
        <v>2.35</v>
      </c>
      <c r="Y278" s="5">
        <f t="shared" si="29"/>
        <v>235.8484</v>
      </c>
    </row>
    <row r="279" spans="1:25" x14ac:dyDescent="0.2">
      <c r="A279" t="s">
        <v>1198</v>
      </c>
      <c r="B279" s="1">
        <v>41713</v>
      </c>
      <c r="C279" s="2" t="str">
        <f t="shared" si="24"/>
        <v>2014</v>
      </c>
      <c r="D279" s="2" t="s">
        <v>742</v>
      </c>
      <c r="E279" s="2" t="s">
        <v>465</v>
      </c>
      <c r="F279" s="2" t="s">
        <v>36</v>
      </c>
      <c r="G279" s="2" t="s">
        <v>37</v>
      </c>
      <c r="H279" s="2" t="s">
        <v>42</v>
      </c>
      <c r="I279" s="2" t="s">
        <v>79</v>
      </c>
      <c r="J279" s="2" t="s">
        <v>66</v>
      </c>
      <c r="K279" s="2" t="s">
        <v>72</v>
      </c>
      <c r="L279" s="2" t="s">
        <v>32</v>
      </c>
      <c r="M279" s="2" t="s">
        <v>26</v>
      </c>
      <c r="N279" s="2" t="s">
        <v>27</v>
      </c>
      <c r="O279" s="1">
        <v>41713</v>
      </c>
      <c r="P279" s="3">
        <v>3.5</v>
      </c>
      <c r="Q279" s="3">
        <v>5.74</v>
      </c>
      <c r="R279" s="3">
        <f t="shared" si="25"/>
        <v>2.2400000000000002</v>
      </c>
      <c r="S279" s="2">
        <v>45</v>
      </c>
      <c r="T279" s="3">
        <f t="shared" si="26"/>
        <v>258.3</v>
      </c>
      <c r="U279" s="4">
        <v>0</v>
      </c>
      <c r="V279" s="6">
        <f t="shared" si="27"/>
        <v>0</v>
      </c>
      <c r="W279" s="6">
        <f t="shared" si="28"/>
        <v>258.3</v>
      </c>
      <c r="X279" s="3">
        <v>5.01</v>
      </c>
      <c r="Y279" s="5">
        <f t="shared" si="29"/>
        <v>263.31</v>
      </c>
    </row>
    <row r="280" spans="1:25" x14ac:dyDescent="0.2">
      <c r="A280" t="s">
        <v>1199</v>
      </c>
      <c r="B280" s="1">
        <v>41715</v>
      </c>
      <c r="C280" s="2" t="str">
        <f t="shared" si="24"/>
        <v>2014</v>
      </c>
      <c r="D280" s="2" t="s">
        <v>680</v>
      </c>
      <c r="E280" s="2" t="s">
        <v>119</v>
      </c>
      <c r="F280" s="2" t="s">
        <v>36</v>
      </c>
      <c r="G280" s="2" t="s">
        <v>37</v>
      </c>
      <c r="H280" s="2" t="s">
        <v>21</v>
      </c>
      <c r="I280" s="2" t="s">
        <v>75</v>
      </c>
      <c r="J280" s="2" t="s">
        <v>66</v>
      </c>
      <c r="K280" s="2" t="s">
        <v>163</v>
      </c>
      <c r="L280" s="2" t="s">
        <v>32</v>
      </c>
      <c r="M280" s="2" t="s">
        <v>33</v>
      </c>
      <c r="N280" s="2" t="s">
        <v>27</v>
      </c>
      <c r="O280" s="1">
        <v>41716</v>
      </c>
      <c r="P280" s="3">
        <v>1.0900000000000001</v>
      </c>
      <c r="Q280" s="3">
        <v>2.6</v>
      </c>
      <c r="R280" s="3">
        <f t="shared" si="25"/>
        <v>1.51</v>
      </c>
      <c r="S280" s="2">
        <v>43</v>
      </c>
      <c r="T280" s="3">
        <f t="shared" si="26"/>
        <v>111.8</v>
      </c>
      <c r="U280" s="4">
        <v>0.01</v>
      </c>
      <c r="V280" s="6">
        <f t="shared" si="27"/>
        <v>1.1180000000000001</v>
      </c>
      <c r="W280" s="6">
        <f t="shared" si="28"/>
        <v>110.682</v>
      </c>
      <c r="X280" s="3">
        <v>2.4</v>
      </c>
      <c r="Y280" s="5">
        <f t="shared" si="29"/>
        <v>113.08200000000001</v>
      </c>
    </row>
    <row r="281" spans="1:25" x14ac:dyDescent="0.2">
      <c r="A281" t="s">
        <v>1200</v>
      </c>
      <c r="B281" s="1">
        <v>41715</v>
      </c>
      <c r="C281" s="2" t="str">
        <f t="shared" si="24"/>
        <v>2014</v>
      </c>
      <c r="D281" s="2" t="s">
        <v>670</v>
      </c>
      <c r="E281" s="2" t="s">
        <v>213</v>
      </c>
      <c r="F281" s="2" t="s">
        <v>36</v>
      </c>
      <c r="G281" s="2" t="s">
        <v>37</v>
      </c>
      <c r="H281" s="2" t="s">
        <v>50</v>
      </c>
      <c r="I281" s="2" t="s">
        <v>79</v>
      </c>
      <c r="J281" s="2" t="s">
        <v>52</v>
      </c>
      <c r="K281" s="2" t="s">
        <v>154</v>
      </c>
      <c r="L281" s="2" t="s">
        <v>32</v>
      </c>
      <c r="M281" s="2" t="s">
        <v>26</v>
      </c>
      <c r="N281" s="2" t="s">
        <v>27</v>
      </c>
      <c r="O281" s="1">
        <v>41716</v>
      </c>
      <c r="P281" s="3">
        <v>8.92</v>
      </c>
      <c r="Q281" s="3">
        <v>29.74</v>
      </c>
      <c r="R281" s="3">
        <f t="shared" si="25"/>
        <v>20.82</v>
      </c>
      <c r="S281" s="2">
        <v>25</v>
      </c>
      <c r="T281" s="3">
        <f t="shared" si="26"/>
        <v>743.5</v>
      </c>
      <c r="U281" s="4">
        <v>0</v>
      </c>
      <c r="V281" s="6">
        <f t="shared" si="27"/>
        <v>0</v>
      </c>
      <c r="W281" s="6">
        <f t="shared" si="28"/>
        <v>743.5</v>
      </c>
      <c r="X281" s="3">
        <v>6.64</v>
      </c>
      <c r="Y281" s="5">
        <f t="shared" si="29"/>
        <v>750.14</v>
      </c>
    </row>
    <row r="282" spans="1:25" x14ac:dyDescent="0.2">
      <c r="A282" t="s">
        <v>1201</v>
      </c>
      <c r="B282" s="1">
        <v>41715</v>
      </c>
      <c r="C282" s="2" t="str">
        <f t="shared" si="24"/>
        <v>2014</v>
      </c>
      <c r="D282" s="2" t="s">
        <v>765</v>
      </c>
      <c r="E282" s="2" t="s">
        <v>199</v>
      </c>
      <c r="F282" s="2" t="s">
        <v>19</v>
      </c>
      <c r="G282" s="2" t="s">
        <v>20</v>
      </c>
      <c r="H282" s="2" t="s">
        <v>42</v>
      </c>
      <c r="I282" s="2" t="s">
        <v>92</v>
      </c>
      <c r="J282" s="2" t="s">
        <v>52</v>
      </c>
      <c r="K282" s="2" t="s">
        <v>289</v>
      </c>
      <c r="L282" s="2" t="s">
        <v>32</v>
      </c>
      <c r="M282" s="2" t="s">
        <v>26</v>
      </c>
      <c r="N282" s="2" t="s">
        <v>27</v>
      </c>
      <c r="O282" s="1">
        <v>41716</v>
      </c>
      <c r="P282" s="3">
        <v>21.97</v>
      </c>
      <c r="Q282" s="3">
        <v>35.44</v>
      </c>
      <c r="R282" s="3">
        <f t="shared" si="25"/>
        <v>13.469999999999999</v>
      </c>
      <c r="S282" s="2">
        <v>21</v>
      </c>
      <c r="T282" s="3">
        <f t="shared" si="26"/>
        <v>744.24</v>
      </c>
      <c r="U282" s="4">
        <v>0</v>
      </c>
      <c r="V282" s="6">
        <f t="shared" si="27"/>
        <v>0</v>
      </c>
      <c r="W282" s="6">
        <f t="shared" si="28"/>
        <v>744.24</v>
      </c>
      <c r="X282" s="3">
        <v>4.92</v>
      </c>
      <c r="Y282" s="5">
        <f t="shared" si="29"/>
        <v>749.16</v>
      </c>
    </row>
    <row r="283" spans="1:25" x14ac:dyDescent="0.2">
      <c r="A283" t="s">
        <v>1202</v>
      </c>
      <c r="B283" s="1">
        <v>41717</v>
      </c>
      <c r="C283" s="2" t="str">
        <f t="shared" si="24"/>
        <v>2014</v>
      </c>
      <c r="D283" s="2" t="s">
        <v>201</v>
      </c>
      <c r="E283" s="2" t="s">
        <v>202</v>
      </c>
      <c r="F283" s="2" t="s">
        <v>19</v>
      </c>
      <c r="G283" s="2" t="s">
        <v>20</v>
      </c>
      <c r="H283" s="2" t="s">
        <v>42</v>
      </c>
      <c r="I283" s="2" t="s">
        <v>22</v>
      </c>
      <c r="J283" s="2" t="s">
        <v>66</v>
      </c>
      <c r="K283" s="2" t="s">
        <v>103</v>
      </c>
      <c r="L283" s="2" t="s">
        <v>32</v>
      </c>
      <c r="M283" s="2" t="s">
        <v>26</v>
      </c>
      <c r="N283" s="2" t="s">
        <v>27</v>
      </c>
      <c r="O283" s="1">
        <v>41719</v>
      </c>
      <c r="P283" s="3">
        <v>2.2599999999999998</v>
      </c>
      <c r="Q283" s="3">
        <v>3.58</v>
      </c>
      <c r="R283" s="3">
        <f t="shared" si="25"/>
        <v>1.3200000000000003</v>
      </c>
      <c r="S283" s="2">
        <v>39</v>
      </c>
      <c r="T283" s="3">
        <f t="shared" si="26"/>
        <v>139.62</v>
      </c>
      <c r="U283" s="4">
        <v>0</v>
      </c>
      <c r="V283" s="6">
        <f t="shared" si="27"/>
        <v>0</v>
      </c>
      <c r="W283" s="6">
        <f t="shared" si="28"/>
        <v>139.62</v>
      </c>
      <c r="X283" s="3">
        <v>5.47</v>
      </c>
      <c r="Y283" s="5">
        <f t="shared" si="29"/>
        <v>145.09</v>
      </c>
    </row>
    <row r="284" spans="1:25" x14ac:dyDescent="0.2">
      <c r="A284" t="s">
        <v>1203</v>
      </c>
      <c r="B284" s="1">
        <v>41719</v>
      </c>
      <c r="C284" s="2" t="str">
        <f t="shared" si="24"/>
        <v>2014</v>
      </c>
      <c r="D284" s="2" t="s">
        <v>764</v>
      </c>
      <c r="E284" s="2" t="s">
        <v>694</v>
      </c>
      <c r="F284" s="2" t="s">
        <v>36</v>
      </c>
      <c r="G284" s="2" t="s">
        <v>37</v>
      </c>
      <c r="H284" s="2" t="s">
        <v>21</v>
      </c>
      <c r="I284" s="2" t="s">
        <v>83</v>
      </c>
      <c r="J284" s="2" t="s">
        <v>23</v>
      </c>
      <c r="K284" s="2" t="s">
        <v>180</v>
      </c>
      <c r="L284" s="2" t="s">
        <v>32</v>
      </c>
      <c r="M284" s="2" t="s">
        <v>26</v>
      </c>
      <c r="N284" s="2" t="s">
        <v>27</v>
      </c>
      <c r="O284" s="1">
        <v>41724</v>
      </c>
      <c r="P284" s="3">
        <v>1.94</v>
      </c>
      <c r="Q284" s="3">
        <v>3.08</v>
      </c>
      <c r="R284" s="3">
        <f t="shared" si="25"/>
        <v>1.1400000000000001</v>
      </c>
      <c r="S284" s="2">
        <v>5</v>
      </c>
      <c r="T284" s="3">
        <f t="shared" si="26"/>
        <v>15.4</v>
      </c>
      <c r="U284" s="4">
        <v>0.06</v>
      </c>
      <c r="V284" s="6">
        <f t="shared" si="27"/>
        <v>0.92399999999999993</v>
      </c>
      <c r="W284" s="6">
        <f t="shared" si="28"/>
        <v>14.476000000000001</v>
      </c>
      <c r="X284" s="3">
        <v>0.99</v>
      </c>
      <c r="Y284" s="5">
        <f t="shared" si="29"/>
        <v>15.466000000000001</v>
      </c>
    </row>
    <row r="285" spans="1:25" x14ac:dyDescent="0.2">
      <c r="A285" t="s">
        <v>1204</v>
      </c>
      <c r="B285" s="1">
        <v>41726</v>
      </c>
      <c r="C285" s="2" t="str">
        <f t="shared" si="24"/>
        <v>2014</v>
      </c>
      <c r="D285" s="2" t="s">
        <v>462</v>
      </c>
      <c r="E285" s="2" t="s">
        <v>188</v>
      </c>
      <c r="F285" s="2" t="s">
        <v>36</v>
      </c>
      <c r="G285" s="2" t="s">
        <v>37</v>
      </c>
      <c r="H285" s="2" t="s">
        <v>42</v>
      </c>
      <c r="I285" s="2" t="s">
        <v>75</v>
      </c>
      <c r="J285" s="2" t="s">
        <v>44</v>
      </c>
      <c r="K285" s="2" t="s">
        <v>205</v>
      </c>
      <c r="L285" s="2" t="s">
        <v>32</v>
      </c>
      <c r="M285" s="2" t="s">
        <v>26</v>
      </c>
      <c r="N285" s="2" t="s">
        <v>27</v>
      </c>
      <c r="O285" s="1">
        <v>41726</v>
      </c>
      <c r="P285" s="3">
        <v>11.04</v>
      </c>
      <c r="Q285" s="3">
        <v>16.98</v>
      </c>
      <c r="R285" s="3">
        <f t="shared" si="25"/>
        <v>5.9400000000000013</v>
      </c>
      <c r="S285" s="2">
        <v>31</v>
      </c>
      <c r="T285" s="3">
        <f t="shared" si="26"/>
        <v>526.38</v>
      </c>
      <c r="U285" s="4">
        <v>0.03</v>
      </c>
      <c r="V285" s="6">
        <f t="shared" si="27"/>
        <v>15.791399999999999</v>
      </c>
      <c r="W285" s="6">
        <f t="shared" si="28"/>
        <v>510.58859999999999</v>
      </c>
      <c r="X285" s="3">
        <v>12.39</v>
      </c>
      <c r="Y285" s="5">
        <f t="shared" si="29"/>
        <v>522.97860000000003</v>
      </c>
    </row>
    <row r="286" spans="1:25" x14ac:dyDescent="0.2">
      <c r="A286" t="s">
        <v>1205</v>
      </c>
      <c r="B286" s="1">
        <v>41727</v>
      </c>
      <c r="C286" s="2" t="str">
        <f t="shared" si="24"/>
        <v>2014</v>
      </c>
      <c r="D286" s="2" t="s">
        <v>469</v>
      </c>
      <c r="E286" s="2" t="s">
        <v>470</v>
      </c>
      <c r="F286" s="2" t="s">
        <v>36</v>
      </c>
      <c r="G286" s="2" t="s">
        <v>37</v>
      </c>
      <c r="H286" s="2" t="s">
        <v>29</v>
      </c>
      <c r="I286" s="2" t="s">
        <v>83</v>
      </c>
      <c r="J286" s="2" t="s">
        <v>52</v>
      </c>
      <c r="K286" s="2" t="s">
        <v>330</v>
      </c>
      <c r="L286" s="2" t="s">
        <v>32</v>
      </c>
      <c r="M286" s="2" t="s">
        <v>26</v>
      </c>
      <c r="N286" s="2" t="s">
        <v>27</v>
      </c>
      <c r="O286" s="1">
        <v>41728</v>
      </c>
      <c r="P286" s="3">
        <v>4.53</v>
      </c>
      <c r="Q286" s="3">
        <v>7.3</v>
      </c>
      <c r="R286" s="3">
        <f t="shared" si="25"/>
        <v>2.7699999999999996</v>
      </c>
      <c r="S286" s="2">
        <v>18</v>
      </c>
      <c r="T286" s="3">
        <f t="shared" si="26"/>
        <v>131.4</v>
      </c>
      <c r="U286" s="4">
        <v>0.05</v>
      </c>
      <c r="V286" s="6">
        <f t="shared" si="27"/>
        <v>6.57</v>
      </c>
      <c r="W286" s="6">
        <f t="shared" si="28"/>
        <v>124.83000000000001</v>
      </c>
      <c r="X286" s="3">
        <v>7.72</v>
      </c>
      <c r="Y286" s="5">
        <f t="shared" si="29"/>
        <v>132.55000000000001</v>
      </c>
    </row>
    <row r="287" spans="1:25" x14ac:dyDescent="0.2">
      <c r="A287" t="s">
        <v>1206</v>
      </c>
      <c r="B287" s="1">
        <v>41729</v>
      </c>
      <c r="C287" s="2" t="str">
        <f t="shared" si="24"/>
        <v>2014</v>
      </c>
      <c r="D287" s="2" t="s">
        <v>235</v>
      </c>
      <c r="E287" s="2" t="s">
        <v>105</v>
      </c>
      <c r="F287" s="2" t="s">
        <v>36</v>
      </c>
      <c r="G287" s="2" t="s">
        <v>37</v>
      </c>
      <c r="H287" s="2" t="s">
        <v>21</v>
      </c>
      <c r="I287" s="2" t="s">
        <v>56</v>
      </c>
      <c r="J287" s="2" t="s">
        <v>52</v>
      </c>
      <c r="K287" s="2" t="s">
        <v>491</v>
      </c>
      <c r="L287" s="2" t="s">
        <v>32</v>
      </c>
      <c r="M287" s="2" t="s">
        <v>33</v>
      </c>
      <c r="N287" s="2" t="s">
        <v>27</v>
      </c>
      <c r="O287" s="1">
        <v>41729</v>
      </c>
      <c r="P287" s="3">
        <v>4.37</v>
      </c>
      <c r="Q287" s="3">
        <v>9.11</v>
      </c>
      <c r="R287" s="3">
        <f t="shared" si="25"/>
        <v>4.7399999999999993</v>
      </c>
      <c r="S287" s="2">
        <v>1</v>
      </c>
      <c r="T287" s="3">
        <f t="shared" si="26"/>
        <v>9.11</v>
      </c>
      <c r="U287" s="4">
        <v>0.1</v>
      </c>
      <c r="V287" s="6">
        <f t="shared" si="27"/>
        <v>0.91100000000000003</v>
      </c>
      <c r="W287" s="6">
        <f t="shared" si="28"/>
        <v>8.1989999999999998</v>
      </c>
      <c r="X287" s="3">
        <v>2.25</v>
      </c>
      <c r="Y287" s="5">
        <f t="shared" si="29"/>
        <v>10.449</v>
      </c>
    </row>
    <row r="288" spans="1:25" x14ac:dyDescent="0.2">
      <c r="A288" t="s">
        <v>1207</v>
      </c>
      <c r="B288" s="1">
        <v>41730</v>
      </c>
      <c r="C288" s="2" t="str">
        <f t="shared" si="24"/>
        <v>2014</v>
      </c>
      <c r="D288" s="2" t="s">
        <v>763</v>
      </c>
      <c r="E288" s="2" t="s">
        <v>1918</v>
      </c>
      <c r="F288" s="2" t="s">
        <v>36</v>
      </c>
      <c r="G288" s="2" t="s">
        <v>37</v>
      </c>
      <c r="H288" s="2" t="s">
        <v>29</v>
      </c>
      <c r="I288" s="2" t="s">
        <v>102</v>
      </c>
      <c r="J288" s="2" t="s">
        <v>66</v>
      </c>
      <c r="K288" s="2" t="s">
        <v>234</v>
      </c>
      <c r="L288" s="2" t="s">
        <v>32</v>
      </c>
      <c r="M288" s="2" t="s">
        <v>58</v>
      </c>
      <c r="N288" s="2" t="s">
        <v>27</v>
      </c>
      <c r="O288" s="1">
        <v>41731</v>
      </c>
      <c r="P288" s="3">
        <v>16.8</v>
      </c>
      <c r="Q288" s="3">
        <v>40.97</v>
      </c>
      <c r="R288" s="3">
        <f t="shared" si="25"/>
        <v>24.169999999999998</v>
      </c>
      <c r="S288" s="2">
        <v>44</v>
      </c>
      <c r="T288" s="3">
        <f t="shared" si="26"/>
        <v>1802.6799999999998</v>
      </c>
      <c r="U288" s="4">
        <v>0.08</v>
      </c>
      <c r="V288" s="6">
        <f t="shared" si="27"/>
        <v>144.21439999999998</v>
      </c>
      <c r="W288" s="6">
        <f t="shared" si="28"/>
        <v>1658.4655999999998</v>
      </c>
      <c r="X288" s="3">
        <v>8.99</v>
      </c>
      <c r="Y288" s="5">
        <f t="shared" si="29"/>
        <v>1667.4555999999998</v>
      </c>
    </row>
    <row r="289" spans="1:25" x14ac:dyDescent="0.2">
      <c r="A289" t="s">
        <v>1208</v>
      </c>
      <c r="B289" s="1">
        <v>41731</v>
      </c>
      <c r="C289" s="2" t="str">
        <f t="shared" si="24"/>
        <v>2014</v>
      </c>
      <c r="D289" s="2" t="s">
        <v>762</v>
      </c>
      <c r="E289" s="2" t="s">
        <v>246</v>
      </c>
      <c r="F289" s="2" t="s">
        <v>19</v>
      </c>
      <c r="G289" s="2" t="s">
        <v>20</v>
      </c>
      <c r="H289" s="2" t="s">
        <v>50</v>
      </c>
      <c r="I289" s="2" t="s">
        <v>22</v>
      </c>
      <c r="J289" s="2" t="s">
        <v>30</v>
      </c>
      <c r="K289" s="2" t="s">
        <v>685</v>
      </c>
      <c r="L289" s="2" t="s">
        <v>32</v>
      </c>
      <c r="M289" s="2" t="s">
        <v>26</v>
      </c>
      <c r="N289" s="2" t="s">
        <v>27</v>
      </c>
      <c r="O289" s="1">
        <v>41733</v>
      </c>
      <c r="P289" s="3">
        <v>7.13</v>
      </c>
      <c r="Q289" s="3">
        <v>20.98</v>
      </c>
      <c r="R289" s="3">
        <f t="shared" si="25"/>
        <v>13.850000000000001</v>
      </c>
      <c r="S289" s="2">
        <v>39</v>
      </c>
      <c r="T289" s="3">
        <f t="shared" si="26"/>
        <v>818.22</v>
      </c>
      <c r="U289" s="4">
        <v>0.04</v>
      </c>
      <c r="V289" s="6">
        <f t="shared" si="27"/>
        <v>32.7288</v>
      </c>
      <c r="W289" s="6">
        <f t="shared" si="28"/>
        <v>785.49120000000005</v>
      </c>
      <c r="X289" s="3">
        <v>5.42</v>
      </c>
      <c r="Y289" s="5">
        <f t="shared" si="29"/>
        <v>790.91120000000001</v>
      </c>
    </row>
    <row r="290" spans="1:25" x14ac:dyDescent="0.2">
      <c r="A290" t="s">
        <v>1209</v>
      </c>
      <c r="B290" s="1">
        <v>41731</v>
      </c>
      <c r="C290" s="2" t="str">
        <f t="shared" si="24"/>
        <v>2014</v>
      </c>
      <c r="D290" s="2" t="s">
        <v>262</v>
      </c>
      <c r="E290" s="2" t="s">
        <v>263</v>
      </c>
      <c r="F290" s="2" t="s">
        <v>36</v>
      </c>
      <c r="G290" s="2" t="s">
        <v>37</v>
      </c>
      <c r="H290" s="2" t="s">
        <v>29</v>
      </c>
      <c r="I290" s="2" t="s">
        <v>142</v>
      </c>
      <c r="J290" s="2" t="s">
        <v>66</v>
      </c>
      <c r="K290" s="2" t="s">
        <v>57</v>
      </c>
      <c r="L290" s="2" t="s">
        <v>32</v>
      </c>
      <c r="M290" s="2" t="s">
        <v>58</v>
      </c>
      <c r="N290" s="2" t="s">
        <v>27</v>
      </c>
      <c r="O290" s="1">
        <v>41733</v>
      </c>
      <c r="P290" s="3">
        <v>1.46</v>
      </c>
      <c r="Q290" s="3">
        <v>3.57</v>
      </c>
      <c r="R290" s="3">
        <f t="shared" si="25"/>
        <v>2.11</v>
      </c>
      <c r="S290" s="2">
        <v>41</v>
      </c>
      <c r="T290" s="3">
        <f t="shared" si="26"/>
        <v>146.37</v>
      </c>
      <c r="U290" s="4">
        <v>0.03</v>
      </c>
      <c r="V290" s="6">
        <f t="shared" si="27"/>
        <v>4.3910999999999998</v>
      </c>
      <c r="W290" s="6">
        <f t="shared" si="28"/>
        <v>141.97890000000001</v>
      </c>
      <c r="X290" s="3">
        <v>4.17</v>
      </c>
      <c r="Y290" s="5">
        <f t="shared" si="29"/>
        <v>146.1489</v>
      </c>
    </row>
    <row r="291" spans="1:25" x14ac:dyDescent="0.2">
      <c r="A291" t="s">
        <v>1210</v>
      </c>
      <c r="B291" s="1">
        <v>41732</v>
      </c>
      <c r="C291" s="2" t="str">
        <f t="shared" si="24"/>
        <v>2014</v>
      </c>
      <c r="D291" s="2" t="s">
        <v>761</v>
      </c>
      <c r="E291" s="2" t="s">
        <v>1907</v>
      </c>
      <c r="F291" s="2" t="s">
        <v>36</v>
      </c>
      <c r="G291" s="2" t="s">
        <v>37</v>
      </c>
      <c r="H291" s="2" t="s">
        <v>29</v>
      </c>
      <c r="I291" s="2" t="s">
        <v>124</v>
      </c>
      <c r="J291" s="2" t="s">
        <v>30</v>
      </c>
      <c r="K291" s="2" t="s">
        <v>529</v>
      </c>
      <c r="L291" s="2" t="s">
        <v>32</v>
      </c>
      <c r="M291" s="2" t="s">
        <v>33</v>
      </c>
      <c r="N291" s="2" t="s">
        <v>27</v>
      </c>
      <c r="O291" s="1">
        <v>41734</v>
      </c>
      <c r="P291" s="3">
        <v>2.13</v>
      </c>
      <c r="Q291" s="3">
        <v>3.49</v>
      </c>
      <c r="R291" s="3">
        <f t="shared" si="25"/>
        <v>1.3600000000000003</v>
      </c>
      <c r="S291" s="2">
        <v>46</v>
      </c>
      <c r="T291" s="3">
        <f t="shared" si="26"/>
        <v>160.54000000000002</v>
      </c>
      <c r="U291" s="4">
        <v>0.01</v>
      </c>
      <c r="V291" s="6">
        <f t="shared" si="27"/>
        <v>1.6054000000000002</v>
      </c>
      <c r="W291" s="6">
        <f t="shared" si="28"/>
        <v>158.93460000000002</v>
      </c>
      <c r="X291" s="3">
        <v>0.76</v>
      </c>
      <c r="Y291" s="5">
        <f t="shared" si="29"/>
        <v>159.69460000000001</v>
      </c>
    </row>
    <row r="292" spans="1:25" x14ac:dyDescent="0.2">
      <c r="A292" t="s">
        <v>1211</v>
      </c>
      <c r="B292" s="1">
        <v>41733</v>
      </c>
      <c r="C292" s="2" t="str">
        <f t="shared" si="24"/>
        <v>2014</v>
      </c>
      <c r="D292" s="2" t="s">
        <v>698</v>
      </c>
      <c r="E292" s="2" t="s">
        <v>166</v>
      </c>
      <c r="F292" s="2" t="s">
        <v>19</v>
      </c>
      <c r="G292" s="2" t="s">
        <v>20</v>
      </c>
      <c r="H292" s="2" t="s">
        <v>42</v>
      </c>
      <c r="I292" s="2" t="s">
        <v>92</v>
      </c>
      <c r="J292" s="2" t="s">
        <v>52</v>
      </c>
      <c r="K292" s="2" t="s">
        <v>227</v>
      </c>
      <c r="L292" s="2" t="s">
        <v>32</v>
      </c>
      <c r="M292" s="2" t="s">
        <v>26</v>
      </c>
      <c r="N292" s="2" t="s">
        <v>27</v>
      </c>
      <c r="O292" s="1">
        <v>41734</v>
      </c>
      <c r="P292" s="3">
        <v>3.84</v>
      </c>
      <c r="Q292" s="3">
        <v>6.3</v>
      </c>
      <c r="R292" s="3">
        <f t="shared" si="25"/>
        <v>2.46</v>
      </c>
      <c r="S292" s="2">
        <v>18</v>
      </c>
      <c r="T292" s="3">
        <f t="shared" si="26"/>
        <v>113.39999999999999</v>
      </c>
      <c r="U292" s="4">
        <v>0.1</v>
      </c>
      <c r="V292" s="6">
        <f t="shared" si="27"/>
        <v>11.34</v>
      </c>
      <c r="W292" s="6">
        <f t="shared" si="28"/>
        <v>102.05999999999999</v>
      </c>
      <c r="X292" s="3">
        <v>0.5</v>
      </c>
      <c r="Y292" s="5">
        <f t="shared" si="29"/>
        <v>102.55999999999999</v>
      </c>
    </row>
    <row r="293" spans="1:25" x14ac:dyDescent="0.2">
      <c r="A293" t="s">
        <v>1212</v>
      </c>
      <c r="B293" s="1">
        <v>41735</v>
      </c>
      <c r="C293" s="2" t="str">
        <f t="shared" si="24"/>
        <v>2014</v>
      </c>
      <c r="D293" s="2" t="s">
        <v>760</v>
      </c>
      <c r="E293" s="2" t="s">
        <v>263</v>
      </c>
      <c r="F293" s="2" t="s">
        <v>36</v>
      </c>
      <c r="G293" s="2" t="s">
        <v>37</v>
      </c>
      <c r="H293" s="2" t="s">
        <v>50</v>
      </c>
      <c r="I293" s="2" t="s">
        <v>142</v>
      </c>
      <c r="J293" s="2" t="s">
        <v>23</v>
      </c>
      <c r="K293" s="2" t="s">
        <v>200</v>
      </c>
      <c r="L293" s="2" t="s">
        <v>32</v>
      </c>
      <c r="M293" s="2" t="s">
        <v>33</v>
      </c>
      <c r="N293" s="2" t="s">
        <v>27</v>
      </c>
      <c r="O293" s="1">
        <v>41740</v>
      </c>
      <c r="P293" s="3">
        <v>1.05</v>
      </c>
      <c r="Q293" s="3">
        <v>1.95</v>
      </c>
      <c r="R293" s="3">
        <f t="shared" si="25"/>
        <v>0.89999999999999991</v>
      </c>
      <c r="S293" s="2">
        <v>31</v>
      </c>
      <c r="T293" s="3">
        <f t="shared" si="26"/>
        <v>60.449999999999996</v>
      </c>
      <c r="U293" s="4">
        <v>0.02</v>
      </c>
      <c r="V293" s="6">
        <f t="shared" si="27"/>
        <v>1.2089999999999999</v>
      </c>
      <c r="W293" s="6">
        <f t="shared" si="28"/>
        <v>59.240999999999993</v>
      </c>
      <c r="X293" s="3">
        <v>1.63</v>
      </c>
      <c r="Y293" s="5">
        <f t="shared" si="29"/>
        <v>60.870999999999995</v>
      </c>
    </row>
    <row r="294" spans="1:25" x14ac:dyDescent="0.2">
      <c r="A294" t="s">
        <v>1213</v>
      </c>
      <c r="B294" s="1">
        <v>41736</v>
      </c>
      <c r="C294" s="2" t="str">
        <f t="shared" si="24"/>
        <v>2014</v>
      </c>
      <c r="D294" s="2" t="s">
        <v>288</v>
      </c>
      <c r="E294" s="2" t="s">
        <v>46</v>
      </c>
      <c r="F294" s="2" t="s">
        <v>19</v>
      </c>
      <c r="G294" s="2" t="s">
        <v>20</v>
      </c>
      <c r="H294" s="2" t="s">
        <v>50</v>
      </c>
      <c r="I294" s="2" t="s">
        <v>22</v>
      </c>
      <c r="J294" s="2" t="s">
        <v>66</v>
      </c>
      <c r="K294" s="2" t="s">
        <v>155</v>
      </c>
      <c r="L294" s="2" t="s">
        <v>32</v>
      </c>
      <c r="M294" s="2" t="s">
        <v>33</v>
      </c>
      <c r="N294" s="2" t="s">
        <v>27</v>
      </c>
      <c r="O294" s="1">
        <v>41736</v>
      </c>
      <c r="P294" s="3">
        <v>0.24</v>
      </c>
      <c r="Q294" s="3">
        <v>1.26</v>
      </c>
      <c r="R294" s="3">
        <f t="shared" si="25"/>
        <v>1.02</v>
      </c>
      <c r="S294" s="2">
        <v>35</v>
      </c>
      <c r="T294" s="3">
        <f t="shared" si="26"/>
        <v>44.1</v>
      </c>
      <c r="U294" s="4">
        <v>0.09</v>
      </c>
      <c r="V294" s="6">
        <f t="shared" si="27"/>
        <v>3.9689999999999999</v>
      </c>
      <c r="W294" s="6">
        <f t="shared" si="28"/>
        <v>40.131</v>
      </c>
      <c r="X294" s="3">
        <v>0.7</v>
      </c>
      <c r="Y294" s="5">
        <f t="shared" si="29"/>
        <v>40.831000000000003</v>
      </c>
    </row>
    <row r="295" spans="1:25" x14ac:dyDescent="0.2">
      <c r="A295" t="s">
        <v>1214</v>
      </c>
      <c r="B295" s="1">
        <v>41736</v>
      </c>
      <c r="C295" s="2" t="str">
        <f t="shared" si="24"/>
        <v>2014</v>
      </c>
      <c r="D295" s="2" t="s">
        <v>759</v>
      </c>
      <c r="E295" s="2" t="s">
        <v>470</v>
      </c>
      <c r="F295" s="2" t="s">
        <v>36</v>
      </c>
      <c r="G295" s="2" t="s">
        <v>37</v>
      </c>
      <c r="H295" s="2" t="s">
        <v>21</v>
      </c>
      <c r="I295" s="2" t="s">
        <v>83</v>
      </c>
      <c r="J295" s="2" t="s">
        <v>52</v>
      </c>
      <c r="K295" s="2" t="s">
        <v>536</v>
      </c>
      <c r="L295" s="2" t="s">
        <v>25</v>
      </c>
      <c r="M295" s="2" t="s">
        <v>62</v>
      </c>
      <c r="N295" s="2" t="s">
        <v>63</v>
      </c>
      <c r="O295" s="1">
        <v>41736</v>
      </c>
      <c r="P295" s="3">
        <v>315.61</v>
      </c>
      <c r="Q295" s="3">
        <v>500.97</v>
      </c>
      <c r="R295" s="3">
        <f t="shared" si="25"/>
        <v>185.36</v>
      </c>
      <c r="S295" s="2">
        <v>31</v>
      </c>
      <c r="T295" s="3">
        <f t="shared" si="26"/>
        <v>15530.070000000002</v>
      </c>
      <c r="U295" s="4">
        <v>0.06</v>
      </c>
      <c r="V295" s="6">
        <f t="shared" si="27"/>
        <v>931.80420000000004</v>
      </c>
      <c r="W295" s="6">
        <f t="shared" si="28"/>
        <v>14598.265800000001</v>
      </c>
      <c r="X295" s="3">
        <v>69.3</v>
      </c>
      <c r="Y295" s="5">
        <f t="shared" si="29"/>
        <v>14667.5658</v>
      </c>
    </row>
    <row r="296" spans="1:25" x14ac:dyDescent="0.2">
      <c r="A296" t="s">
        <v>1215</v>
      </c>
      <c r="B296" s="1">
        <v>41736</v>
      </c>
      <c r="C296" s="2" t="str">
        <f t="shared" si="24"/>
        <v>2014</v>
      </c>
      <c r="D296" s="2" t="s">
        <v>366</v>
      </c>
      <c r="E296" s="2" t="s">
        <v>49</v>
      </c>
      <c r="F296" s="2" t="s">
        <v>36</v>
      </c>
      <c r="G296" s="2" t="s">
        <v>37</v>
      </c>
      <c r="H296" s="2" t="s">
        <v>50</v>
      </c>
      <c r="I296" s="2" t="s">
        <v>51</v>
      </c>
      <c r="J296" s="2" t="s">
        <v>30</v>
      </c>
      <c r="K296" s="2" t="s">
        <v>322</v>
      </c>
      <c r="L296" s="2" t="s">
        <v>25</v>
      </c>
      <c r="M296" s="2" t="s">
        <v>261</v>
      </c>
      <c r="N296" s="2" t="s">
        <v>27</v>
      </c>
      <c r="O296" s="1">
        <v>41738</v>
      </c>
      <c r="P296" s="3">
        <v>377.99</v>
      </c>
      <c r="Q296" s="3">
        <v>599.99</v>
      </c>
      <c r="R296" s="3">
        <f t="shared" si="25"/>
        <v>222</v>
      </c>
      <c r="S296" s="2">
        <v>30</v>
      </c>
      <c r="T296" s="3">
        <f t="shared" si="26"/>
        <v>17999.7</v>
      </c>
      <c r="U296" s="4">
        <v>0.09</v>
      </c>
      <c r="V296" s="6">
        <f t="shared" si="27"/>
        <v>1619.973</v>
      </c>
      <c r="W296" s="6">
        <f t="shared" si="28"/>
        <v>16379.727000000001</v>
      </c>
      <c r="X296" s="3">
        <v>24.49</v>
      </c>
      <c r="Y296" s="5">
        <f t="shared" si="29"/>
        <v>16404.217000000001</v>
      </c>
    </row>
    <row r="297" spans="1:25" x14ac:dyDescent="0.2">
      <c r="A297" t="s">
        <v>1216</v>
      </c>
      <c r="B297" s="1">
        <v>41740</v>
      </c>
      <c r="C297" s="2" t="str">
        <f t="shared" si="24"/>
        <v>2014</v>
      </c>
      <c r="D297" s="2" t="s">
        <v>758</v>
      </c>
      <c r="E297" s="2" t="s">
        <v>359</v>
      </c>
      <c r="F297" s="2" t="s">
        <v>36</v>
      </c>
      <c r="G297" s="2" t="s">
        <v>37</v>
      </c>
      <c r="H297" s="2" t="s">
        <v>42</v>
      </c>
      <c r="I297" s="2" t="s">
        <v>51</v>
      </c>
      <c r="J297" s="2" t="s">
        <v>30</v>
      </c>
      <c r="K297" s="2" t="s">
        <v>163</v>
      </c>
      <c r="L297" s="2" t="s">
        <v>32</v>
      </c>
      <c r="M297" s="2" t="s">
        <v>33</v>
      </c>
      <c r="N297" s="2" t="s">
        <v>27</v>
      </c>
      <c r="O297" s="1">
        <v>41741</v>
      </c>
      <c r="P297" s="3">
        <v>1.0900000000000001</v>
      </c>
      <c r="Q297" s="3">
        <v>2.6</v>
      </c>
      <c r="R297" s="3">
        <f t="shared" si="25"/>
        <v>1.51</v>
      </c>
      <c r="S297" s="2">
        <v>2</v>
      </c>
      <c r="T297" s="3">
        <f t="shared" si="26"/>
        <v>5.2</v>
      </c>
      <c r="U297" s="4">
        <v>0.03</v>
      </c>
      <c r="V297" s="6">
        <f t="shared" si="27"/>
        <v>0.156</v>
      </c>
      <c r="W297" s="6">
        <f t="shared" si="28"/>
        <v>5.0440000000000005</v>
      </c>
      <c r="X297" s="3">
        <v>2.4</v>
      </c>
      <c r="Y297" s="5">
        <f t="shared" si="29"/>
        <v>7.4440000000000008</v>
      </c>
    </row>
    <row r="298" spans="1:25" x14ac:dyDescent="0.2">
      <c r="A298" t="s">
        <v>1217</v>
      </c>
      <c r="B298" s="1">
        <v>41744</v>
      </c>
      <c r="C298" s="2" t="str">
        <f t="shared" si="24"/>
        <v>2014</v>
      </c>
      <c r="D298" s="2" t="s">
        <v>757</v>
      </c>
      <c r="E298" s="2" t="s">
        <v>646</v>
      </c>
      <c r="F298" s="2" t="s">
        <v>36</v>
      </c>
      <c r="G298" s="2" t="s">
        <v>37</v>
      </c>
      <c r="H298" s="2" t="s">
        <v>50</v>
      </c>
      <c r="I298" s="2" t="s">
        <v>153</v>
      </c>
      <c r="J298" s="2" t="s">
        <v>44</v>
      </c>
      <c r="K298" s="2" t="s">
        <v>386</v>
      </c>
      <c r="L298" s="2" t="s">
        <v>25</v>
      </c>
      <c r="M298" s="2" t="s">
        <v>26</v>
      </c>
      <c r="N298" s="2" t="s">
        <v>27</v>
      </c>
      <c r="O298" s="1">
        <v>41745</v>
      </c>
      <c r="P298" s="3">
        <v>6.51</v>
      </c>
      <c r="Q298" s="3">
        <v>30.98</v>
      </c>
      <c r="R298" s="3">
        <f t="shared" si="25"/>
        <v>24.47</v>
      </c>
      <c r="S298" s="2">
        <v>36</v>
      </c>
      <c r="T298" s="3">
        <f t="shared" si="26"/>
        <v>1115.28</v>
      </c>
      <c r="U298" s="4">
        <v>0</v>
      </c>
      <c r="V298" s="6">
        <f t="shared" si="27"/>
        <v>0</v>
      </c>
      <c r="W298" s="6">
        <f t="shared" si="28"/>
        <v>1115.28</v>
      </c>
      <c r="X298" s="3">
        <v>6.5</v>
      </c>
      <c r="Y298" s="5">
        <f t="shared" si="29"/>
        <v>1121.78</v>
      </c>
    </row>
    <row r="299" spans="1:25" x14ac:dyDescent="0.2">
      <c r="A299" t="s">
        <v>1218</v>
      </c>
      <c r="B299" s="1">
        <v>41746</v>
      </c>
      <c r="C299" s="2" t="str">
        <f t="shared" si="24"/>
        <v>2014</v>
      </c>
      <c r="D299" s="2" t="s">
        <v>709</v>
      </c>
      <c r="E299" s="2" t="s">
        <v>199</v>
      </c>
      <c r="F299" s="2" t="s">
        <v>19</v>
      </c>
      <c r="G299" s="2" t="s">
        <v>20</v>
      </c>
      <c r="H299" s="2" t="s">
        <v>29</v>
      </c>
      <c r="I299" s="2" t="s">
        <v>92</v>
      </c>
      <c r="J299" s="2" t="s">
        <v>44</v>
      </c>
      <c r="K299" s="2" t="s">
        <v>80</v>
      </c>
      <c r="L299" s="2" t="s">
        <v>32</v>
      </c>
      <c r="M299" s="2" t="s">
        <v>26</v>
      </c>
      <c r="N299" s="2" t="s">
        <v>27</v>
      </c>
      <c r="O299" s="1">
        <v>41748</v>
      </c>
      <c r="P299" s="3">
        <v>4.59</v>
      </c>
      <c r="Q299" s="3">
        <v>7.28</v>
      </c>
      <c r="R299" s="3">
        <f t="shared" si="25"/>
        <v>2.6900000000000004</v>
      </c>
      <c r="S299" s="2">
        <v>11</v>
      </c>
      <c r="T299" s="3">
        <f t="shared" si="26"/>
        <v>80.08</v>
      </c>
      <c r="U299" s="4">
        <v>7.0000000000000007E-2</v>
      </c>
      <c r="V299" s="6">
        <f t="shared" si="27"/>
        <v>5.6056000000000008</v>
      </c>
      <c r="W299" s="6">
        <f t="shared" si="28"/>
        <v>74.474400000000003</v>
      </c>
      <c r="X299" s="3">
        <v>11.15</v>
      </c>
      <c r="Y299" s="5">
        <f t="shared" si="29"/>
        <v>85.624400000000009</v>
      </c>
    </row>
    <row r="300" spans="1:25" x14ac:dyDescent="0.2">
      <c r="A300" t="s">
        <v>1219</v>
      </c>
      <c r="B300" s="1">
        <v>41746</v>
      </c>
      <c r="C300" s="2" t="str">
        <f t="shared" si="24"/>
        <v>2014</v>
      </c>
      <c r="D300" s="2" t="s">
        <v>346</v>
      </c>
      <c r="E300" s="2" t="s">
        <v>249</v>
      </c>
      <c r="F300" s="2" t="s">
        <v>19</v>
      </c>
      <c r="G300" s="2" t="s">
        <v>20</v>
      </c>
      <c r="H300" s="2" t="s">
        <v>21</v>
      </c>
      <c r="I300" s="2" t="s">
        <v>92</v>
      </c>
      <c r="J300" s="2" t="s">
        <v>30</v>
      </c>
      <c r="K300" s="2" t="s">
        <v>144</v>
      </c>
      <c r="L300" s="2" t="s">
        <v>32</v>
      </c>
      <c r="M300" s="2" t="s">
        <v>58</v>
      </c>
      <c r="N300" s="2" t="s">
        <v>27</v>
      </c>
      <c r="O300" s="1">
        <v>41747</v>
      </c>
      <c r="P300" s="3">
        <v>4.1900000000000004</v>
      </c>
      <c r="Q300" s="3">
        <v>10.23</v>
      </c>
      <c r="R300" s="3">
        <f t="shared" si="25"/>
        <v>6.04</v>
      </c>
      <c r="S300" s="2">
        <v>22</v>
      </c>
      <c r="T300" s="3">
        <f t="shared" si="26"/>
        <v>225.06</v>
      </c>
      <c r="U300" s="4">
        <v>7.0000000000000007E-2</v>
      </c>
      <c r="V300" s="6">
        <f t="shared" si="27"/>
        <v>15.754200000000001</v>
      </c>
      <c r="W300" s="6">
        <f t="shared" si="28"/>
        <v>209.3058</v>
      </c>
      <c r="X300" s="3">
        <v>4.68</v>
      </c>
      <c r="Y300" s="5">
        <f t="shared" si="29"/>
        <v>213.98580000000001</v>
      </c>
    </row>
    <row r="301" spans="1:25" x14ac:dyDescent="0.2">
      <c r="A301" t="s">
        <v>1220</v>
      </c>
      <c r="B301" s="1">
        <v>41746</v>
      </c>
      <c r="C301" s="2" t="str">
        <f t="shared" si="24"/>
        <v>2014</v>
      </c>
      <c r="D301" s="2" t="s">
        <v>756</v>
      </c>
      <c r="E301" s="2" t="s">
        <v>1916</v>
      </c>
      <c r="F301" s="2" t="s">
        <v>36</v>
      </c>
      <c r="G301" s="2" t="s">
        <v>37</v>
      </c>
      <c r="H301" s="2" t="s">
        <v>42</v>
      </c>
      <c r="I301" s="2" t="s">
        <v>38</v>
      </c>
      <c r="J301" s="2" t="s">
        <v>66</v>
      </c>
      <c r="K301" s="2" t="s">
        <v>623</v>
      </c>
      <c r="L301" s="2" t="s">
        <v>32</v>
      </c>
      <c r="M301" s="2" t="s">
        <v>58</v>
      </c>
      <c r="N301" s="2" t="s">
        <v>89</v>
      </c>
      <c r="O301" s="1">
        <v>41747</v>
      </c>
      <c r="P301" s="3">
        <v>3.42</v>
      </c>
      <c r="Q301" s="3">
        <v>8.34</v>
      </c>
      <c r="R301" s="3">
        <f t="shared" si="25"/>
        <v>4.92</v>
      </c>
      <c r="S301" s="2">
        <v>16</v>
      </c>
      <c r="T301" s="3">
        <f t="shared" si="26"/>
        <v>133.44</v>
      </c>
      <c r="U301" s="4">
        <v>0.04</v>
      </c>
      <c r="V301" s="6">
        <f t="shared" si="27"/>
        <v>5.3376000000000001</v>
      </c>
      <c r="W301" s="6">
        <f t="shared" si="28"/>
        <v>128.10239999999999</v>
      </c>
      <c r="X301" s="3">
        <v>2.64</v>
      </c>
      <c r="Y301" s="5">
        <f t="shared" si="29"/>
        <v>130.74239999999998</v>
      </c>
    </row>
    <row r="302" spans="1:25" x14ac:dyDescent="0.2">
      <c r="A302" t="s">
        <v>1221</v>
      </c>
      <c r="B302" s="1">
        <v>41761</v>
      </c>
      <c r="C302" s="2" t="str">
        <f t="shared" si="24"/>
        <v>2014</v>
      </c>
      <c r="D302" s="2" t="s">
        <v>689</v>
      </c>
      <c r="E302" s="2" t="s">
        <v>82</v>
      </c>
      <c r="F302" s="2" t="s">
        <v>36</v>
      </c>
      <c r="G302" s="2" t="s">
        <v>37</v>
      </c>
      <c r="H302" s="2" t="s">
        <v>29</v>
      </c>
      <c r="I302" s="2" t="s">
        <v>83</v>
      </c>
      <c r="J302" s="2" t="s">
        <v>23</v>
      </c>
      <c r="K302" s="2" t="s">
        <v>408</v>
      </c>
      <c r="L302" s="2" t="s">
        <v>32</v>
      </c>
      <c r="M302" s="2" t="s">
        <v>26</v>
      </c>
      <c r="N302" s="2" t="s">
        <v>27</v>
      </c>
      <c r="O302" s="1">
        <v>41763</v>
      </c>
      <c r="P302" s="3">
        <v>84.22</v>
      </c>
      <c r="Q302" s="3">
        <v>210.55</v>
      </c>
      <c r="R302" s="3">
        <f t="shared" si="25"/>
        <v>126.33000000000001</v>
      </c>
      <c r="S302" s="2">
        <v>32</v>
      </c>
      <c r="T302" s="3">
        <f t="shared" si="26"/>
        <v>6737.6</v>
      </c>
      <c r="U302" s="4">
        <v>0.1</v>
      </c>
      <c r="V302" s="6">
        <f t="shared" si="27"/>
        <v>673.7600000000001</v>
      </c>
      <c r="W302" s="6">
        <f t="shared" si="28"/>
        <v>6063.84</v>
      </c>
      <c r="X302" s="3">
        <v>9.99</v>
      </c>
      <c r="Y302" s="5">
        <f t="shared" si="29"/>
        <v>6073.83</v>
      </c>
    </row>
    <row r="303" spans="1:25" x14ac:dyDescent="0.2">
      <c r="A303" t="s">
        <v>1222</v>
      </c>
      <c r="B303" s="1">
        <v>41761</v>
      </c>
      <c r="C303" s="2" t="str">
        <f t="shared" si="24"/>
        <v>2014</v>
      </c>
      <c r="D303" s="2" t="s">
        <v>755</v>
      </c>
      <c r="E303" s="2" t="s">
        <v>74</v>
      </c>
      <c r="F303" s="2" t="s">
        <v>36</v>
      </c>
      <c r="G303" s="2" t="s">
        <v>37</v>
      </c>
      <c r="H303" s="2" t="s">
        <v>50</v>
      </c>
      <c r="I303" s="2" t="s">
        <v>75</v>
      </c>
      <c r="J303" s="2" t="s">
        <v>52</v>
      </c>
      <c r="K303" s="2" t="s">
        <v>685</v>
      </c>
      <c r="L303" s="2" t="s">
        <v>32</v>
      </c>
      <c r="M303" s="2" t="s">
        <v>26</v>
      </c>
      <c r="N303" s="2" t="s">
        <v>89</v>
      </c>
      <c r="O303" s="1">
        <v>41762</v>
      </c>
      <c r="P303" s="3">
        <v>7.13</v>
      </c>
      <c r="Q303" s="3">
        <v>20.98</v>
      </c>
      <c r="R303" s="3">
        <f t="shared" si="25"/>
        <v>13.850000000000001</v>
      </c>
      <c r="S303" s="2">
        <v>14</v>
      </c>
      <c r="T303" s="3">
        <f t="shared" si="26"/>
        <v>293.72000000000003</v>
      </c>
      <c r="U303" s="4">
        <v>0.1</v>
      </c>
      <c r="V303" s="6">
        <f t="shared" si="27"/>
        <v>29.372000000000003</v>
      </c>
      <c r="W303" s="6">
        <f t="shared" si="28"/>
        <v>264.34800000000001</v>
      </c>
      <c r="X303" s="3">
        <v>5.42</v>
      </c>
      <c r="Y303" s="5">
        <f t="shared" si="29"/>
        <v>269.76800000000003</v>
      </c>
    </row>
    <row r="304" spans="1:25" x14ac:dyDescent="0.2">
      <c r="A304" t="s">
        <v>1223</v>
      </c>
      <c r="B304" s="1">
        <v>41761</v>
      </c>
      <c r="C304" s="2" t="str">
        <f t="shared" si="24"/>
        <v>2014</v>
      </c>
      <c r="D304" s="2" t="s">
        <v>720</v>
      </c>
      <c r="E304" s="2" t="s">
        <v>161</v>
      </c>
      <c r="F304" s="2" t="s">
        <v>36</v>
      </c>
      <c r="G304" s="2" t="s">
        <v>37</v>
      </c>
      <c r="H304" s="2" t="s">
        <v>21</v>
      </c>
      <c r="I304" s="2" t="s">
        <v>51</v>
      </c>
      <c r="J304" s="2" t="s">
        <v>66</v>
      </c>
      <c r="K304" s="2" t="s">
        <v>207</v>
      </c>
      <c r="L304" s="2" t="s">
        <v>32</v>
      </c>
      <c r="M304" s="2" t="s">
        <v>33</v>
      </c>
      <c r="N304" s="2" t="s">
        <v>27</v>
      </c>
      <c r="O304" s="1">
        <v>41762</v>
      </c>
      <c r="P304" s="3">
        <v>2.29</v>
      </c>
      <c r="Q304" s="3">
        <v>3.58</v>
      </c>
      <c r="R304" s="3">
        <f t="shared" si="25"/>
        <v>1.29</v>
      </c>
      <c r="S304" s="2">
        <v>15</v>
      </c>
      <c r="T304" s="3">
        <f t="shared" si="26"/>
        <v>53.7</v>
      </c>
      <c r="U304" s="4">
        <v>0.05</v>
      </c>
      <c r="V304" s="6">
        <f t="shared" si="27"/>
        <v>2.6850000000000005</v>
      </c>
      <c r="W304" s="6">
        <f t="shared" si="28"/>
        <v>51.015000000000001</v>
      </c>
      <c r="X304" s="3">
        <v>1.63</v>
      </c>
      <c r="Y304" s="5">
        <f t="shared" si="29"/>
        <v>52.645000000000003</v>
      </c>
    </row>
    <row r="305" spans="1:25" x14ac:dyDescent="0.2">
      <c r="A305" t="s">
        <v>1224</v>
      </c>
      <c r="B305" s="1">
        <v>41762</v>
      </c>
      <c r="C305" s="2" t="str">
        <f t="shared" si="24"/>
        <v>2014</v>
      </c>
      <c r="D305" s="2" t="s">
        <v>754</v>
      </c>
      <c r="E305" s="2" t="s">
        <v>166</v>
      </c>
      <c r="F305" s="2" t="s">
        <v>19</v>
      </c>
      <c r="G305" s="2" t="s">
        <v>20</v>
      </c>
      <c r="H305" s="2" t="s">
        <v>21</v>
      </c>
      <c r="I305" s="2" t="s">
        <v>92</v>
      </c>
      <c r="J305" s="2" t="s">
        <v>23</v>
      </c>
      <c r="K305" s="2" t="s">
        <v>377</v>
      </c>
      <c r="L305" s="2" t="s">
        <v>32</v>
      </c>
      <c r="M305" s="2" t="s">
        <v>33</v>
      </c>
      <c r="N305" s="2" t="s">
        <v>27</v>
      </c>
      <c r="O305" s="1">
        <v>41766</v>
      </c>
      <c r="P305" s="3">
        <v>1.31</v>
      </c>
      <c r="Q305" s="3">
        <v>2.84</v>
      </c>
      <c r="R305" s="3">
        <f t="shared" si="25"/>
        <v>1.5299999999999998</v>
      </c>
      <c r="S305" s="2">
        <v>48</v>
      </c>
      <c r="T305" s="3">
        <f t="shared" si="26"/>
        <v>136.32</v>
      </c>
      <c r="U305" s="4">
        <v>0.1</v>
      </c>
      <c r="V305" s="6">
        <f t="shared" si="27"/>
        <v>13.632</v>
      </c>
      <c r="W305" s="6">
        <f t="shared" si="28"/>
        <v>122.68799999999999</v>
      </c>
      <c r="X305" s="3">
        <v>0.93</v>
      </c>
      <c r="Y305" s="5">
        <f t="shared" si="29"/>
        <v>123.61799999999999</v>
      </c>
    </row>
    <row r="306" spans="1:25" x14ac:dyDescent="0.2">
      <c r="A306" t="s">
        <v>880</v>
      </c>
      <c r="B306" s="1">
        <v>41765</v>
      </c>
      <c r="C306" s="2" t="str">
        <f t="shared" si="24"/>
        <v>2014</v>
      </c>
      <c r="D306" s="2" t="s">
        <v>753</v>
      </c>
      <c r="E306" s="2" t="s">
        <v>115</v>
      </c>
      <c r="F306" s="2" t="s">
        <v>36</v>
      </c>
      <c r="G306" s="2" t="s">
        <v>37</v>
      </c>
      <c r="H306" s="2" t="s">
        <v>21</v>
      </c>
      <c r="I306" s="2" t="s">
        <v>51</v>
      </c>
      <c r="J306" s="2" t="s">
        <v>52</v>
      </c>
      <c r="K306" s="2" t="s">
        <v>103</v>
      </c>
      <c r="L306" s="2" t="s">
        <v>32</v>
      </c>
      <c r="M306" s="2" t="s">
        <v>26</v>
      </c>
      <c r="N306" s="2" t="s">
        <v>27</v>
      </c>
      <c r="O306" s="1">
        <v>41767</v>
      </c>
      <c r="P306" s="3">
        <v>2.2599999999999998</v>
      </c>
      <c r="Q306" s="3">
        <v>3.58</v>
      </c>
      <c r="R306" s="3">
        <f t="shared" si="25"/>
        <v>1.3200000000000003</v>
      </c>
      <c r="S306" s="2">
        <v>25</v>
      </c>
      <c r="T306" s="3">
        <f t="shared" si="26"/>
        <v>89.5</v>
      </c>
      <c r="U306" s="4">
        <v>0</v>
      </c>
      <c r="V306" s="6">
        <f t="shared" si="27"/>
        <v>0</v>
      </c>
      <c r="W306" s="6">
        <f t="shared" si="28"/>
        <v>89.5</v>
      </c>
      <c r="X306" s="3">
        <v>5.47</v>
      </c>
      <c r="Y306" s="5">
        <f t="shared" si="29"/>
        <v>94.97</v>
      </c>
    </row>
    <row r="307" spans="1:25" x14ac:dyDescent="0.2">
      <c r="A307" t="s">
        <v>881</v>
      </c>
      <c r="B307" s="1">
        <v>41765</v>
      </c>
      <c r="C307" s="2" t="str">
        <f t="shared" si="24"/>
        <v>2014</v>
      </c>
      <c r="D307" s="2" t="s">
        <v>753</v>
      </c>
      <c r="E307" s="2" t="s">
        <v>115</v>
      </c>
      <c r="F307" s="2" t="s">
        <v>36</v>
      </c>
      <c r="G307" s="2" t="s">
        <v>37</v>
      </c>
      <c r="H307" s="2" t="s">
        <v>21</v>
      </c>
      <c r="I307" s="2" t="s">
        <v>51</v>
      </c>
      <c r="J307" s="2" t="s">
        <v>52</v>
      </c>
      <c r="K307" s="2" t="s">
        <v>192</v>
      </c>
      <c r="L307" s="2" t="s">
        <v>32</v>
      </c>
      <c r="M307" s="2" t="s">
        <v>33</v>
      </c>
      <c r="N307" s="2" t="s">
        <v>27</v>
      </c>
      <c r="O307" s="1">
        <v>41767</v>
      </c>
      <c r="P307" s="3">
        <v>0.87</v>
      </c>
      <c r="Q307" s="3">
        <v>1.81</v>
      </c>
      <c r="R307" s="3">
        <f t="shared" si="25"/>
        <v>0.94000000000000006</v>
      </c>
      <c r="S307" s="2">
        <v>45</v>
      </c>
      <c r="T307" s="3">
        <f t="shared" si="26"/>
        <v>81.45</v>
      </c>
      <c r="U307" s="4">
        <v>0.08</v>
      </c>
      <c r="V307" s="6">
        <f t="shared" si="27"/>
        <v>6.516</v>
      </c>
      <c r="W307" s="6">
        <f t="shared" si="28"/>
        <v>74.933999999999997</v>
      </c>
      <c r="X307" s="3">
        <v>0.75</v>
      </c>
      <c r="Y307" s="5">
        <f t="shared" si="29"/>
        <v>75.683999999999997</v>
      </c>
    </row>
    <row r="308" spans="1:25" x14ac:dyDescent="0.2">
      <c r="A308" t="s">
        <v>1225</v>
      </c>
      <c r="B308" s="1">
        <v>41767</v>
      </c>
      <c r="C308" s="2" t="str">
        <f t="shared" si="24"/>
        <v>2014</v>
      </c>
      <c r="D308" s="2" t="s">
        <v>697</v>
      </c>
      <c r="E308" s="2" t="s">
        <v>1898</v>
      </c>
      <c r="F308" s="2" t="s">
        <v>1881</v>
      </c>
      <c r="G308" s="2" t="s">
        <v>1882</v>
      </c>
      <c r="H308" s="2" t="s">
        <v>50</v>
      </c>
      <c r="I308" s="2" t="s">
        <v>43</v>
      </c>
      <c r="J308" s="2" t="s">
        <v>23</v>
      </c>
      <c r="K308" s="2" t="s">
        <v>31</v>
      </c>
      <c r="L308" s="2" t="s">
        <v>32</v>
      </c>
      <c r="M308" s="2" t="s">
        <v>33</v>
      </c>
      <c r="N308" s="2" t="s">
        <v>27</v>
      </c>
      <c r="O308" s="1">
        <v>41772</v>
      </c>
      <c r="P308" s="3">
        <v>0.93</v>
      </c>
      <c r="Q308" s="3">
        <v>1.48</v>
      </c>
      <c r="R308" s="3">
        <f t="shared" si="25"/>
        <v>0.54999999999999993</v>
      </c>
      <c r="S308" s="2">
        <v>33</v>
      </c>
      <c r="T308" s="3">
        <f t="shared" si="26"/>
        <v>48.839999999999996</v>
      </c>
      <c r="U308" s="4">
        <v>7.0000000000000007E-2</v>
      </c>
      <c r="V308" s="6">
        <f t="shared" si="27"/>
        <v>3.4188000000000001</v>
      </c>
      <c r="W308" s="6">
        <f t="shared" si="28"/>
        <v>45.421199999999999</v>
      </c>
      <c r="X308" s="3">
        <v>0.7</v>
      </c>
      <c r="Y308" s="5">
        <f t="shared" si="29"/>
        <v>46.121200000000002</v>
      </c>
    </row>
    <row r="309" spans="1:25" x14ac:dyDescent="0.2">
      <c r="A309" t="s">
        <v>1226</v>
      </c>
      <c r="B309" s="1">
        <v>41767</v>
      </c>
      <c r="C309" s="2" t="str">
        <f t="shared" si="24"/>
        <v>2014</v>
      </c>
      <c r="D309" s="2" t="s">
        <v>409</v>
      </c>
      <c r="E309" s="2" t="s">
        <v>258</v>
      </c>
      <c r="F309" s="2" t="s">
        <v>36</v>
      </c>
      <c r="G309" s="2" t="s">
        <v>37</v>
      </c>
      <c r="H309" s="2" t="s">
        <v>50</v>
      </c>
      <c r="I309" s="2" t="s">
        <v>102</v>
      </c>
      <c r="J309" s="2" t="s">
        <v>23</v>
      </c>
      <c r="K309" s="2" t="s">
        <v>403</v>
      </c>
      <c r="L309" s="2" t="s">
        <v>32</v>
      </c>
      <c r="M309" s="2" t="s">
        <v>26</v>
      </c>
      <c r="N309" s="2" t="s">
        <v>27</v>
      </c>
      <c r="O309" s="1">
        <v>41771</v>
      </c>
      <c r="P309" s="3">
        <v>1.33</v>
      </c>
      <c r="Q309" s="3">
        <v>2.08</v>
      </c>
      <c r="R309" s="3">
        <f t="shared" si="25"/>
        <v>0.75</v>
      </c>
      <c r="S309" s="2">
        <v>40</v>
      </c>
      <c r="T309" s="3">
        <f t="shared" si="26"/>
        <v>83.2</v>
      </c>
      <c r="U309" s="4">
        <v>0</v>
      </c>
      <c r="V309" s="6">
        <f t="shared" si="27"/>
        <v>0</v>
      </c>
      <c r="W309" s="6">
        <f t="shared" si="28"/>
        <v>83.2</v>
      </c>
      <c r="X309" s="3">
        <v>1.49</v>
      </c>
      <c r="Y309" s="5">
        <f t="shared" si="29"/>
        <v>84.69</v>
      </c>
    </row>
    <row r="310" spans="1:25" x14ac:dyDescent="0.2">
      <c r="A310" t="s">
        <v>1227</v>
      </c>
      <c r="B310" s="1">
        <v>41768</v>
      </c>
      <c r="C310" s="2" t="str">
        <f t="shared" si="24"/>
        <v>2014</v>
      </c>
      <c r="D310" s="2" t="s">
        <v>752</v>
      </c>
      <c r="E310" s="2" t="s">
        <v>249</v>
      </c>
      <c r="F310" s="2" t="s">
        <v>19</v>
      </c>
      <c r="G310" s="2" t="s">
        <v>20</v>
      </c>
      <c r="H310" s="2" t="s">
        <v>50</v>
      </c>
      <c r="I310" s="2" t="s">
        <v>92</v>
      </c>
      <c r="J310" s="2" t="s">
        <v>66</v>
      </c>
      <c r="K310" s="2" t="s">
        <v>260</v>
      </c>
      <c r="L310" s="2" t="s">
        <v>150</v>
      </c>
      <c r="M310" s="2" t="s">
        <v>261</v>
      </c>
      <c r="N310" s="2" t="s">
        <v>27</v>
      </c>
      <c r="O310" s="1">
        <v>41769</v>
      </c>
      <c r="P310" s="3">
        <v>56.16</v>
      </c>
      <c r="Q310" s="3">
        <v>136.97999999999999</v>
      </c>
      <c r="R310" s="3">
        <f t="shared" si="25"/>
        <v>80.819999999999993</v>
      </c>
      <c r="S310" s="2">
        <v>44</v>
      </c>
      <c r="T310" s="3">
        <f t="shared" si="26"/>
        <v>6027.12</v>
      </c>
      <c r="U310" s="4">
        <v>0.08</v>
      </c>
      <c r="V310" s="6">
        <f t="shared" si="27"/>
        <v>482.1696</v>
      </c>
      <c r="W310" s="6">
        <f t="shared" si="28"/>
        <v>5544.9503999999997</v>
      </c>
      <c r="X310" s="3">
        <v>24.49</v>
      </c>
      <c r="Y310" s="5">
        <f t="shared" si="29"/>
        <v>5569.4403999999995</v>
      </c>
    </row>
    <row r="311" spans="1:25" x14ac:dyDescent="0.2">
      <c r="A311" t="s">
        <v>1228</v>
      </c>
      <c r="B311" s="1">
        <v>41770</v>
      </c>
      <c r="C311" s="2" t="str">
        <f t="shared" si="24"/>
        <v>2014</v>
      </c>
      <c r="D311" s="2" t="s">
        <v>479</v>
      </c>
      <c r="E311" s="2" t="s">
        <v>1906</v>
      </c>
      <c r="F311" s="2" t="s">
        <v>1881</v>
      </c>
      <c r="G311" s="2" t="s">
        <v>1882</v>
      </c>
      <c r="H311" s="2" t="s">
        <v>50</v>
      </c>
      <c r="I311" s="2" t="s">
        <v>51</v>
      </c>
      <c r="J311" s="2" t="s">
        <v>30</v>
      </c>
      <c r="K311" s="2" t="s">
        <v>468</v>
      </c>
      <c r="L311" s="2" t="s">
        <v>32</v>
      </c>
      <c r="M311" s="2" t="s">
        <v>33</v>
      </c>
      <c r="N311" s="2" t="s">
        <v>27</v>
      </c>
      <c r="O311" s="1">
        <v>41771</v>
      </c>
      <c r="P311" s="3">
        <v>5.22</v>
      </c>
      <c r="Q311" s="3">
        <v>9.85</v>
      </c>
      <c r="R311" s="3">
        <f t="shared" si="25"/>
        <v>4.63</v>
      </c>
      <c r="S311" s="2">
        <v>20</v>
      </c>
      <c r="T311" s="3">
        <f t="shared" si="26"/>
        <v>197</v>
      </c>
      <c r="U311" s="4">
        <v>0.06</v>
      </c>
      <c r="V311" s="6">
        <f t="shared" si="27"/>
        <v>11.82</v>
      </c>
      <c r="W311" s="6">
        <f t="shared" si="28"/>
        <v>185.18</v>
      </c>
      <c r="X311" s="3">
        <v>4.82</v>
      </c>
      <c r="Y311" s="5">
        <f t="shared" si="29"/>
        <v>190</v>
      </c>
    </row>
    <row r="312" spans="1:25" x14ac:dyDescent="0.2">
      <c r="A312" t="s">
        <v>1229</v>
      </c>
      <c r="B312" s="1">
        <v>41772</v>
      </c>
      <c r="C312" s="2" t="str">
        <f t="shared" si="24"/>
        <v>2014</v>
      </c>
      <c r="D312" s="2" t="s">
        <v>751</v>
      </c>
      <c r="E312" s="2" t="s">
        <v>271</v>
      </c>
      <c r="F312" s="2" t="s">
        <v>36</v>
      </c>
      <c r="G312" s="2" t="s">
        <v>37</v>
      </c>
      <c r="H312" s="2" t="s">
        <v>21</v>
      </c>
      <c r="I312" s="2" t="s">
        <v>102</v>
      </c>
      <c r="J312" s="2" t="s">
        <v>52</v>
      </c>
      <c r="K312" s="2" t="s">
        <v>563</v>
      </c>
      <c r="L312" s="2" t="s">
        <v>32</v>
      </c>
      <c r="M312" s="2" t="s">
        <v>26</v>
      </c>
      <c r="N312" s="2" t="s">
        <v>27</v>
      </c>
      <c r="O312" s="1">
        <v>41773</v>
      </c>
      <c r="P312" s="3">
        <v>2.76</v>
      </c>
      <c r="Q312" s="3">
        <v>4.38</v>
      </c>
      <c r="R312" s="3">
        <f t="shared" si="25"/>
        <v>1.62</v>
      </c>
      <c r="S312" s="2">
        <v>29</v>
      </c>
      <c r="T312" s="3">
        <f t="shared" si="26"/>
        <v>127.02</v>
      </c>
      <c r="U312" s="4">
        <v>0.08</v>
      </c>
      <c r="V312" s="6">
        <f t="shared" si="27"/>
        <v>10.1616</v>
      </c>
      <c r="W312" s="6">
        <f t="shared" si="28"/>
        <v>116.85839999999999</v>
      </c>
      <c r="X312" s="3">
        <v>6.21</v>
      </c>
      <c r="Y312" s="5">
        <f t="shared" si="29"/>
        <v>123.06839999999998</v>
      </c>
    </row>
    <row r="313" spans="1:25" x14ac:dyDescent="0.2">
      <c r="A313" t="s">
        <v>1230</v>
      </c>
      <c r="B313" s="1">
        <v>41774</v>
      </c>
      <c r="C313" s="2" t="str">
        <f t="shared" si="24"/>
        <v>2014</v>
      </c>
      <c r="D313" s="2" t="s">
        <v>395</v>
      </c>
      <c r="E313" s="2" t="s">
        <v>1893</v>
      </c>
      <c r="F313" s="2" t="s">
        <v>1881</v>
      </c>
      <c r="G313" s="2" t="s">
        <v>1882</v>
      </c>
      <c r="H313" s="2" t="s">
        <v>29</v>
      </c>
      <c r="I313" s="2" t="s">
        <v>153</v>
      </c>
      <c r="J313" s="2" t="s">
        <v>30</v>
      </c>
      <c r="K313" s="2" t="s">
        <v>180</v>
      </c>
      <c r="L313" s="2" t="s">
        <v>32</v>
      </c>
      <c r="M313" s="2" t="s">
        <v>26</v>
      </c>
      <c r="N313" s="2" t="s">
        <v>27</v>
      </c>
      <c r="O313" s="1">
        <v>41775</v>
      </c>
      <c r="P313" s="3">
        <v>1.94</v>
      </c>
      <c r="Q313" s="3">
        <v>3.08</v>
      </c>
      <c r="R313" s="3">
        <f t="shared" si="25"/>
        <v>1.1400000000000001</v>
      </c>
      <c r="S313" s="2">
        <v>9</v>
      </c>
      <c r="T313" s="3">
        <f t="shared" si="26"/>
        <v>27.72</v>
      </c>
      <c r="U313" s="4">
        <v>0.01</v>
      </c>
      <c r="V313" s="6">
        <f t="shared" si="27"/>
        <v>0.2772</v>
      </c>
      <c r="W313" s="6">
        <f t="shared" si="28"/>
        <v>27.442799999999998</v>
      </c>
      <c r="X313" s="3">
        <v>0.99</v>
      </c>
      <c r="Y313" s="5">
        <f t="shared" si="29"/>
        <v>28.432799999999997</v>
      </c>
    </row>
    <row r="314" spans="1:25" x14ac:dyDescent="0.2">
      <c r="A314" t="s">
        <v>1231</v>
      </c>
      <c r="B314" s="1">
        <v>41776</v>
      </c>
      <c r="C314" s="2" t="str">
        <f t="shared" si="24"/>
        <v>2014</v>
      </c>
      <c r="D314" s="2" t="s">
        <v>631</v>
      </c>
      <c r="E314" s="2" t="s">
        <v>182</v>
      </c>
      <c r="F314" s="2" t="s">
        <v>36</v>
      </c>
      <c r="G314" s="2" t="s">
        <v>37</v>
      </c>
      <c r="H314" s="2" t="s">
        <v>42</v>
      </c>
      <c r="I314" s="2" t="s">
        <v>96</v>
      </c>
      <c r="J314" s="2" t="s">
        <v>52</v>
      </c>
      <c r="K314" s="2" t="s">
        <v>88</v>
      </c>
      <c r="L314" s="2" t="s">
        <v>32</v>
      </c>
      <c r="M314" s="2" t="s">
        <v>58</v>
      </c>
      <c r="N314" s="2" t="s">
        <v>27</v>
      </c>
      <c r="O314" s="1">
        <v>41777</v>
      </c>
      <c r="P314" s="3">
        <v>5.19</v>
      </c>
      <c r="Q314" s="3">
        <v>12.98</v>
      </c>
      <c r="R314" s="3">
        <f t="shared" si="25"/>
        <v>7.79</v>
      </c>
      <c r="S314" s="2">
        <v>20</v>
      </c>
      <c r="T314" s="3">
        <f t="shared" si="26"/>
        <v>259.60000000000002</v>
      </c>
      <c r="U314" s="4">
        <v>0.04</v>
      </c>
      <c r="V314" s="6">
        <f t="shared" si="27"/>
        <v>10.384</v>
      </c>
      <c r="W314" s="6">
        <f t="shared" si="28"/>
        <v>249.21600000000001</v>
      </c>
      <c r="X314" s="3">
        <v>3.14</v>
      </c>
      <c r="Y314" s="5">
        <f t="shared" si="29"/>
        <v>252.35599999999999</v>
      </c>
    </row>
    <row r="315" spans="1:25" x14ac:dyDescent="0.2">
      <c r="A315" t="s">
        <v>1232</v>
      </c>
      <c r="B315" s="1">
        <v>41778</v>
      </c>
      <c r="C315" s="2" t="str">
        <f t="shared" si="24"/>
        <v>2014</v>
      </c>
      <c r="D315" s="2" t="s">
        <v>749</v>
      </c>
      <c r="E315" s="2" t="s">
        <v>202</v>
      </c>
      <c r="F315" s="2" t="s">
        <v>19</v>
      </c>
      <c r="G315" s="2" t="s">
        <v>20</v>
      </c>
      <c r="H315" s="2" t="s">
        <v>29</v>
      </c>
      <c r="I315" s="2" t="s">
        <v>22</v>
      </c>
      <c r="J315" s="2" t="s">
        <v>30</v>
      </c>
      <c r="K315" s="2" t="s">
        <v>149</v>
      </c>
      <c r="L315" s="2" t="s">
        <v>150</v>
      </c>
      <c r="M315" s="2" t="s">
        <v>58</v>
      </c>
      <c r="N315" s="2" t="s">
        <v>89</v>
      </c>
      <c r="O315" s="1">
        <v>41779</v>
      </c>
      <c r="P315" s="3">
        <v>5.5</v>
      </c>
      <c r="Q315" s="3">
        <v>12.22</v>
      </c>
      <c r="R315" s="3">
        <f t="shared" si="25"/>
        <v>6.7200000000000006</v>
      </c>
      <c r="S315" s="2">
        <v>18</v>
      </c>
      <c r="T315" s="3">
        <f t="shared" si="26"/>
        <v>219.96</v>
      </c>
      <c r="U315" s="4">
        <v>0.04</v>
      </c>
      <c r="V315" s="6">
        <f t="shared" si="27"/>
        <v>8.7984000000000009</v>
      </c>
      <c r="W315" s="6">
        <f t="shared" si="28"/>
        <v>211.16160000000002</v>
      </c>
      <c r="X315" s="3">
        <v>2.85</v>
      </c>
      <c r="Y315" s="5">
        <f t="shared" si="29"/>
        <v>214.01160000000002</v>
      </c>
    </row>
    <row r="316" spans="1:25" x14ac:dyDescent="0.2">
      <c r="A316" t="s">
        <v>1233</v>
      </c>
      <c r="B316" s="1">
        <v>41778</v>
      </c>
      <c r="C316" s="2" t="str">
        <f t="shared" si="24"/>
        <v>2014</v>
      </c>
      <c r="D316" s="2" t="s">
        <v>750</v>
      </c>
      <c r="E316" s="2" t="s">
        <v>357</v>
      </c>
      <c r="F316" s="2" t="s">
        <v>36</v>
      </c>
      <c r="G316" s="2" t="s">
        <v>37</v>
      </c>
      <c r="H316" s="2" t="s">
        <v>50</v>
      </c>
      <c r="I316" s="2" t="s">
        <v>96</v>
      </c>
      <c r="J316" s="2" t="s">
        <v>23</v>
      </c>
      <c r="K316" s="2" t="s">
        <v>278</v>
      </c>
      <c r="L316" s="2" t="s">
        <v>32</v>
      </c>
      <c r="M316" s="2" t="s">
        <v>33</v>
      </c>
      <c r="N316" s="2" t="s">
        <v>89</v>
      </c>
      <c r="O316" s="1">
        <v>41783</v>
      </c>
      <c r="P316" s="3">
        <v>2.31</v>
      </c>
      <c r="Q316" s="3">
        <v>3.78</v>
      </c>
      <c r="R316" s="3">
        <f t="shared" si="25"/>
        <v>1.4699999999999998</v>
      </c>
      <c r="S316" s="2">
        <v>15</v>
      </c>
      <c r="T316" s="3">
        <f t="shared" si="26"/>
        <v>56.699999999999996</v>
      </c>
      <c r="U316" s="4">
        <v>0.03</v>
      </c>
      <c r="V316" s="6">
        <f t="shared" si="27"/>
        <v>1.7009999999999998</v>
      </c>
      <c r="W316" s="6">
        <f t="shared" si="28"/>
        <v>54.998999999999995</v>
      </c>
      <c r="X316" s="3">
        <v>0.71</v>
      </c>
      <c r="Y316" s="5">
        <f t="shared" si="29"/>
        <v>55.708999999999996</v>
      </c>
    </row>
    <row r="317" spans="1:25" x14ac:dyDescent="0.2">
      <c r="A317" t="s">
        <v>1234</v>
      </c>
      <c r="B317" s="1">
        <v>41784</v>
      </c>
      <c r="C317" s="2" t="str">
        <f t="shared" si="24"/>
        <v>2014</v>
      </c>
      <c r="D317" s="2" t="s">
        <v>533</v>
      </c>
      <c r="E317" s="2" t="s">
        <v>534</v>
      </c>
      <c r="F317" s="2" t="s">
        <v>36</v>
      </c>
      <c r="G317" s="2" t="s">
        <v>37</v>
      </c>
      <c r="H317" s="2" t="s">
        <v>42</v>
      </c>
      <c r="I317" s="2" t="s">
        <v>124</v>
      </c>
      <c r="J317" s="2" t="s">
        <v>23</v>
      </c>
      <c r="K317" s="2" t="s">
        <v>186</v>
      </c>
      <c r="L317" s="2" t="s">
        <v>25</v>
      </c>
      <c r="M317" s="2" t="s">
        <v>62</v>
      </c>
      <c r="N317" s="2" t="s">
        <v>63</v>
      </c>
      <c r="O317" s="1">
        <v>41788</v>
      </c>
      <c r="P317" s="3">
        <v>278.99</v>
      </c>
      <c r="Q317" s="3">
        <v>449.99</v>
      </c>
      <c r="R317" s="3">
        <f t="shared" si="25"/>
        <v>171</v>
      </c>
      <c r="S317" s="2">
        <v>47</v>
      </c>
      <c r="T317" s="3">
        <f t="shared" si="26"/>
        <v>21149.53</v>
      </c>
      <c r="U317" s="4">
        <v>0.1</v>
      </c>
      <c r="V317" s="6">
        <f t="shared" si="27"/>
        <v>2114.953</v>
      </c>
      <c r="W317" s="6">
        <f t="shared" si="28"/>
        <v>19034.576999999997</v>
      </c>
      <c r="X317" s="3">
        <v>49</v>
      </c>
      <c r="Y317" s="5">
        <f t="shared" si="29"/>
        <v>19083.576999999997</v>
      </c>
    </row>
    <row r="318" spans="1:25" x14ac:dyDescent="0.2">
      <c r="A318" t="s">
        <v>1235</v>
      </c>
      <c r="B318" s="1">
        <v>41788</v>
      </c>
      <c r="C318" s="2" t="str">
        <f t="shared" si="24"/>
        <v>2014</v>
      </c>
      <c r="D318" s="2" t="s">
        <v>493</v>
      </c>
      <c r="E318" s="2" t="s">
        <v>359</v>
      </c>
      <c r="F318" s="2" t="s">
        <v>36</v>
      </c>
      <c r="G318" s="2" t="s">
        <v>37</v>
      </c>
      <c r="H318" s="2" t="s">
        <v>50</v>
      </c>
      <c r="I318" s="2" t="s">
        <v>51</v>
      </c>
      <c r="J318" s="2" t="s">
        <v>23</v>
      </c>
      <c r="K318" s="2" t="s">
        <v>117</v>
      </c>
      <c r="L318" s="2" t="s">
        <v>25</v>
      </c>
      <c r="M318" s="2" t="s">
        <v>26</v>
      </c>
      <c r="N318" s="2" t="s">
        <v>27</v>
      </c>
      <c r="O318" s="1">
        <v>41792</v>
      </c>
      <c r="P318" s="3">
        <v>32.020000000000003</v>
      </c>
      <c r="Q318" s="3">
        <v>152.47999999999999</v>
      </c>
      <c r="R318" s="3">
        <f t="shared" si="25"/>
        <v>120.45999999999998</v>
      </c>
      <c r="S318" s="2">
        <v>49</v>
      </c>
      <c r="T318" s="3">
        <f t="shared" si="26"/>
        <v>7471.5199999999995</v>
      </c>
      <c r="U318" s="4">
        <v>0.03</v>
      </c>
      <c r="V318" s="6">
        <f t="shared" si="27"/>
        <v>224.14559999999997</v>
      </c>
      <c r="W318" s="6">
        <f t="shared" si="28"/>
        <v>7247.3743999999997</v>
      </c>
      <c r="X318" s="3">
        <v>4</v>
      </c>
      <c r="Y318" s="5">
        <f t="shared" si="29"/>
        <v>7251.3743999999997</v>
      </c>
    </row>
    <row r="319" spans="1:25" x14ac:dyDescent="0.2">
      <c r="A319" t="s">
        <v>1236</v>
      </c>
      <c r="B319" s="1">
        <v>41788</v>
      </c>
      <c r="C319" s="2" t="str">
        <f t="shared" si="24"/>
        <v>2014</v>
      </c>
      <c r="D319" s="2" t="s">
        <v>747</v>
      </c>
      <c r="E319" s="2" t="s">
        <v>1915</v>
      </c>
      <c r="F319" s="2" t="s">
        <v>36</v>
      </c>
      <c r="G319" s="2" t="s">
        <v>37</v>
      </c>
      <c r="H319" s="2" t="s">
        <v>50</v>
      </c>
      <c r="I319" s="2" t="s">
        <v>43</v>
      </c>
      <c r="J319" s="2" t="s">
        <v>44</v>
      </c>
      <c r="K319" s="2" t="s">
        <v>287</v>
      </c>
      <c r="L319" s="2" t="s">
        <v>32</v>
      </c>
      <c r="M319" s="2" t="s">
        <v>26</v>
      </c>
      <c r="N319" s="2" t="s">
        <v>27</v>
      </c>
      <c r="O319" s="1">
        <v>41788</v>
      </c>
      <c r="P319" s="3">
        <v>13.88</v>
      </c>
      <c r="Q319" s="3">
        <v>22.38</v>
      </c>
      <c r="R319" s="3">
        <f t="shared" si="25"/>
        <v>8.4999999999999982</v>
      </c>
      <c r="S319" s="2">
        <v>26</v>
      </c>
      <c r="T319" s="3">
        <f t="shared" si="26"/>
        <v>581.88</v>
      </c>
      <c r="U319" s="4">
        <v>7.0000000000000007E-2</v>
      </c>
      <c r="V319" s="6">
        <f t="shared" si="27"/>
        <v>40.7316</v>
      </c>
      <c r="W319" s="6">
        <f t="shared" si="28"/>
        <v>541.14840000000004</v>
      </c>
      <c r="X319" s="3">
        <v>15.1</v>
      </c>
      <c r="Y319" s="5">
        <f t="shared" si="29"/>
        <v>556.24840000000006</v>
      </c>
    </row>
    <row r="320" spans="1:25" x14ac:dyDescent="0.2">
      <c r="A320" t="s">
        <v>1237</v>
      </c>
      <c r="B320" s="1">
        <v>41788</v>
      </c>
      <c r="C320" s="2" t="str">
        <f t="shared" si="24"/>
        <v>2014</v>
      </c>
      <c r="D320" s="2" t="s">
        <v>748</v>
      </c>
      <c r="E320" s="2" t="s">
        <v>254</v>
      </c>
      <c r="F320" s="2" t="s">
        <v>19</v>
      </c>
      <c r="G320" s="2" t="s">
        <v>20</v>
      </c>
      <c r="H320" s="2" t="s">
        <v>50</v>
      </c>
      <c r="I320" s="2" t="s">
        <v>92</v>
      </c>
      <c r="J320" s="2" t="s">
        <v>30</v>
      </c>
      <c r="K320" s="2" t="s">
        <v>295</v>
      </c>
      <c r="L320" s="2" t="s">
        <v>32</v>
      </c>
      <c r="M320" s="2" t="s">
        <v>58</v>
      </c>
      <c r="N320" s="2" t="s">
        <v>27</v>
      </c>
      <c r="O320" s="1">
        <v>41788</v>
      </c>
      <c r="P320" s="3">
        <v>4.79</v>
      </c>
      <c r="Q320" s="3">
        <v>11.97</v>
      </c>
      <c r="R320" s="3">
        <f t="shared" si="25"/>
        <v>7.1800000000000006</v>
      </c>
      <c r="S320" s="2">
        <v>46</v>
      </c>
      <c r="T320" s="3">
        <f t="shared" si="26"/>
        <v>550.62</v>
      </c>
      <c r="U320" s="4">
        <v>7.0000000000000007E-2</v>
      </c>
      <c r="V320" s="6">
        <f t="shared" si="27"/>
        <v>38.543400000000005</v>
      </c>
      <c r="W320" s="6">
        <f t="shared" si="28"/>
        <v>512.07659999999998</v>
      </c>
      <c r="X320" s="3">
        <v>5.81</v>
      </c>
      <c r="Y320" s="5">
        <f t="shared" si="29"/>
        <v>517.88659999999993</v>
      </c>
    </row>
    <row r="321" spans="1:25" x14ac:dyDescent="0.2">
      <c r="A321" t="s">
        <v>1238</v>
      </c>
      <c r="B321" s="1">
        <v>41792</v>
      </c>
      <c r="C321" s="2" t="str">
        <f t="shared" si="24"/>
        <v>2014</v>
      </c>
      <c r="D321" s="2" t="s">
        <v>635</v>
      </c>
      <c r="E321" s="2" t="s">
        <v>1921</v>
      </c>
      <c r="F321" s="2" t="s">
        <v>19</v>
      </c>
      <c r="G321" s="2" t="s">
        <v>20</v>
      </c>
      <c r="H321" s="2" t="s">
        <v>50</v>
      </c>
      <c r="I321" s="2" t="s">
        <v>22</v>
      </c>
      <c r="J321" s="2" t="s">
        <v>66</v>
      </c>
      <c r="K321" s="2" t="s">
        <v>84</v>
      </c>
      <c r="L321" s="2" t="s">
        <v>25</v>
      </c>
      <c r="M321" s="2" t="s">
        <v>85</v>
      </c>
      <c r="N321" s="2" t="s">
        <v>27</v>
      </c>
      <c r="O321" s="1">
        <v>41794</v>
      </c>
      <c r="P321" s="3">
        <v>8.82</v>
      </c>
      <c r="Q321" s="3">
        <v>20.99</v>
      </c>
      <c r="R321" s="3">
        <f t="shared" si="25"/>
        <v>12.169999999999998</v>
      </c>
      <c r="S321" s="2">
        <v>10</v>
      </c>
      <c r="T321" s="3">
        <f t="shared" si="26"/>
        <v>209.89999999999998</v>
      </c>
      <c r="U321" s="4">
        <v>0</v>
      </c>
      <c r="V321" s="6">
        <f t="shared" si="27"/>
        <v>0</v>
      </c>
      <c r="W321" s="6">
        <f t="shared" si="28"/>
        <v>209.89999999999998</v>
      </c>
      <c r="X321" s="3">
        <v>4.8099999999999996</v>
      </c>
      <c r="Y321" s="5">
        <f t="shared" si="29"/>
        <v>214.70999999999998</v>
      </c>
    </row>
    <row r="322" spans="1:25" x14ac:dyDescent="0.2">
      <c r="A322" t="s">
        <v>1239</v>
      </c>
      <c r="B322" s="1">
        <v>41793</v>
      </c>
      <c r="C322" s="2" t="str">
        <f t="shared" si="24"/>
        <v>2014</v>
      </c>
      <c r="D322" s="2" t="s">
        <v>746</v>
      </c>
      <c r="E322" s="2" t="s">
        <v>694</v>
      </c>
      <c r="F322" s="2" t="s">
        <v>36</v>
      </c>
      <c r="G322" s="2" t="s">
        <v>37</v>
      </c>
      <c r="H322" s="2" t="s">
        <v>50</v>
      </c>
      <c r="I322" s="2" t="s">
        <v>83</v>
      </c>
      <c r="J322" s="2" t="s">
        <v>52</v>
      </c>
      <c r="K322" s="2" t="s">
        <v>220</v>
      </c>
      <c r="L322" s="2" t="s">
        <v>32</v>
      </c>
      <c r="M322" s="2" t="s">
        <v>33</v>
      </c>
      <c r="N322" s="2" t="s">
        <v>27</v>
      </c>
      <c r="O322" s="1">
        <v>41794</v>
      </c>
      <c r="P322" s="3">
        <v>1.0900000000000001</v>
      </c>
      <c r="Q322" s="3">
        <v>1.82</v>
      </c>
      <c r="R322" s="3">
        <f t="shared" si="25"/>
        <v>0.73</v>
      </c>
      <c r="S322" s="2">
        <v>40</v>
      </c>
      <c r="T322" s="3">
        <f t="shared" si="26"/>
        <v>72.8</v>
      </c>
      <c r="U322" s="4">
        <v>0.1</v>
      </c>
      <c r="V322" s="6">
        <f t="shared" si="27"/>
        <v>7.28</v>
      </c>
      <c r="W322" s="6">
        <f t="shared" si="28"/>
        <v>65.52</v>
      </c>
      <c r="X322" s="3">
        <v>1</v>
      </c>
      <c r="Y322" s="5">
        <f t="shared" si="29"/>
        <v>66.52</v>
      </c>
    </row>
    <row r="323" spans="1:25" x14ac:dyDescent="0.2">
      <c r="A323" t="s">
        <v>1240</v>
      </c>
      <c r="B323" s="1">
        <v>41793</v>
      </c>
      <c r="C323" s="2" t="str">
        <f t="shared" si="24"/>
        <v>2014</v>
      </c>
      <c r="D323" s="2" t="s">
        <v>143</v>
      </c>
      <c r="E323" s="2" t="s">
        <v>1887</v>
      </c>
      <c r="F323" s="2" t="s">
        <v>1881</v>
      </c>
      <c r="G323" s="2" t="s">
        <v>1882</v>
      </c>
      <c r="H323" s="2" t="s">
        <v>42</v>
      </c>
      <c r="I323" s="2" t="s">
        <v>51</v>
      </c>
      <c r="J323" s="2" t="s">
        <v>44</v>
      </c>
      <c r="K323" s="2" t="s">
        <v>53</v>
      </c>
      <c r="L323" s="2" t="s">
        <v>32</v>
      </c>
      <c r="M323" s="2" t="s">
        <v>33</v>
      </c>
      <c r="N323" s="2" t="s">
        <v>27</v>
      </c>
      <c r="O323" s="1">
        <v>41795</v>
      </c>
      <c r="P323" s="3">
        <v>3.75</v>
      </c>
      <c r="Q323" s="3">
        <v>7.08</v>
      </c>
      <c r="R323" s="3">
        <f t="shared" si="25"/>
        <v>3.33</v>
      </c>
      <c r="S323" s="2">
        <v>45</v>
      </c>
      <c r="T323" s="3">
        <f t="shared" si="26"/>
        <v>318.60000000000002</v>
      </c>
      <c r="U323" s="4">
        <v>0.06</v>
      </c>
      <c r="V323" s="6">
        <f t="shared" si="27"/>
        <v>19.116</v>
      </c>
      <c r="W323" s="6">
        <f t="shared" si="28"/>
        <v>299.48400000000004</v>
      </c>
      <c r="X323" s="3">
        <v>2.35</v>
      </c>
      <c r="Y323" s="5">
        <f t="shared" si="29"/>
        <v>301.83400000000006</v>
      </c>
    </row>
    <row r="324" spans="1:25" x14ac:dyDescent="0.2">
      <c r="A324" t="s">
        <v>1241</v>
      </c>
      <c r="B324" s="1">
        <v>41794</v>
      </c>
      <c r="C324" s="2" t="str">
        <f t="shared" si="24"/>
        <v>2014</v>
      </c>
      <c r="D324" s="2" t="s">
        <v>744</v>
      </c>
      <c r="E324" s="2" t="s">
        <v>123</v>
      </c>
      <c r="F324" s="2" t="s">
        <v>36</v>
      </c>
      <c r="G324" s="2" t="s">
        <v>37</v>
      </c>
      <c r="H324" s="2" t="s">
        <v>29</v>
      </c>
      <c r="I324" s="2" t="s">
        <v>124</v>
      </c>
      <c r="J324" s="2" t="s">
        <v>44</v>
      </c>
      <c r="K324" s="2" t="s">
        <v>347</v>
      </c>
      <c r="L324" s="2" t="s">
        <v>32</v>
      </c>
      <c r="M324" s="2" t="s">
        <v>26</v>
      </c>
      <c r="N324" s="2" t="s">
        <v>27</v>
      </c>
      <c r="O324" s="1">
        <v>41795</v>
      </c>
      <c r="P324" s="3">
        <v>178.83</v>
      </c>
      <c r="Q324" s="3">
        <v>415.88</v>
      </c>
      <c r="R324" s="3">
        <f t="shared" si="25"/>
        <v>237.04999999999998</v>
      </c>
      <c r="S324" s="2">
        <v>43</v>
      </c>
      <c r="T324" s="3">
        <f t="shared" si="26"/>
        <v>17882.84</v>
      </c>
      <c r="U324" s="4">
        <v>7.0000000000000007E-2</v>
      </c>
      <c r="V324" s="6">
        <f t="shared" si="27"/>
        <v>1251.7988</v>
      </c>
      <c r="W324" s="6">
        <f t="shared" si="28"/>
        <v>16631.0412</v>
      </c>
      <c r="X324" s="3">
        <v>11.37</v>
      </c>
      <c r="Y324" s="5">
        <f t="shared" si="29"/>
        <v>16642.411199999999</v>
      </c>
    </row>
    <row r="325" spans="1:25" x14ac:dyDescent="0.2">
      <c r="A325" t="s">
        <v>1242</v>
      </c>
      <c r="B325" s="1">
        <v>41794</v>
      </c>
      <c r="C325" s="2" t="str">
        <f t="shared" si="24"/>
        <v>2014</v>
      </c>
      <c r="D325" s="2" t="s">
        <v>745</v>
      </c>
      <c r="E325" s="2" t="s">
        <v>258</v>
      </c>
      <c r="F325" s="2" t="s">
        <v>36</v>
      </c>
      <c r="G325" s="2" t="s">
        <v>37</v>
      </c>
      <c r="H325" s="2" t="s">
        <v>42</v>
      </c>
      <c r="I325" s="2" t="s">
        <v>102</v>
      </c>
      <c r="J325" s="2" t="s">
        <v>52</v>
      </c>
      <c r="K325" s="2" t="s">
        <v>70</v>
      </c>
      <c r="L325" s="2" t="s">
        <v>25</v>
      </c>
      <c r="M325" s="2" t="s">
        <v>26</v>
      </c>
      <c r="N325" s="2" t="s">
        <v>27</v>
      </c>
      <c r="O325" s="1">
        <v>41795</v>
      </c>
      <c r="P325" s="3">
        <v>156.5</v>
      </c>
      <c r="Q325" s="3">
        <v>300.97000000000003</v>
      </c>
      <c r="R325" s="3">
        <f t="shared" si="25"/>
        <v>144.47000000000003</v>
      </c>
      <c r="S325" s="2">
        <v>6</v>
      </c>
      <c r="T325" s="3">
        <f t="shared" si="26"/>
        <v>1805.8200000000002</v>
      </c>
      <c r="U325" s="4">
        <v>0.04</v>
      </c>
      <c r="V325" s="6">
        <f t="shared" si="27"/>
        <v>72.232800000000012</v>
      </c>
      <c r="W325" s="6">
        <f t="shared" si="28"/>
        <v>1733.5872000000002</v>
      </c>
      <c r="X325" s="3">
        <v>7.18</v>
      </c>
      <c r="Y325" s="5">
        <f t="shared" si="29"/>
        <v>1740.7672000000002</v>
      </c>
    </row>
    <row r="326" spans="1:25" x14ac:dyDescent="0.2">
      <c r="A326" t="s">
        <v>1243</v>
      </c>
      <c r="B326" s="1">
        <v>41795</v>
      </c>
      <c r="C326" s="2" t="str">
        <f t="shared" ref="C326:C389" si="30">TEXT(B326,"yyyy")</f>
        <v>2014</v>
      </c>
      <c r="D326" s="2" t="s">
        <v>362</v>
      </c>
      <c r="E326" s="2" t="s">
        <v>363</v>
      </c>
      <c r="F326" s="2" t="s">
        <v>36</v>
      </c>
      <c r="G326" s="2" t="s">
        <v>37</v>
      </c>
      <c r="H326" s="2" t="s">
        <v>50</v>
      </c>
      <c r="I326" s="2" t="s">
        <v>153</v>
      </c>
      <c r="J326" s="2" t="s">
        <v>30</v>
      </c>
      <c r="K326" s="2" t="s">
        <v>449</v>
      </c>
      <c r="L326" s="2" t="s">
        <v>32</v>
      </c>
      <c r="M326" s="2" t="s">
        <v>26</v>
      </c>
      <c r="N326" s="2" t="s">
        <v>27</v>
      </c>
      <c r="O326" s="1">
        <v>41797</v>
      </c>
      <c r="P326" s="3">
        <v>12.39</v>
      </c>
      <c r="Q326" s="3">
        <v>19.98</v>
      </c>
      <c r="R326" s="3">
        <f t="shared" ref="R326:R389" si="31">Q326-P326</f>
        <v>7.59</v>
      </c>
      <c r="S326" s="2">
        <v>10</v>
      </c>
      <c r="T326" s="3">
        <f t="shared" ref="T326:T389" si="32">Q326*S326</f>
        <v>199.8</v>
      </c>
      <c r="U326" s="4">
        <v>0.1</v>
      </c>
      <c r="V326" s="6">
        <f t="shared" ref="V326:V389" si="33">T326*U326</f>
        <v>19.980000000000004</v>
      </c>
      <c r="W326" s="6">
        <f t="shared" ref="W326:W389" si="34">T326-V326</f>
        <v>179.82</v>
      </c>
      <c r="X326" s="3">
        <v>5.77</v>
      </c>
      <c r="Y326" s="5">
        <f t="shared" ref="Y326:Y389" si="35">W326+X326</f>
        <v>185.59</v>
      </c>
    </row>
    <row r="327" spans="1:25" x14ac:dyDescent="0.2">
      <c r="A327" t="s">
        <v>1244</v>
      </c>
      <c r="B327" s="1">
        <v>41797</v>
      </c>
      <c r="C327" s="2" t="str">
        <f t="shared" si="30"/>
        <v>2014</v>
      </c>
      <c r="D327" s="2" t="s">
        <v>743</v>
      </c>
      <c r="E327" s="2" t="s">
        <v>649</v>
      </c>
      <c r="F327" s="2" t="s">
        <v>36</v>
      </c>
      <c r="G327" s="2" t="s">
        <v>37</v>
      </c>
      <c r="H327" s="2" t="s">
        <v>29</v>
      </c>
      <c r="I327" s="2" t="s">
        <v>83</v>
      </c>
      <c r="J327" s="2" t="s">
        <v>30</v>
      </c>
      <c r="K327" s="2" t="s">
        <v>186</v>
      </c>
      <c r="L327" s="2" t="s">
        <v>25</v>
      </c>
      <c r="M327" s="2" t="s">
        <v>62</v>
      </c>
      <c r="N327" s="2" t="s">
        <v>63</v>
      </c>
      <c r="O327" s="1">
        <v>41798</v>
      </c>
      <c r="P327" s="3">
        <v>278.99</v>
      </c>
      <c r="Q327" s="3">
        <v>449.99</v>
      </c>
      <c r="R327" s="3">
        <f t="shared" si="31"/>
        <v>171</v>
      </c>
      <c r="S327" s="2">
        <v>5</v>
      </c>
      <c r="T327" s="3">
        <f t="shared" si="32"/>
        <v>2249.9499999999998</v>
      </c>
      <c r="U327" s="4">
        <v>0.01</v>
      </c>
      <c r="V327" s="6">
        <f t="shared" si="33"/>
        <v>22.499499999999998</v>
      </c>
      <c r="W327" s="6">
        <f t="shared" si="34"/>
        <v>2227.4504999999999</v>
      </c>
      <c r="X327" s="3">
        <v>49</v>
      </c>
      <c r="Y327" s="5">
        <f t="shared" si="35"/>
        <v>2276.4504999999999</v>
      </c>
    </row>
    <row r="328" spans="1:25" x14ac:dyDescent="0.2">
      <c r="A328" t="s">
        <v>1245</v>
      </c>
      <c r="B328" s="1">
        <v>41798</v>
      </c>
      <c r="C328" s="2" t="str">
        <f t="shared" si="30"/>
        <v>2014</v>
      </c>
      <c r="D328" s="2" t="s">
        <v>404</v>
      </c>
      <c r="E328" s="2" t="s">
        <v>69</v>
      </c>
      <c r="F328" s="2" t="s">
        <v>19</v>
      </c>
      <c r="G328" s="2" t="s">
        <v>20</v>
      </c>
      <c r="H328" s="2" t="s">
        <v>50</v>
      </c>
      <c r="I328" s="2" t="s">
        <v>22</v>
      </c>
      <c r="J328" s="2" t="s">
        <v>52</v>
      </c>
      <c r="K328" s="2" t="s">
        <v>103</v>
      </c>
      <c r="L328" s="2" t="s">
        <v>32</v>
      </c>
      <c r="M328" s="2" t="s">
        <v>26</v>
      </c>
      <c r="N328" s="2" t="s">
        <v>89</v>
      </c>
      <c r="O328" s="1">
        <v>41800</v>
      </c>
      <c r="P328" s="3">
        <v>2.2599999999999998</v>
      </c>
      <c r="Q328" s="3">
        <v>3.58</v>
      </c>
      <c r="R328" s="3">
        <f t="shared" si="31"/>
        <v>1.3200000000000003</v>
      </c>
      <c r="S328" s="2">
        <v>44</v>
      </c>
      <c r="T328" s="3">
        <f t="shared" si="32"/>
        <v>157.52000000000001</v>
      </c>
      <c r="U328" s="4">
        <v>0.06</v>
      </c>
      <c r="V328" s="6">
        <f t="shared" si="33"/>
        <v>9.4512</v>
      </c>
      <c r="W328" s="6">
        <f t="shared" si="34"/>
        <v>148.06880000000001</v>
      </c>
      <c r="X328" s="3">
        <v>5.47</v>
      </c>
      <c r="Y328" s="5">
        <f t="shared" si="35"/>
        <v>153.53880000000001</v>
      </c>
    </row>
    <row r="329" spans="1:25" x14ac:dyDescent="0.2">
      <c r="A329" t="s">
        <v>1246</v>
      </c>
      <c r="B329" s="1">
        <v>41799</v>
      </c>
      <c r="C329" s="2" t="str">
        <f t="shared" si="30"/>
        <v>2014</v>
      </c>
      <c r="D329" s="2" t="s">
        <v>171</v>
      </c>
      <c r="E329" s="2" t="s">
        <v>1920</v>
      </c>
      <c r="F329" s="2" t="s">
        <v>1881</v>
      </c>
      <c r="G329" s="2" t="s">
        <v>1882</v>
      </c>
      <c r="H329" s="2" t="s">
        <v>42</v>
      </c>
      <c r="I329" s="2" t="s">
        <v>75</v>
      </c>
      <c r="J329" s="2" t="s">
        <v>44</v>
      </c>
      <c r="K329" s="2" t="s">
        <v>583</v>
      </c>
      <c r="L329" s="2" t="s">
        <v>150</v>
      </c>
      <c r="M329" s="2" t="s">
        <v>58</v>
      </c>
      <c r="N329" s="2" t="s">
        <v>27</v>
      </c>
      <c r="O329" s="1">
        <v>41799</v>
      </c>
      <c r="P329" s="3">
        <v>11.38</v>
      </c>
      <c r="Q329" s="3">
        <v>18.649999999999999</v>
      </c>
      <c r="R329" s="3">
        <f t="shared" si="31"/>
        <v>7.2699999999999978</v>
      </c>
      <c r="S329" s="2">
        <v>18</v>
      </c>
      <c r="T329" s="3">
        <f t="shared" si="32"/>
        <v>335.7</v>
      </c>
      <c r="U329" s="4">
        <v>0.1</v>
      </c>
      <c r="V329" s="6">
        <f t="shared" si="33"/>
        <v>33.57</v>
      </c>
      <c r="W329" s="6">
        <f t="shared" si="34"/>
        <v>302.13</v>
      </c>
      <c r="X329" s="3">
        <v>3.77</v>
      </c>
      <c r="Y329" s="5">
        <f t="shared" si="35"/>
        <v>305.89999999999998</v>
      </c>
    </row>
    <row r="330" spans="1:25" x14ac:dyDescent="0.2">
      <c r="A330" t="s">
        <v>1247</v>
      </c>
      <c r="B330" s="1">
        <v>41803</v>
      </c>
      <c r="C330" s="2" t="str">
        <f t="shared" si="30"/>
        <v>2014</v>
      </c>
      <c r="D330" s="2" t="s">
        <v>573</v>
      </c>
      <c r="E330" s="2" t="s">
        <v>238</v>
      </c>
      <c r="F330" s="2" t="s">
        <v>36</v>
      </c>
      <c r="G330" s="2" t="s">
        <v>37</v>
      </c>
      <c r="H330" s="2" t="s">
        <v>50</v>
      </c>
      <c r="I330" s="2" t="s">
        <v>96</v>
      </c>
      <c r="J330" s="2" t="s">
        <v>23</v>
      </c>
      <c r="K330" s="2" t="s">
        <v>93</v>
      </c>
      <c r="L330" s="2" t="s">
        <v>32</v>
      </c>
      <c r="M330" s="2" t="s">
        <v>26</v>
      </c>
      <c r="N330" s="2" t="s">
        <v>89</v>
      </c>
      <c r="O330" s="1">
        <v>41812</v>
      </c>
      <c r="P330" s="3">
        <v>19.829999999999998</v>
      </c>
      <c r="Q330" s="3">
        <v>30.98</v>
      </c>
      <c r="R330" s="3">
        <f t="shared" si="31"/>
        <v>11.150000000000002</v>
      </c>
      <c r="S330" s="2">
        <v>46</v>
      </c>
      <c r="T330" s="3">
        <f t="shared" si="32"/>
        <v>1425.08</v>
      </c>
      <c r="U330" s="4">
        <v>0.04</v>
      </c>
      <c r="V330" s="6">
        <f t="shared" si="33"/>
        <v>57.0032</v>
      </c>
      <c r="W330" s="6">
        <f t="shared" si="34"/>
        <v>1368.0767999999998</v>
      </c>
      <c r="X330" s="3">
        <v>19.510000000000002</v>
      </c>
      <c r="Y330" s="5">
        <f t="shared" si="35"/>
        <v>1387.5867999999998</v>
      </c>
    </row>
    <row r="331" spans="1:25" x14ac:dyDescent="0.2">
      <c r="A331" t="s">
        <v>1248</v>
      </c>
      <c r="B331" s="1">
        <v>41806</v>
      </c>
      <c r="C331" s="2" t="str">
        <f t="shared" si="30"/>
        <v>2014</v>
      </c>
      <c r="D331" s="2" t="s">
        <v>566</v>
      </c>
      <c r="E331" s="2" t="s">
        <v>41</v>
      </c>
      <c r="F331" s="2" t="s">
        <v>36</v>
      </c>
      <c r="G331" s="2" t="s">
        <v>37</v>
      </c>
      <c r="H331" s="2" t="s">
        <v>21</v>
      </c>
      <c r="I331" s="2" t="s">
        <v>43</v>
      </c>
      <c r="J331" s="2" t="s">
        <v>23</v>
      </c>
      <c r="K331" s="2" t="s">
        <v>197</v>
      </c>
      <c r="L331" s="2" t="s">
        <v>32</v>
      </c>
      <c r="M331" s="2" t="s">
        <v>26</v>
      </c>
      <c r="N331" s="2" t="s">
        <v>27</v>
      </c>
      <c r="O331" s="1">
        <v>41811</v>
      </c>
      <c r="P331" s="3">
        <v>3.52</v>
      </c>
      <c r="Q331" s="3">
        <v>5.68</v>
      </c>
      <c r="R331" s="3">
        <f t="shared" si="31"/>
        <v>2.1599999999999997</v>
      </c>
      <c r="S331" s="2">
        <v>32</v>
      </c>
      <c r="T331" s="3">
        <f t="shared" si="32"/>
        <v>181.76</v>
      </c>
      <c r="U331" s="4">
        <v>0.1</v>
      </c>
      <c r="V331" s="6">
        <f t="shared" si="33"/>
        <v>18.175999999999998</v>
      </c>
      <c r="W331" s="6">
        <f t="shared" si="34"/>
        <v>163.584</v>
      </c>
      <c r="X331" s="3">
        <v>1.39</v>
      </c>
      <c r="Y331" s="5">
        <f t="shared" si="35"/>
        <v>164.97399999999999</v>
      </c>
    </row>
    <row r="332" spans="1:25" x14ac:dyDescent="0.2">
      <c r="A332" t="s">
        <v>1249</v>
      </c>
      <c r="B332" s="1">
        <v>41807</v>
      </c>
      <c r="C332" s="2" t="str">
        <f t="shared" si="30"/>
        <v>2014</v>
      </c>
      <c r="D332" s="2" t="s">
        <v>553</v>
      </c>
      <c r="E332" s="2" t="s">
        <v>182</v>
      </c>
      <c r="F332" s="2" t="s">
        <v>36</v>
      </c>
      <c r="G332" s="2" t="s">
        <v>37</v>
      </c>
      <c r="H332" s="2" t="s">
        <v>21</v>
      </c>
      <c r="I332" s="2" t="s">
        <v>96</v>
      </c>
      <c r="J332" s="2" t="s">
        <v>30</v>
      </c>
      <c r="K332" s="2" t="s">
        <v>120</v>
      </c>
      <c r="L332" s="2" t="s">
        <v>32</v>
      </c>
      <c r="M332" s="2" t="s">
        <v>26</v>
      </c>
      <c r="N332" s="2" t="s">
        <v>27</v>
      </c>
      <c r="O332" s="1">
        <v>41808</v>
      </c>
      <c r="P332" s="3">
        <v>1.18</v>
      </c>
      <c r="Q332" s="3">
        <v>1.88</v>
      </c>
      <c r="R332" s="3">
        <f t="shared" si="31"/>
        <v>0.7</v>
      </c>
      <c r="S332" s="2">
        <v>19</v>
      </c>
      <c r="T332" s="3">
        <f t="shared" si="32"/>
        <v>35.72</v>
      </c>
      <c r="U332" s="4">
        <v>7.0000000000000007E-2</v>
      </c>
      <c r="V332" s="6">
        <f t="shared" si="33"/>
        <v>2.5004</v>
      </c>
      <c r="W332" s="6">
        <f t="shared" si="34"/>
        <v>33.2196</v>
      </c>
      <c r="X332" s="3">
        <v>1.49</v>
      </c>
      <c r="Y332" s="5">
        <f t="shared" si="35"/>
        <v>34.709600000000002</v>
      </c>
    </row>
    <row r="333" spans="1:25" x14ac:dyDescent="0.2">
      <c r="A333" t="s">
        <v>1250</v>
      </c>
      <c r="B333" s="1">
        <v>41808</v>
      </c>
      <c r="C333" s="2" t="str">
        <f t="shared" si="30"/>
        <v>2014</v>
      </c>
      <c r="D333" s="2" t="s">
        <v>385</v>
      </c>
      <c r="E333" s="2" t="s">
        <v>1931</v>
      </c>
      <c r="F333" s="2" t="s">
        <v>1881</v>
      </c>
      <c r="G333" s="2" t="s">
        <v>1882</v>
      </c>
      <c r="H333" s="2" t="s">
        <v>50</v>
      </c>
      <c r="I333" s="2" t="s">
        <v>153</v>
      </c>
      <c r="J333" s="2" t="s">
        <v>44</v>
      </c>
      <c r="K333" s="2" t="s">
        <v>480</v>
      </c>
      <c r="L333" s="2" t="s">
        <v>32</v>
      </c>
      <c r="M333" s="2" t="s">
        <v>33</v>
      </c>
      <c r="N333" s="2" t="s">
        <v>27</v>
      </c>
      <c r="O333" s="1">
        <v>41808</v>
      </c>
      <c r="P333" s="3">
        <v>2.41</v>
      </c>
      <c r="Q333" s="3">
        <v>3.71</v>
      </c>
      <c r="R333" s="3">
        <f t="shared" si="31"/>
        <v>1.2999999999999998</v>
      </c>
      <c r="S333" s="2">
        <v>39</v>
      </c>
      <c r="T333" s="3">
        <f t="shared" si="32"/>
        <v>144.69</v>
      </c>
      <c r="U333" s="4">
        <v>0.06</v>
      </c>
      <c r="V333" s="6">
        <f t="shared" si="33"/>
        <v>8.6814</v>
      </c>
      <c r="W333" s="6">
        <f t="shared" si="34"/>
        <v>136.0086</v>
      </c>
      <c r="X333" s="3">
        <v>1.93</v>
      </c>
      <c r="Y333" s="5">
        <f t="shared" si="35"/>
        <v>137.93860000000001</v>
      </c>
    </row>
    <row r="334" spans="1:25" x14ac:dyDescent="0.2">
      <c r="A334" t="s">
        <v>1251</v>
      </c>
      <c r="B334" s="1">
        <v>41808</v>
      </c>
      <c r="C334" s="2" t="str">
        <f t="shared" si="30"/>
        <v>2014</v>
      </c>
      <c r="D334" s="2" t="s">
        <v>742</v>
      </c>
      <c r="E334" s="2" t="s">
        <v>465</v>
      </c>
      <c r="F334" s="2" t="s">
        <v>36</v>
      </c>
      <c r="G334" s="2" t="s">
        <v>37</v>
      </c>
      <c r="H334" s="2" t="s">
        <v>42</v>
      </c>
      <c r="I334" s="2" t="s">
        <v>79</v>
      </c>
      <c r="J334" s="2" t="s">
        <v>66</v>
      </c>
      <c r="K334" s="2" t="s">
        <v>570</v>
      </c>
      <c r="L334" s="2" t="s">
        <v>32</v>
      </c>
      <c r="M334" s="2" t="s">
        <v>33</v>
      </c>
      <c r="N334" s="2" t="s">
        <v>27</v>
      </c>
      <c r="O334" s="1">
        <v>41808</v>
      </c>
      <c r="P334" s="3">
        <v>1.88</v>
      </c>
      <c r="Q334" s="3">
        <v>3.14</v>
      </c>
      <c r="R334" s="3">
        <f t="shared" si="31"/>
        <v>1.2600000000000002</v>
      </c>
      <c r="S334" s="2">
        <v>32</v>
      </c>
      <c r="T334" s="3">
        <f t="shared" si="32"/>
        <v>100.48</v>
      </c>
      <c r="U334" s="4">
        <v>0.03</v>
      </c>
      <c r="V334" s="6">
        <f t="shared" si="33"/>
        <v>3.0144000000000002</v>
      </c>
      <c r="W334" s="6">
        <f t="shared" si="34"/>
        <v>97.465600000000009</v>
      </c>
      <c r="X334" s="3">
        <v>1.1399999999999999</v>
      </c>
      <c r="Y334" s="5">
        <f t="shared" si="35"/>
        <v>98.60560000000001</v>
      </c>
    </row>
    <row r="335" spans="1:25" x14ac:dyDescent="0.2">
      <c r="A335" t="s">
        <v>1252</v>
      </c>
      <c r="B335" s="1">
        <v>41809</v>
      </c>
      <c r="C335" s="2" t="str">
        <f t="shared" si="30"/>
        <v>2014</v>
      </c>
      <c r="D335" s="2" t="s">
        <v>739</v>
      </c>
      <c r="E335" s="2" t="s">
        <v>1925</v>
      </c>
      <c r="F335" s="2" t="s">
        <v>19</v>
      </c>
      <c r="G335" s="2" t="s">
        <v>20</v>
      </c>
      <c r="H335" s="2" t="s">
        <v>29</v>
      </c>
      <c r="I335" s="2" t="s">
        <v>22</v>
      </c>
      <c r="J335" s="2" t="s">
        <v>30</v>
      </c>
      <c r="K335" s="2" t="s">
        <v>365</v>
      </c>
      <c r="L335" s="2" t="s">
        <v>32</v>
      </c>
      <c r="M335" s="2" t="s">
        <v>33</v>
      </c>
      <c r="N335" s="2" t="s">
        <v>27</v>
      </c>
      <c r="O335" s="1">
        <v>41811</v>
      </c>
      <c r="P335" s="3">
        <v>21.56</v>
      </c>
      <c r="Q335" s="3">
        <v>36.549999999999997</v>
      </c>
      <c r="R335" s="3">
        <f t="shared" si="31"/>
        <v>14.989999999999998</v>
      </c>
      <c r="S335" s="2">
        <v>48</v>
      </c>
      <c r="T335" s="3">
        <f t="shared" si="32"/>
        <v>1754.3999999999999</v>
      </c>
      <c r="U335" s="4">
        <v>7.0000000000000007E-2</v>
      </c>
      <c r="V335" s="6">
        <f t="shared" si="33"/>
        <v>122.80800000000001</v>
      </c>
      <c r="W335" s="6">
        <f t="shared" si="34"/>
        <v>1631.5919999999999</v>
      </c>
      <c r="X335" s="3">
        <v>13.89</v>
      </c>
      <c r="Y335" s="5">
        <f t="shared" si="35"/>
        <v>1645.482</v>
      </c>
    </row>
    <row r="336" spans="1:25" x14ac:dyDescent="0.2">
      <c r="A336" t="s">
        <v>1253</v>
      </c>
      <c r="B336" s="1">
        <v>41809</v>
      </c>
      <c r="C336" s="2" t="str">
        <f t="shared" si="30"/>
        <v>2014</v>
      </c>
      <c r="D336" s="2" t="s">
        <v>740</v>
      </c>
      <c r="E336" s="2" t="s">
        <v>188</v>
      </c>
      <c r="F336" s="2" t="s">
        <v>36</v>
      </c>
      <c r="G336" s="2" t="s">
        <v>37</v>
      </c>
      <c r="H336" s="2" t="s">
        <v>29</v>
      </c>
      <c r="I336" s="2" t="s">
        <v>75</v>
      </c>
      <c r="J336" s="2" t="s">
        <v>52</v>
      </c>
      <c r="K336" s="2" t="s">
        <v>215</v>
      </c>
      <c r="L336" s="2" t="s">
        <v>25</v>
      </c>
      <c r="M336" s="2" t="s">
        <v>58</v>
      </c>
      <c r="N336" s="2" t="s">
        <v>27</v>
      </c>
      <c r="O336" s="1">
        <v>41811</v>
      </c>
      <c r="P336" s="3">
        <v>20.18</v>
      </c>
      <c r="Q336" s="3">
        <v>35.409999999999997</v>
      </c>
      <c r="R336" s="3">
        <f t="shared" si="31"/>
        <v>15.229999999999997</v>
      </c>
      <c r="S336" s="2">
        <v>21</v>
      </c>
      <c r="T336" s="3">
        <f t="shared" si="32"/>
        <v>743.6099999999999</v>
      </c>
      <c r="U336" s="4">
        <v>0.01</v>
      </c>
      <c r="V336" s="6">
        <f t="shared" si="33"/>
        <v>7.4360999999999988</v>
      </c>
      <c r="W336" s="6">
        <f t="shared" si="34"/>
        <v>736.17389999999989</v>
      </c>
      <c r="X336" s="3">
        <v>1.99</v>
      </c>
      <c r="Y336" s="5">
        <f t="shared" si="35"/>
        <v>738.1638999999999</v>
      </c>
    </row>
    <row r="337" spans="1:25" x14ac:dyDescent="0.2">
      <c r="A337" t="s">
        <v>1254</v>
      </c>
      <c r="B337" s="1">
        <v>41809</v>
      </c>
      <c r="C337" s="2" t="str">
        <f t="shared" si="30"/>
        <v>2014</v>
      </c>
      <c r="D337" s="2" t="s">
        <v>741</v>
      </c>
      <c r="E337" s="2" t="s">
        <v>182</v>
      </c>
      <c r="F337" s="2" t="s">
        <v>36</v>
      </c>
      <c r="G337" s="2" t="s">
        <v>37</v>
      </c>
      <c r="H337" s="2" t="s">
        <v>21</v>
      </c>
      <c r="I337" s="2" t="s">
        <v>96</v>
      </c>
      <c r="J337" s="2" t="s">
        <v>44</v>
      </c>
      <c r="K337" s="2" t="s">
        <v>375</v>
      </c>
      <c r="L337" s="2" t="s">
        <v>32</v>
      </c>
      <c r="M337" s="2" t="s">
        <v>26</v>
      </c>
      <c r="N337" s="2" t="s">
        <v>27</v>
      </c>
      <c r="O337" s="1">
        <v>41811</v>
      </c>
      <c r="P337" s="3">
        <v>99.39</v>
      </c>
      <c r="Q337" s="3">
        <v>162.93</v>
      </c>
      <c r="R337" s="3">
        <f t="shared" si="31"/>
        <v>63.540000000000006</v>
      </c>
      <c r="S337" s="2">
        <v>16</v>
      </c>
      <c r="T337" s="3">
        <f t="shared" si="32"/>
        <v>2606.88</v>
      </c>
      <c r="U337" s="4">
        <v>0.1</v>
      </c>
      <c r="V337" s="6">
        <f t="shared" si="33"/>
        <v>260.68800000000005</v>
      </c>
      <c r="W337" s="6">
        <f t="shared" si="34"/>
        <v>2346.192</v>
      </c>
      <c r="X337" s="3">
        <v>19.989999999999998</v>
      </c>
      <c r="Y337" s="5">
        <f t="shared" si="35"/>
        <v>2366.1819999999998</v>
      </c>
    </row>
    <row r="338" spans="1:25" x14ac:dyDescent="0.2">
      <c r="A338" t="s">
        <v>1255</v>
      </c>
      <c r="B338" s="1">
        <v>41812</v>
      </c>
      <c r="C338" s="2" t="str">
        <f t="shared" si="30"/>
        <v>2014</v>
      </c>
      <c r="D338" s="2" t="s">
        <v>81</v>
      </c>
      <c r="E338" s="2" t="s">
        <v>82</v>
      </c>
      <c r="F338" s="2" t="s">
        <v>36</v>
      </c>
      <c r="G338" s="2" t="s">
        <v>37</v>
      </c>
      <c r="H338" s="2" t="s">
        <v>50</v>
      </c>
      <c r="I338" s="2" t="s">
        <v>83</v>
      </c>
      <c r="J338" s="2" t="s">
        <v>52</v>
      </c>
      <c r="K338" s="2" t="s">
        <v>260</v>
      </c>
      <c r="L338" s="2" t="s">
        <v>150</v>
      </c>
      <c r="M338" s="2" t="s">
        <v>261</v>
      </c>
      <c r="N338" s="2" t="s">
        <v>89</v>
      </c>
      <c r="O338" s="1">
        <v>41814</v>
      </c>
      <c r="P338" s="3">
        <v>56.16</v>
      </c>
      <c r="Q338" s="3">
        <v>136.97999999999999</v>
      </c>
      <c r="R338" s="3">
        <f t="shared" si="31"/>
        <v>80.819999999999993</v>
      </c>
      <c r="S338" s="2">
        <v>17</v>
      </c>
      <c r="T338" s="3">
        <f t="shared" si="32"/>
        <v>2328.66</v>
      </c>
      <c r="U338" s="4">
        <v>0</v>
      </c>
      <c r="V338" s="6">
        <f t="shared" si="33"/>
        <v>0</v>
      </c>
      <c r="W338" s="6">
        <f t="shared" si="34"/>
        <v>2328.66</v>
      </c>
      <c r="X338" s="3">
        <v>24.49</v>
      </c>
      <c r="Y338" s="5">
        <f t="shared" si="35"/>
        <v>2353.1499999999996</v>
      </c>
    </row>
    <row r="339" spans="1:25" x14ac:dyDescent="0.2">
      <c r="A339" t="s">
        <v>1256</v>
      </c>
      <c r="B339" s="1">
        <v>41812</v>
      </c>
      <c r="C339" s="2" t="str">
        <f t="shared" si="30"/>
        <v>2014</v>
      </c>
      <c r="D339" s="2" t="s">
        <v>433</v>
      </c>
      <c r="E339" s="2" t="s">
        <v>434</v>
      </c>
      <c r="F339" s="2" t="s">
        <v>19</v>
      </c>
      <c r="G339" s="2" t="s">
        <v>20</v>
      </c>
      <c r="H339" s="2" t="s">
        <v>29</v>
      </c>
      <c r="I339" s="2" t="s">
        <v>22</v>
      </c>
      <c r="J339" s="2" t="s">
        <v>30</v>
      </c>
      <c r="K339" s="2" t="s">
        <v>299</v>
      </c>
      <c r="L339" s="2" t="s">
        <v>32</v>
      </c>
      <c r="M339" s="2" t="s">
        <v>26</v>
      </c>
      <c r="N339" s="2" t="s">
        <v>89</v>
      </c>
      <c r="O339" s="1">
        <v>41814</v>
      </c>
      <c r="P339" s="3">
        <v>3.14</v>
      </c>
      <c r="Q339" s="3">
        <v>4.91</v>
      </c>
      <c r="R339" s="3">
        <f t="shared" si="31"/>
        <v>1.77</v>
      </c>
      <c r="S339" s="2">
        <v>24</v>
      </c>
      <c r="T339" s="3">
        <f t="shared" si="32"/>
        <v>117.84</v>
      </c>
      <c r="U339" s="4">
        <v>0.01</v>
      </c>
      <c r="V339" s="6">
        <f t="shared" si="33"/>
        <v>1.1784000000000001</v>
      </c>
      <c r="W339" s="6">
        <f t="shared" si="34"/>
        <v>116.66160000000001</v>
      </c>
      <c r="X339" s="3">
        <v>0.5</v>
      </c>
      <c r="Y339" s="5">
        <f t="shared" si="35"/>
        <v>117.16160000000001</v>
      </c>
    </row>
    <row r="340" spans="1:25" x14ac:dyDescent="0.2">
      <c r="A340" t="s">
        <v>1257</v>
      </c>
      <c r="B340" s="1">
        <v>41813</v>
      </c>
      <c r="C340" s="2" t="str">
        <f t="shared" si="30"/>
        <v>2014</v>
      </c>
      <c r="D340" s="2" t="s">
        <v>614</v>
      </c>
      <c r="E340" s="2" t="s">
        <v>615</v>
      </c>
      <c r="F340" s="2" t="s">
        <v>36</v>
      </c>
      <c r="G340" s="2" t="s">
        <v>37</v>
      </c>
      <c r="H340" s="2" t="s">
        <v>21</v>
      </c>
      <c r="I340" s="2" t="s">
        <v>153</v>
      </c>
      <c r="J340" s="2" t="s">
        <v>30</v>
      </c>
      <c r="K340" s="2" t="s">
        <v>108</v>
      </c>
      <c r="L340" s="2" t="s">
        <v>32</v>
      </c>
      <c r="M340" s="2" t="s">
        <v>26</v>
      </c>
      <c r="N340" s="2" t="s">
        <v>27</v>
      </c>
      <c r="O340" s="1">
        <v>41813</v>
      </c>
      <c r="P340" s="3">
        <v>1.84</v>
      </c>
      <c r="Q340" s="3">
        <v>2.88</v>
      </c>
      <c r="R340" s="3">
        <f t="shared" si="31"/>
        <v>1.0399999999999998</v>
      </c>
      <c r="S340" s="2">
        <v>8</v>
      </c>
      <c r="T340" s="3">
        <f t="shared" si="32"/>
        <v>23.04</v>
      </c>
      <c r="U340" s="4">
        <v>7.0000000000000007E-2</v>
      </c>
      <c r="V340" s="6">
        <f t="shared" si="33"/>
        <v>1.6128</v>
      </c>
      <c r="W340" s="6">
        <f t="shared" si="34"/>
        <v>21.427199999999999</v>
      </c>
      <c r="X340" s="3">
        <v>0.99</v>
      </c>
      <c r="Y340" s="5">
        <f t="shared" si="35"/>
        <v>22.417199999999998</v>
      </c>
    </row>
    <row r="341" spans="1:25" x14ac:dyDescent="0.2">
      <c r="A341" t="s">
        <v>1258</v>
      </c>
      <c r="B341" s="1">
        <v>41815</v>
      </c>
      <c r="C341" s="2" t="str">
        <f t="shared" si="30"/>
        <v>2014</v>
      </c>
      <c r="D341" s="2" t="s">
        <v>738</v>
      </c>
      <c r="E341" s="2" t="s">
        <v>74</v>
      </c>
      <c r="F341" s="2" t="s">
        <v>36</v>
      </c>
      <c r="G341" s="2" t="s">
        <v>37</v>
      </c>
      <c r="H341" s="2" t="s">
        <v>42</v>
      </c>
      <c r="I341" s="2" t="s">
        <v>75</v>
      </c>
      <c r="J341" s="2" t="s">
        <v>52</v>
      </c>
      <c r="K341" s="2" t="s">
        <v>234</v>
      </c>
      <c r="L341" s="2" t="s">
        <v>32</v>
      </c>
      <c r="M341" s="2" t="s">
        <v>58</v>
      </c>
      <c r="N341" s="2" t="s">
        <v>27</v>
      </c>
      <c r="O341" s="1">
        <v>41815</v>
      </c>
      <c r="P341" s="3">
        <v>16.8</v>
      </c>
      <c r="Q341" s="3">
        <v>40.97</v>
      </c>
      <c r="R341" s="3">
        <f t="shared" si="31"/>
        <v>24.169999999999998</v>
      </c>
      <c r="S341" s="2">
        <v>47</v>
      </c>
      <c r="T341" s="3">
        <f t="shared" si="32"/>
        <v>1925.59</v>
      </c>
      <c r="U341" s="4">
        <v>0.06</v>
      </c>
      <c r="V341" s="6">
        <f t="shared" si="33"/>
        <v>115.5354</v>
      </c>
      <c r="W341" s="6">
        <f t="shared" si="34"/>
        <v>1810.0545999999999</v>
      </c>
      <c r="X341" s="3">
        <v>8.99</v>
      </c>
      <c r="Y341" s="5">
        <f t="shared" si="35"/>
        <v>1819.0445999999999</v>
      </c>
    </row>
    <row r="342" spans="1:25" x14ac:dyDescent="0.2">
      <c r="A342" t="s">
        <v>1259</v>
      </c>
      <c r="B342" s="1">
        <v>41817</v>
      </c>
      <c r="C342" s="2" t="str">
        <f t="shared" si="30"/>
        <v>2014</v>
      </c>
      <c r="D342" s="2" t="s">
        <v>467</v>
      </c>
      <c r="E342" s="2" t="s">
        <v>276</v>
      </c>
      <c r="F342" s="2" t="s">
        <v>19</v>
      </c>
      <c r="G342" s="2" t="s">
        <v>20</v>
      </c>
      <c r="H342" s="2" t="s">
        <v>42</v>
      </c>
      <c r="I342" s="2" t="s">
        <v>22</v>
      </c>
      <c r="J342" s="2" t="s">
        <v>44</v>
      </c>
      <c r="K342" s="2" t="s">
        <v>57</v>
      </c>
      <c r="L342" s="2" t="s">
        <v>32</v>
      </c>
      <c r="M342" s="2" t="s">
        <v>58</v>
      </c>
      <c r="N342" s="2" t="s">
        <v>27</v>
      </c>
      <c r="O342" s="1">
        <v>41818</v>
      </c>
      <c r="P342" s="3">
        <v>1.46</v>
      </c>
      <c r="Q342" s="3">
        <v>3.57</v>
      </c>
      <c r="R342" s="3">
        <f t="shared" si="31"/>
        <v>2.11</v>
      </c>
      <c r="S342" s="2">
        <v>46</v>
      </c>
      <c r="T342" s="3">
        <f t="shared" si="32"/>
        <v>164.22</v>
      </c>
      <c r="U342" s="4">
        <v>0.01</v>
      </c>
      <c r="V342" s="6">
        <f t="shared" si="33"/>
        <v>1.6422000000000001</v>
      </c>
      <c r="W342" s="6">
        <f t="shared" si="34"/>
        <v>162.5778</v>
      </c>
      <c r="X342" s="3">
        <v>4.17</v>
      </c>
      <c r="Y342" s="5">
        <f t="shared" si="35"/>
        <v>166.74779999999998</v>
      </c>
    </row>
    <row r="343" spans="1:25" x14ac:dyDescent="0.2">
      <c r="A343" t="s">
        <v>882</v>
      </c>
      <c r="B343" s="1">
        <v>41819</v>
      </c>
      <c r="C343" s="2" t="str">
        <f t="shared" si="30"/>
        <v>2014</v>
      </c>
      <c r="D343" s="2" t="s">
        <v>736</v>
      </c>
      <c r="E343" s="2" t="s">
        <v>95</v>
      </c>
      <c r="F343" s="2" t="s">
        <v>36</v>
      </c>
      <c r="G343" s="2" t="s">
        <v>37</v>
      </c>
      <c r="H343" s="2" t="s">
        <v>21</v>
      </c>
      <c r="I343" s="2" t="s">
        <v>96</v>
      </c>
      <c r="J343" s="2" t="s">
        <v>52</v>
      </c>
      <c r="K343" s="2" t="s">
        <v>330</v>
      </c>
      <c r="L343" s="2" t="s">
        <v>32</v>
      </c>
      <c r="M343" s="2" t="s">
        <v>26</v>
      </c>
      <c r="N343" s="2" t="s">
        <v>27</v>
      </c>
      <c r="O343" s="1">
        <v>41820</v>
      </c>
      <c r="P343" s="3">
        <v>4.53</v>
      </c>
      <c r="Q343" s="3">
        <v>7.3</v>
      </c>
      <c r="R343" s="3">
        <f t="shared" si="31"/>
        <v>2.7699999999999996</v>
      </c>
      <c r="S343" s="2">
        <v>50</v>
      </c>
      <c r="T343" s="3">
        <f t="shared" si="32"/>
        <v>365</v>
      </c>
      <c r="U343" s="4">
        <v>0.02</v>
      </c>
      <c r="V343" s="6">
        <f t="shared" si="33"/>
        <v>7.3</v>
      </c>
      <c r="W343" s="6">
        <f t="shared" si="34"/>
        <v>357.7</v>
      </c>
      <c r="X343" s="3">
        <v>7.72</v>
      </c>
      <c r="Y343" s="5">
        <f t="shared" si="35"/>
        <v>365.42</v>
      </c>
    </row>
    <row r="344" spans="1:25" x14ac:dyDescent="0.2">
      <c r="A344" t="s">
        <v>883</v>
      </c>
      <c r="B344" s="1">
        <v>41819</v>
      </c>
      <c r="C344" s="2" t="str">
        <f t="shared" si="30"/>
        <v>2014</v>
      </c>
      <c r="D344" s="2" t="s">
        <v>736</v>
      </c>
      <c r="E344" s="2" t="s">
        <v>95</v>
      </c>
      <c r="F344" s="2" t="s">
        <v>36</v>
      </c>
      <c r="G344" s="2" t="s">
        <v>37</v>
      </c>
      <c r="H344" s="2" t="s">
        <v>21</v>
      </c>
      <c r="I344" s="2" t="s">
        <v>96</v>
      </c>
      <c r="J344" s="2" t="s">
        <v>52</v>
      </c>
      <c r="K344" s="2" t="s">
        <v>532</v>
      </c>
      <c r="L344" s="2" t="s">
        <v>32</v>
      </c>
      <c r="M344" s="2" t="s">
        <v>33</v>
      </c>
      <c r="N344" s="2" t="s">
        <v>27</v>
      </c>
      <c r="O344" s="1">
        <v>41820</v>
      </c>
      <c r="P344" s="3">
        <v>1.53</v>
      </c>
      <c r="Q344" s="3">
        <v>2.4700000000000002</v>
      </c>
      <c r="R344" s="3">
        <f t="shared" si="31"/>
        <v>0.94000000000000017</v>
      </c>
      <c r="S344" s="2">
        <v>43</v>
      </c>
      <c r="T344" s="3">
        <f t="shared" si="32"/>
        <v>106.21000000000001</v>
      </c>
      <c r="U344" s="4">
        <v>0.02</v>
      </c>
      <c r="V344" s="6">
        <f t="shared" si="33"/>
        <v>2.1242000000000001</v>
      </c>
      <c r="W344" s="6">
        <f t="shared" si="34"/>
        <v>104.08580000000001</v>
      </c>
      <c r="X344" s="3">
        <v>1.02</v>
      </c>
      <c r="Y344" s="5">
        <f t="shared" si="35"/>
        <v>105.1058</v>
      </c>
    </row>
    <row r="345" spans="1:25" x14ac:dyDescent="0.2">
      <c r="A345" t="s">
        <v>1260</v>
      </c>
      <c r="B345" s="1">
        <v>41819</v>
      </c>
      <c r="C345" s="2" t="str">
        <f t="shared" si="30"/>
        <v>2014</v>
      </c>
      <c r="D345" s="2" t="s">
        <v>737</v>
      </c>
      <c r="E345" s="2" t="s">
        <v>185</v>
      </c>
      <c r="F345" s="2" t="s">
        <v>36</v>
      </c>
      <c r="G345" s="2" t="s">
        <v>37</v>
      </c>
      <c r="H345" s="2" t="s">
        <v>50</v>
      </c>
      <c r="I345" s="2" t="s">
        <v>153</v>
      </c>
      <c r="J345" s="2" t="s">
        <v>30</v>
      </c>
      <c r="K345" s="2" t="s">
        <v>47</v>
      </c>
      <c r="L345" s="2" t="s">
        <v>32</v>
      </c>
      <c r="M345" s="2" t="s">
        <v>26</v>
      </c>
      <c r="N345" s="2" t="s">
        <v>27</v>
      </c>
      <c r="O345" s="1">
        <v>41819</v>
      </c>
      <c r="P345" s="3">
        <v>1.59</v>
      </c>
      <c r="Q345" s="3">
        <v>2.61</v>
      </c>
      <c r="R345" s="3">
        <f t="shared" si="31"/>
        <v>1.0199999999999998</v>
      </c>
      <c r="S345" s="2">
        <v>44</v>
      </c>
      <c r="T345" s="3">
        <f t="shared" si="32"/>
        <v>114.83999999999999</v>
      </c>
      <c r="U345" s="4">
        <v>0.09</v>
      </c>
      <c r="V345" s="6">
        <f t="shared" si="33"/>
        <v>10.335599999999999</v>
      </c>
      <c r="W345" s="6">
        <f t="shared" si="34"/>
        <v>104.50439999999999</v>
      </c>
      <c r="X345" s="3">
        <v>0.5</v>
      </c>
      <c r="Y345" s="5">
        <f t="shared" si="35"/>
        <v>105.00439999999999</v>
      </c>
    </row>
    <row r="346" spans="1:25" x14ac:dyDescent="0.2">
      <c r="A346" t="s">
        <v>1261</v>
      </c>
      <c r="B346" s="1">
        <v>41819</v>
      </c>
      <c r="C346" s="2" t="str">
        <f t="shared" si="30"/>
        <v>2014</v>
      </c>
      <c r="D346" s="2" t="s">
        <v>525</v>
      </c>
      <c r="E346" s="2" t="s">
        <v>498</v>
      </c>
      <c r="F346" s="2" t="s">
        <v>19</v>
      </c>
      <c r="G346" s="2" t="s">
        <v>20</v>
      </c>
      <c r="H346" s="2" t="s">
        <v>50</v>
      </c>
      <c r="I346" s="2" t="s">
        <v>92</v>
      </c>
      <c r="J346" s="2" t="s">
        <v>52</v>
      </c>
      <c r="K346" s="2" t="s">
        <v>290</v>
      </c>
      <c r="L346" s="2" t="s">
        <v>25</v>
      </c>
      <c r="M346" s="2" t="s">
        <v>26</v>
      </c>
      <c r="N346" s="2" t="s">
        <v>27</v>
      </c>
      <c r="O346" s="1">
        <v>41820</v>
      </c>
      <c r="P346" s="3">
        <v>14.7</v>
      </c>
      <c r="Q346" s="3">
        <v>29.99</v>
      </c>
      <c r="R346" s="3">
        <f t="shared" si="31"/>
        <v>15.29</v>
      </c>
      <c r="S346" s="2">
        <v>20</v>
      </c>
      <c r="T346" s="3">
        <f t="shared" si="32"/>
        <v>599.79999999999995</v>
      </c>
      <c r="U346" s="4">
        <v>0</v>
      </c>
      <c r="V346" s="6">
        <f t="shared" si="33"/>
        <v>0</v>
      </c>
      <c r="W346" s="6">
        <f t="shared" si="34"/>
        <v>599.79999999999995</v>
      </c>
      <c r="X346" s="3">
        <v>5.5</v>
      </c>
      <c r="Y346" s="5">
        <f t="shared" si="35"/>
        <v>605.29999999999995</v>
      </c>
    </row>
    <row r="347" spans="1:25" x14ac:dyDescent="0.2">
      <c r="A347" t="s">
        <v>1262</v>
      </c>
      <c r="B347" s="1">
        <v>41820</v>
      </c>
      <c r="C347" s="2" t="str">
        <f t="shared" si="30"/>
        <v>2014</v>
      </c>
      <c r="D347" s="2" t="s">
        <v>147</v>
      </c>
      <c r="E347" s="2" t="s">
        <v>148</v>
      </c>
      <c r="F347" s="2" t="s">
        <v>36</v>
      </c>
      <c r="G347" s="2" t="s">
        <v>37</v>
      </c>
      <c r="H347" s="2" t="s">
        <v>50</v>
      </c>
      <c r="I347" s="2" t="s">
        <v>83</v>
      </c>
      <c r="J347" s="2" t="s">
        <v>30</v>
      </c>
      <c r="K347" s="2" t="s">
        <v>154</v>
      </c>
      <c r="L347" s="2" t="s">
        <v>32</v>
      </c>
      <c r="M347" s="2" t="s">
        <v>26</v>
      </c>
      <c r="N347" s="2" t="s">
        <v>27</v>
      </c>
      <c r="O347" s="1">
        <v>41823</v>
      </c>
      <c r="P347" s="3">
        <v>8.92</v>
      </c>
      <c r="Q347" s="3">
        <v>29.74</v>
      </c>
      <c r="R347" s="3">
        <f t="shared" si="31"/>
        <v>20.82</v>
      </c>
      <c r="S347" s="2">
        <v>4</v>
      </c>
      <c r="T347" s="3">
        <f t="shared" si="32"/>
        <v>118.96</v>
      </c>
      <c r="U347" s="4">
        <v>0.05</v>
      </c>
      <c r="V347" s="6">
        <f t="shared" si="33"/>
        <v>5.9480000000000004</v>
      </c>
      <c r="W347" s="6">
        <f t="shared" si="34"/>
        <v>113.012</v>
      </c>
      <c r="X347" s="3">
        <v>6.64</v>
      </c>
      <c r="Y347" s="5">
        <f t="shared" si="35"/>
        <v>119.652</v>
      </c>
    </row>
    <row r="348" spans="1:25" x14ac:dyDescent="0.2">
      <c r="A348" t="s">
        <v>1263</v>
      </c>
      <c r="B348" s="1">
        <v>41824</v>
      </c>
      <c r="C348" s="2" t="str">
        <f t="shared" si="30"/>
        <v>2014</v>
      </c>
      <c r="D348" s="2" t="s">
        <v>607</v>
      </c>
      <c r="E348" s="2" t="s">
        <v>69</v>
      </c>
      <c r="F348" s="2" t="s">
        <v>19</v>
      </c>
      <c r="G348" s="2" t="s">
        <v>20</v>
      </c>
      <c r="H348" s="2" t="s">
        <v>29</v>
      </c>
      <c r="I348" s="2" t="s">
        <v>22</v>
      </c>
      <c r="J348" s="2" t="s">
        <v>44</v>
      </c>
      <c r="K348" s="2" t="s">
        <v>316</v>
      </c>
      <c r="L348" s="2" t="s">
        <v>32</v>
      </c>
      <c r="M348" s="2" t="s">
        <v>33</v>
      </c>
      <c r="N348" s="2" t="s">
        <v>27</v>
      </c>
      <c r="O348" s="1">
        <v>41826</v>
      </c>
      <c r="P348" s="3">
        <v>3.32</v>
      </c>
      <c r="Q348" s="3">
        <v>5.18</v>
      </c>
      <c r="R348" s="3">
        <f t="shared" si="31"/>
        <v>1.8599999999999999</v>
      </c>
      <c r="S348" s="2">
        <v>43</v>
      </c>
      <c r="T348" s="3">
        <f t="shared" si="32"/>
        <v>222.73999999999998</v>
      </c>
      <c r="U348" s="4">
        <v>0.03</v>
      </c>
      <c r="V348" s="6">
        <f t="shared" si="33"/>
        <v>6.682199999999999</v>
      </c>
      <c r="W348" s="6">
        <f t="shared" si="34"/>
        <v>216.05779999999999</v>
      </c>
      <c r="X348" s="3">
        <v>2.04</v>
      </c>
      <c r="Y348" s="5">
        <f t="shared" si="35"/>
        <v>218.09779999999998</v>
      </c>
    </row>
    <row r="349" spans="1:25" x14ac:dyDescent="0.2">
      <c r="A349" t="s">
        <v>1264</v>
      </c>
      <c r="B349" s="1">
        <v>41825</v>
      </c>
      <c r="C349" s="2" t="str">
        <f t="shared" si="30"/>
        <v>2014</v>
      </c>
      <c r="D349" s="2" t="s">
        <v>735</v>
      </c>
      <c r="E349" s="2" t="s">
        <v>105</v>
      </c>
      <c r="F349" s="2" t="s">
        <v>36</v>
      </c>
      <c r="G349" s="2" t="s">
        <v>37</v>
      </c>
      <c r="H349" s="2" t="s">
        <v>29</v>
      </c>
      <c r="I349" s="2" t="s">
        <v>56</v>
      </c>
      <c r="J349" s="2" t="s">
        <v>66</v>
      </c>
      <c r="K349" s="2" t="s">
        <v>445</v>
      </c>
      <c r="L349" s="2" t="s">
        <v>32</v>
      </c>
      <c r="M349" s="2" t="s">
        <v>26</v>
      </c>
      <c r="N349" s="2" t="s">
        <v>27</v>
      </c>
      <c r="O349" s="1">
        <v>41828</v>
      </c>
      <c r="P349" s="3">
        <v>1.84</v>
      </c>
      <c r="Q349" s="3">
        <v>2.88</v>
      </c>
      <c r="R349" s="3">
        <f t="shared" si="31"/>
        <v>1.0399999999999998</v>
      </c>
      <c r="S349" s="2">
        <v>47</v>
      </c>
      <c r="T349" s="3">
        <f t="shared" si="32"/>
        <v>135.35999999999999</v>
      </c>
      <c r="U349" s="4">
        <v>0.03</v>
      </c>
      <c r="V349" s="6">
        <f t="shared" si="33"/>
        <v>4.0607999999999995</v>
      </c>
      <c r="W349" s="6">
        <f t="shared" si="34"/>
        <v>131.29919999999998</v>
      </c>
      <c r="X349" s="3">
        <v>5.33</v>
      </c>
      <c r="Y349" s="5">
        <f t="shared" si="35"/>
        <v>136.6292</v>
      </c>
    </row>
    <row r="350" spans="1:25" x14ac:dyDescent="0.2">
      <c r="A350" t="s">
        <v>1265</v>
      </c>
      <c r="B350" s="1">
        <v>41831</v>
      </c>
      <c r="C350" s="2" t="str">
        <f t="shared" si="30"/>
        <v>2014</v>
      </c>
      <c r="D350" s="2" t="s">
        <v>714</v>
      </c>
      <c r="E350" s="2" t="s">
        <v>254</v>
      </c>
      <c r="F350" s="2" t="s">
        <v>19</v>
      </c>
      <c r="G350" s="2" t="s">
        <v>20</v>
      </c>
      <c r="H350" s="2" t="s">
        <v>29</v>
      </c>
      <c r="I350" s="2" t="s">
        <v>92</v>
      </c>
      <c r="J350" s="2" t="s">
        <v>44</v>
      </c>
      <c r="K350" s="2" t="s">
        <v>128</v>
      </c>
      <c r="L350" s="2" t="s">
        <v>25</v>
      </c>
      <c r="M350" s="2" t="s">
        <v>26</v>
      </c>
      <c r="N350" s="2" t="s">
        <v>27</v>
      </c>
      <c r="O350" s="1">
        <v>41833</v>
      </c>
      <c r="P350" s="3">
        <v>8.31</v>
      </c>
      <c r="Q350" s="3">
        <v>15.98</v>
      </c>
      <c r="R350" s="3">
        <f t="shared" si="31"/>
        <v>7.67</v>
      </c>
      <c r="S350" s="2">
        <v>40</v>
      </c>
      <c r="T350" s="3">
        <f t="shared" si="32"/>
        <v>639.20000000000005</v>
      </c>
      <c r="U350" s="4">
        <v>0.03</v>
      </c>
      <c r="V350" s="6">
        <f t="shared" si="33"/>
        <v>19.176000000000002</v>
      </c>
      <c r="W350" s="6">
        <f t="shared" si="34"/>
        <v>620.024</v>
      </c>
      <c r="X350" s="3">
        <v>6.5</v>
      </c>
      <c r="Y350" s="5">
        <f t="shared" si="35"/>
        <v>626.524</v>
      </c>
    </row>
    <row r="351" spans="1:25" x14ac:dyDescent="0.2">
      <c r="A351" t="s">
        <v>1266</v>
      </c>
      <c r="B351" s="1">
        <v>41832</v>
      </c>
      <c r="C351" s="2" t="str">
        <f t="shared" si="30"/>
        <v>2014</v>
      </c>
      <c r="D351" s="2" t="s">
        <v>560</v>
      </c>
      <c r="E351" s="2" t="s">
        <v>172</v>
      </c>
      <c r="F351" s="2" t="s">
        <v>36</v>
      </c>
      <c r="G351" s="2" t="s">
        <v>37</v>
      </c>
      <c r="H351" s="2" t="s">
        <v>29</v>
      </c>
      <c r="I351" s="2" t="s">
        <v>75</v>
      </c>
      <c r="J351" s="2" t="s">
        <v>30</v>
      </c>
      <c r="K351" s="2" t="s">
        <v>684</v>
      </c>
      <c r="L351" s="2" t="s">
        <v>32</v>
      </c>
      <c r="M351" s="2" t="s">
        <v>26</v>
      </c>
      <c r="N351" s="2" t="s">
        <v>27</v>
      </c>
      <c r="O351" s="1">
        <v>41834</v>
      </c>
      <c r="P351" s="3">
        <v>1.82</v>
      </c>
      <c r="Q351" s="3">
        <v>2.84</v>
      </c>
      <c r="R351" s="3">
        <f t="shared" si="31"/>
        <v>1.0199999999999998</v>
      </c>
      <c r="S351" s="2">
        <v>19</v>
      </c>
      <c r="T351" s="3">
        <f t="shared" si="32"/>
        <v>53.959999999999994</v>
      </c>
      <c r="U351" s="4">
        <v>0</v>
      </c>
      <c r="V351" s="6">
        <f t="shared" si="33"/>
        <v>0</v>
      </c>
      <c r="W351" s="6">
        <f t="shared" si="34"/>
        <v>53.959999999999994</v>
      </c>
      <c r="X351" s="3">
        <v>5.44</v>
      </c>
      <c r="Y351" s="5">
        <f t="shared" si="35"/>
        <v>59.399999999999991</v>
      </c>
    </row>
    <row r="352" spans="1:25" x14ac:dyDescent="0.2">
      <c r="A352" t="s">
        <v>1267</v>
      </c>
      <c r="B352" s="1">
        <v>41835</v>
      </c>
      <c r="C352" s="2" t="str">
        <f t="shared" si="30"/>
        <v>2014</v>
      </c>
      <c r="D352" s="2" t="s">
        <v>734</v>
      </c>
      <c r="E352" s="2" t="s">
        <v>1933</v>
      </c>
      <c r="F352" s="2" t="s">
        <v>19</v>
      </c>
      <c r="G352" s="2" t="s">
        <v>20</v>
      </c>
      <c r="H352" s="2" t="s">
        <v>50</v>
      </c>
      <c r="I352" s="2" t="s">
        <v>22</v>
      </c>
      <c r="J352" s="2" t="s">
        <v>52</v>
      </c>
      <c r="K352" s="2" t="s">
        <v>447</v>
      </c>
      <c r="L352" s="2" t="s">
        <v>25</v>
      </c>
      <c r="M352" s="2" t="s">
        <v>58</v>
      </c>
      <c r="N352" s="2" t="s">
        <v>27</v>
      </c>
      <c r="O352" s="1">
        <v>41837</v>
      </c>
      <c r="P352" s="3">
        <v>1.87</v>
      </c>
      <c r="Q352" s="3">
        <v>8.1199999999999992</v>
      </c>
      <c r="R352" s="3">
        <f t="shared" si="31"/>
        <v>6.2499999999999991</v>
      </c>
      <c r="S352" s="2">
        <v>4</v>
      </c>
      <c r="T352" s="3">
        <f t="shared" si="32"/>
        <v>32.479999999999997</v>
      </c>
      <c r="U352" s="4">
        <v>7.0000000000000007E-2</v>
      </c>
      <c r="V352" s="6">
        <f t="shared" si="33"/>
        <v>2.2736000000000001</v>
      </c>
      <c r="W352" s="6">
        <f t="shared" si="34"/>
        <v>30.206399999999995</v>
      </c>
      <c r="X352" s="3">
        <v>2.83</v>
      </c>
      <c r="Y352" s="5">
        <f t="shared" si="35"/>
        <v>33.036399999999993</v>
      </c>
    </row>
    <row r="353" spans="1:25" x14ac:dyDescent="0.2">
      <c r="A353" t="s">
        <v>1268</v>
      </c>
      <c r="B353" s="1">
        <v>41837</v>
      </c>
      <c r="C353" s="2" t="str">
        <f t="shared" si="30"/>
        <v>2014</v>
      </c>
      <c r="D353" s="2" t="s">
        <v>395</v>
      </c>
      <c r="E353" s="2" t="s">
        <v>1893</v>
      </c>
      <c r="F353" s="2" t="s">
        <v>1881</v>
      </c>
      <c r="G353" s="2" t="s">
        <v>1882</v>
      </c>
      <c r="H353" s="2" t="s">
        <v>42</v>
      </c>
      <c r="I353" s="2" t="s">
        <v>153</v>
      </c>
      <c r="J353" s="2" t="s">
        <v>44</v>
      </c>
      <c r="K353" s="2" t="s">
        <v>563</v>
      </c>
      <c r="L353" s="2" t="s">
        <v>32</v>
      </c>
      <c r="M353" s="2" t="s">
        <v>26</v>
      </c>
      <c r="N353" s="2" t="s">
        <v>27</v>
      </c>
      <c r="O353" s="1">
        <v>41838</v>
      </c>
      <c r="P353" s="3">
        <v>2.76</v>
      </c>
      <c r="Q353" s="3">
        <v>4.38</v>
      </c>
      <c r="R353" s="3">
        <f t="shared" si="31"/>
        <v>1.62</v>
      </c>
      <c r="S353" s="2">
        <v>18</v>
      </c>
      <c r="T353" s="3">
        <f t="shared" si="32"/>
        <v>78.84</v>
      </c>
      <c r="U353" s="4">
        <v>0.03</v>
      </c>
      <c r="V353" s="6">
        <f t="shared" si="33"/>
        <v>2.3652000000000002</v>
      </c>
      <c r="W353" s="6">
        <f t="shared" si="34"/>
        <v>76.474800000000002</v>
      </c>
      <c r="X353" s="3">
        <v>6.21</v>
      </c>
      <c r="Y353" s="5">
        <f t="shared" si="35"/>
        <v>82.684799999999996</v>
      </c>
    </row>
    <row r="354" spans="1:25" x14ac:dyDescent="0.2">
      <c r="A354" t="s">
        <v>1269</v>
      </c>
      <c r="B354" s="1">
        <v>41838</v>
      </c>
      <c r="C354" s="2" t="str">
        <f t="shared" si="30"/>
        <v>2014</v>
      </c>
      <c r="D354" s="2" t="s">
        <v>494</v>
      </c>
      <c r="E354" s="2" t="s">
        <v>1920</v>
      </c>
      <c r="F354" s="2" t="s">
        <v>36</v>
      </c>
      <c r="G354" s="2" t="s">
        <v>37</v>
      </c>
      <c r="H354" s="2" t="s">
        <v>50</v>
      </c>
      <c r="I354" s="2" t="s">
        <v>79</v>
      </c>
      <c r="J354" s="2" t="s">
        <v>30</v>
      </c>
      <c r="K354" s="2" t="s">
        <v>108</v>
      </c>
      <c r="L354" s="2" t="s">
        <v>32</v>
      </c>
      <c r="M354" s="2" t="s">
        <v>26</v>
      </c>
      <c r="N354" s="2" t="s">
        <v>27</v>
      </c>
      <c r="O354" s="1">
        <v>41839</v>
      </c>
      <c r="P354" s="3">
        <v>1.84</v>
      </c>
      <c r="Q354" s="3">
        <v>2.88</v>
      </c>
      <c r="R354" s="3">
        <f t="shared" si="31"/>
        <v>1.0399999999999998</v>
      </c>
      <c r="S354" s="2">
        <v>10</v>
      </c>
      <c r="T354" s="3">
        <f t="shared" si="32"/>
        <v>28.799999999999997</v>
      </c>
      <c r="U354" s="4">
        <v>0.01</v>
      </c>
      <c r="V354" s="6">
        <f t="shared" si="33"/>
        <v>0.28799999999999998</v>
      </c>
      <c r="W354" s="6">
        <f t="shared" si="34"/>
        <v>28.511999999999997</v>
      </c>
      <c r="X354" s="3">
        <v>0.99</v>
      </c>
      <c r="Y354" s="5">
        <f t="shared" si="35"/>
        <v>29.501999999999995</v>
      </c>
    </row>
    <row r="355" spans="1:25" x14ac:dyDescent="0.2">
      <c r="A355" t="s">
        <v>884</v>
      </c>
      <c r="B355" s="1">
        <v>41838</v>
      </c>
      <c r="C355" s="2" t="str">
        <f t="shared" si="30"/>
        <v>2014</v>
      </c>
      <c r="D355" s="2" t="s">
        <v>668</v>
      </c>
      <c r="E355" s="2" t="s">
        <v>1895</v>
      </c>
      <c r="F355" s="2" t="s">
        <v>1881</v>
      </c>
      <c r="G355" s="2" t="s">
        <v>1882</v>
      </c>
      <c r="H355" s="2" t="s">
        <v>29</v>
      </c>
      <c r="I355" s="2" t="s">
        <v>153</v>
      </c>
      <c r="J355" s="2" t="s">
        <v>23</v>
      </c>
      <c r="K355" s="2" t="s">
        <v>426</v>
      </c>
      <c r="L355" s="2" t="s">
        <v>32</v>
      </c>
      <c r="M355" s="2" t="s">
        <v>33</v>
      </c>
      <c r="N355" s="2" t="s">
        <v>27</v>
      </c>
      <c r="O355" s="1">
        <v>41840</v>
      </c>
      <c r="P355" s="3">
        <v>0.92</v>
      </c>
      <c r="Q355" s="3">
        <v>1.81</v>
      </c>
      <c r="R355" s="3">
        <f t="shared" si="31"/>
        <v>0.89</v>
      </c>
      <c r="S355" s="2">
        <v>8</v>
      </c>
      <c r="T355" s="3">
        <f t="shared" si="32"/>
        <v>14.48</v>
      </c>
      <c r="U355" s="4">
        <v>0.05</v>
      </c>
      <c r="V355" s="6">
        <f t="shared" si="33"/>
        <v>0.72400000000000009</v>
      </c>
      <c r="W355" s="6">
        <f t="shared" si="34"/>
        <v>13.756</v>
      </c>
      <c r="X355" s="3">
        <v>1.56</v>
      </c>
      <c r="Y355" s="5">
        <f t="shared" si="35"/>
        <v>15.316000000000001</v>
      </c>
    </row>
    <row r="356" spans="1:25" x14ac:dyDescent="0.2">
      <c r="A356" t="s">
        <v>885</v>
      </c>
      <c r="B356" s="1">
        <v>41838</v>
      </c>
      <c r="C356" s="2" t="str">
        <f t="shared" si="30"/>
        <v>2014</v>
      </c>
      <c r="D356" s="2" t="s">
        <v>668</v>
      </c>
      <c r="E356" s="2" t="s">
        <v>1895</v>
      </c>
      <c r="F356" s="2" t="s">
        <v>1881</v>
      </c>
      <c r="G356" s="2" t="s">
        <v>1882</v>
      </c>
      <c r="H356" s="2" t="s">
        <v>29</v>
      </c>
      <c r="I356" s="2" t="s">
        <v>153</v>
      </c>
      <c r="J356" s="2" t="s">
        <v>23</v>
      </c>
      <c r="K356" s="2" t="s">
        <v>733</v>
      </c>
      <c r="L356" s="2" t="s">
        <v>32</v>
      </c>
      <c r="M356" s="2" t="s">
        <v>33</v>
      </c>
      <c r="N356" s="2" t="s">
        <v>27</v>
      </c>
      <c r="O356" s="1">
        <v>41845</v>
      </c>
      <c r="P356" s="3">
        <v>1.9</v>
      </c>
      <c r="Q356" s="3">
        <v>3.28</v>
      </c>
      <c r="R356" s="3">
        <f t="shared" si="31"/>
        <v>1.38</v>
      </c>
      <c r="S356" s="2">
        <v>41</v>
      </c>
      <c r="T356" s="3">
        <f t="shared" si="32"/>
        <v>134.47999999999999</v>
      </c>
      <c r="U356" s="4">
        <v>0.05</v>
      </c>
      <c r="V356" s="6">
        <f t="shared" si="33"/>
        <v>6.7240000000000002</v>
      </c>
      <c r="W356" s="6">
        <f t="shared" si="34"/>
        <v>127.75599999999999</v>
      </c>
      <c r="X356" s="3">
        <v>1.95</v>
      </c>
      <c r="Y356" s="5">
        <f t="shared" si="35"/>
        <v>129.70599999999999</v>
      </c>
    </row>
    <row r="357" spans="1:25" x14ac:dyDescent="0.2">
      <c r="A357" t="s">
        <v>1270</v>
      </c>
      <c r="B357" s="1">
        <v>41842</v>
      </c>
      <c r="C357" s="2" t="str">
        <f t="shared" si="30"/>
        <v>2014</v>
      </c>
      <c r="D357" s="2" t="s">
        <v>732</v>
      </c>
      <c r="E357" s="2" t="s">
        <v>213</v>
      </c>
      <c r="F357" s="2" t="s">
        <v>36</v>
      </c>
      <c r="G357" s="2" t="s">
        <v>37</v>
      </c>
      <c r="H357" s="2" t="s">
        <v>29</v>
      </c>
      <c r="I357" s="2" t="s">
        <v>79</v>
      </c>
      <c r="J357" s="2" t="s">
        <v>23</v>
      </c>
      <c r="K357" s="2" t="s">
        <v>403</v>
      </c>
      <c r="L357" s="2" t="s">
        <v>32</v>
      </c>
      <c r="M357" s="2" t="s">
        <v>26</v>
      </c>
      <c r="N357" s="2" t="s">
        <v>27</v>
      </c>
      <c r="O357" s="1">
        <v>41844</v>
      </c>
      <c r="P357" s="3">
        <v>1.33</v>
      </c>
      <c r="Q357" s="3">
        <v>2.08</v>
      </c>
      <c r="R357" s="3">
        <f t="shared" si="31"/>
        <v>0.75</v>
      </c>
      <c r="S357" s="2">
        <v>20</v>
      </c>
      <c r="T357" s="3">
        <f t="shared" si="32"/>
        <v>41.6</v>
      </c>
      <c r="U357" s="4">
        <v>0.04</v>
      </c>
      <c r="V357" s="6">
        <f t="shared" si="33"/>
        <v>1.6640000000000001</v>
      </c>
      <c r="W357" s="6">
        <f t="shared" si="34"/>
        <v>39.936</v>
      </c>
      <c r="X357" s="3">
        <v>1.49</v>
      </c>
      <c r="Y357" s="5">
        <f t="shared" si="35"/>
        <v>41.426000000000002</v>
      </c>
    </row>
    <row r="358" spans="1:25" x14ac:dyDescent="0.2">
      <c r="A358" t="s">
        <v>1271</v>
      </c>
      <c r="B358" s="1">
        <v>41844</v>
      </c>
      <c r="C358" s="2" t="str">
        <f t="shared" si="30"/>
        <v>2014</v>
      </c>
      <c r="D358" s="2" t="s">
        <v>401</v>
      </c>
      <c r="E358" s="2" t="s">
        <v>263</v>
      </c>
      <c r="F358" s="2" t="s">
        <v>36</v>
      </c>
      <c r="G358" s="2" t="s">
        <v>37</v>
      </c>
      <c r="H358" s="2" t="s">
        <v>42</v>
      </c>
      <c r="I358" s="2" t="s">
        <v>142</v>
      </c>
      <c r="J358" s="2" t="s">
        <v>66</v>
      </c>
      <c r="K358" s="2" t="s">
        <v>116</v>
      </c>
      <c r="L358" s="2" t="s">
        <v>32</v>
      </c>
      <c r="M358" s="2" t="s">
        <v>33</v>
      </c>
      <c r="N358" s="2" t="s">
        <v>89</v>
      </c>
      <c r="O358" s="1">
        <v>41846</v>
      </c>
      <c r="P358" s="3">
        <v>1.6</v>
      </c>
      <c r="Q358" s="3">
        <v>2.62</v>
      </c>
      <c r="R358" s="3">
        <f t="shared" si="31"/>
        <v>1.02</v>
      </c>
      <c r="S358" s="2">
        <v>25</v>
      </c>
      <c r="T358" s="3">
        <f t="shared" si="32"/>
        <v>65.5</v>
      </c>
      <c r="U358" s="4">
        <v>0.09</v>
      </c>
      <c r="V358" s="6">
        <f t="shared" si="33"/>
        <v>5.8949999999999996</v>
      </c>
      <c r="W358" s="6">
        <f t="shared" si="34"/>
        <v>59.605000000000004</v>
      </c>
      <c r="X358" s="3">
        <v>0.8</v>
      </c>
      <c r="Y358" s="5">
        <f t="shared" si="35"/>
        <v>60.405000000000001</v>
      </c>
    </row>
    <row r="359" spans="1:25" x14ac:dyDescent="0.2">
      <c r="A359" t="s">
        <v>1272</v>
      </c>
      <c r="B359" s="1">
        <v>41845</v>
      </c>
      <c r="C359" s="2" t="str">
        <f t="shared" si="30"/>
        <v>2014</v>
      </c>
      <c r="D359" s="2" t="s">
        <v>633</v>
      </c>
      <c r="E359" s="2" t="s">
        <v>199</v>
      </c>
      <c r="F359" s="2" t="s">
        <v>19</v>
      </c>
      <c r="G359" s="2" t="s">
        <v>20</v>
      </c>
      <c r="H359" s="2" t="s">
        <v>21</v>
      </c>
      <c r="I359" s="2" t="s">
        <v>92</v>
      </c>
      <c r="J359" s="2" t="s">
        <v>23</v>
      </c>
      <c r="K359" s="2" t="s">
        <v>211</v>
      </c>
      <c r="L359" s="2" t="s">
        <v>32</v>
      </c>
      <c r="M359" s="2" t="s">
        <v>26</v>
      </c>
      <c r="N359" s="2" t="s">
        <v>27</v>
      </c>
      <c r="O359" s="1">
        <v>41847</v>
      </c>
      <c r="P359" s="3">
        <v>1.98</v>
      </c>
      <c r="Q359" s="3">
        <v>3.15</v>
      </c>
      <c r="R359" s="3">
        <f t="shared" si="31"/>
        <v>1.17</v>
      </c>
      <c r="S359" s="2">
        <v>46</v>
      </c>
      <c r="T359" s="3">
        <f t="shared" si="32"/>
        <v>144.9</v>
      </c>
      <c r="U359" s="4">
        <v>0.1</v>
      </c>
      <c r="V359" s="6">
        <f t="shared" si="33"/>
        <v>14.490000000000002</v>
      </c>
      <c r="W359" s="6">
        <f t="shared" si="34"/>
        <v>130.41</v>
      </c>
      <c r="X359" s="3">
        <v>0.49</v>
      </c>
      <c r="Y359" s="5">
        <f t="shared" si="35"/>
        <v>130.9</v>
      </c>
    </row>
    <row r="360" spans="1:25" x14ac:dyDescent="0.2">
      <c r="A360" t="s">
        <v>886</v>
      </c>
      <c r="B360" s="1">
        <v>41846</v>
      </c>
      <c r="C360" s="2" t="str">
        <f t="shared" si="30"/>
        <v>2014</v>
      </c>
      <c r="D360" s="2" t="s">
        <v>731</v>
      </c>
      <c r="E360" s="2" t="s">
        <v>269</v>
      </c>
      <c r="F360" s="2" t="s">
        <v>36</v>
      </c>
      <c r="G360" s="2" t="s">
        <v>37</v>
      </c>
      <c r="H360" s="2" t="s">
        <v>21</v>
      </c>
      <c r="I360" s="2" t="s">
        <v>43</v>
      </c>
      <c r="J360" s="2" t="s">
        <v>23</v>
      </c>
      <c r="K360" s="2" t="s">
        <v>322</v>
      </c>
      <c r="L360" s="2" t="s">
        <v>25</v>
      </c>
      <c r="M360" s="2" t="s">
        <v>261</v>
      </c>
      <c r="N360" s="2" t="s">
        <v>27</v>
      </c>
      <c r="O360" s="1">
        <v>41855</v>
      </c>
      <c r="P360" s="3">
        <v>377.99</v>
      </c>
      <c r="Q360" s="3">
        <v>599.99</v>
      </c>
      <c r="R360" s="3">
        <f t="shared" si="31"/>
        <v>222</v>
      </c>
      <c r="S360" s="2">
        <v>25</v>
      </c>
      <c r="T360" s="3">
        <f t="shared" si="32"/>
        <v>14999.75</v>
      </c>
      <c r="U360" s="4">
        <v>7.0000000000000007E-2</v>
      </c>
      <c r="V360" s="6">
        <f t="shared" si="33"/>
        <v>1049.9825000000001</v>
      </c>
      <c r="W360" s="6">
        <f t="shared" si="34"/>
        <v>13949.7675</v>
      </c>
      <c r="X360" s="3">
        <v>24.49</v>
      </c>
      <c r="Y360" s="5">
        <f t="shared" si="35"/>
        <v>13974.2575</v>
      </c>
    </row>
    <row r="361" spans="1:25" x14ac:dyDescent="0.2">
      <c r="A361" t="s">
        <v>887</v>
      </c>
      <c r="B361" s="1">
        <v>41846</v>
      </c>
      <c r="C361" s="2" t="str">
        <f t="shared" si="30"/>
        <v>2014</v>
      </c>
      <c r="D361" s="2" t="s">
        <v>731</v>
      </c>
      <c r="E361" s="2" t="s">
        <v>269</v>
      </c>
      <c r="F361" s="2" t="s">
        <v>36</v>
      </c>
      <c r="G361" s="2" t="s">
        <v>37</v>
      </c>
      <c r="H361" s="2" t="s">
        <v>21</v>
      </c>
      <c r="I361" s="2" t="s">
        <v>43</v>
      </c>
      <c r="J361" s="2" t="s">
        <v>23</v>
      </c>
      <c r="K361" s="2" t="s">
        <v>116</v>
      </c>
      <c r="L361" s="2" t="s">
        <v>32</v>
      </c>
      <c r="M361" s="2" t="s">
        <v>33</v>
      </c>
      <c r="N361" s="2" t="s">
        <v>27</v>
      </c>
      <c r="O361" s="1">
        <v>41853</v>
      </c>
      <c r="P361" s="3">
        <v>1.6</v>
      </c>
      <c r="Q361" s="3">
        <v>2.62</v>
      </c>
      <c r="R361" s="3">
        <f t="shared" si="31"/>
        <v>1.02</v>
      </c>
      <c r="S361" s="2">
        <v>10</v>
      </c>
      <c r="T361" s="3">
        <f t="shared" si="32"/>
        <v>26.200000000000003</v>
      </c>
      <c r="U361" s="4">
        <v>0.08</v>
      </c>
      <c r="V361" s="6">
        <f t="shared" si="33"/>
        <v>2.0960000000000001</v>
      </c>
      <c r="W361" s="6">
        <f t="shared" si="34"/>
        <v>24.104000000000003</v>
      </c>
      <c r="X361" s="3">
        <v>0.8</v>
      </c>
      <c r="Y361" s="5">
        <f t="shared" si="35"/>
        <v>24.904000000000003</v>
      </c>
    </row>
    <row r="362" spans="1:25" x14ac:dyDescent="0.2">
      <c r="A362" t="s">
        <v>1273</v>
      </c>
      <c r="B362" s="1">
        <v>41848</v>
      </c>
      <c r="C362" s="2" t="str">
        <f t="shared" si="30"/>
        <v>2014</v>
      </c>
      <c r="D362" s="2" t="s">
        <v>327</v>
      </c>
      <c r="E362" s="2" t="s">
        <v>244</v>
      </c>
      <c r="F362" s="2" t="s">
        <v>36</v>
      </c>
      <c r="G362" s="2" t="s">
        <v>37</v>
      </c>
      <c r="H362" s="2" t="s">
        <v>50</v>
      </c>
      <c r="I362" s="2" t="s">
        <v>75</v>
      </c>
      <c r="J362" s="2" t="s">
        <v>30</v>
      </c>
      <c r="K362" s="2" t="s">
        <v>84</v>
      </c>
      <c r="L362" s="2" t="s">
        <v>25</v>
      </c>
      <c r="M362" s="2" t="s">
        <v>85</v>
      </c>
      <c r="N362" s="2" t="s">
        <v>27</v>
      </c>
      <c r="O362" s="1">
        <v>41850</v>
      </c>
      <c r="P362" s="3">
        <v>8.82</v>
      </c>
      <c r="Q362" s="3">
        <v>20.99</v>
      </c>
      <c r="R362" s="3">
        <f t="shared" si="31"/>
        <v>12.169999999999998</v>
      </c>
      <c r="S362" s="2">
        <v>9</v>
      </c>
      <c r="T362" s="3">
        <f t="shared" si="32"/>
        <v>188.91</v>
      </c>
      <c r="U362" s="4">
        <v>0.08</v>
      </c>
      <c r="V362" s="6">
        <f t="shared" si="33"/>
        <v>15.1128</v>
      </c>
      <c r="W362" s="6">
        <f t="shared" si="34"/>
        <v>173.7972</v>
      </c>
      <c r="X362" s="3">
        <v>4.8099999999999996</v>
      </c>
      <c r="Y362" s="5">
        <f t="shared" si="35"/>
        <v>178.60720000000001</v>
      </c>
    </row>
    <row r="363" spans="1:25" x14ac:dyDescent="0.2">
      <c r="A363" t="s">
        <v>1274</v>
      </c>
      <c r="B363" s="1">
        <v>41850</v>
      </c>
      <c r="C363" s="2" t="str">
        <f t="shared" si="30"/>
        <v>2014</v>
      </c>
      <c r="D363" s="2" t="s">
        <v>729</v>
      </c>
      <c r="E363" s="2" t="s">
        <v>540</v>
      </c>
      <c r="F363" s="2" t="s">
        <v>19</v>
      </c>
      <c r="G363" s="2" t="s">
        <v>20</v>
      </c>
      <c r="H363" s="2" t="s">
        <v>42</v>
      </c>
      <c r="I363" s="2" t="s">
        <v>92</v>
      </c>
      <c r="J363" s="2" t="s">
        <v>44</v>
      </c>
      <c r="K363" s="2" t="s">
        <v>445</v>
      </c>
      <c r="L363" s="2" t="s">
        <v>32</v>
      </c>
      <c r="M363" s="2" t="s">
        <v>26</v>
      </c>
      <c r="N363" s="2" t="s">
        <v>27</v>
      </c>
      <c r="O363" s="1">
        <v>41851</v>
      </c>
      <c r="P363" s="3">
        <v>1.84</v>
      </c>
      <c r="Q363" s="3">
        <v>2.88</v>
      </c>
      <c r="R363" s="3">
        <f t="shared" si="31"/>
        <v>1.0399999999999998</v>
      </c>
      <c r="S363" s="2">
        <v>11</v>
      </c>
      <c r="T363" s="3">
        <f t="shared" si="32"/>
        <v>31.68</v>
      </c>
      <c r="U363" s="4">
        <v>0.02</v>
      </c>
      <c r="V363" s="6">
        <f t="shared" si="33"/>
        <v>0.63360000000000005</v>
      </c>
      <c r="W363" s="6">
        <f t="shared" si="34"/>
        <v>31.046399999999998</v>
      </c>
      <c r="X363" s="3">
        <v>5.33</v>
      </c>
      <c r="Y363" s="5">
        <f t="shared" si="35"/>
        <v>36.376399999999997</v>
      </c>
    </row>
    <row r="364" spans="1:25" x14ac:dyDescent="0.2">
      <c r="A364" t="s">
        <v>1275</v>
      </c>
      <c r="B364" s="1">
        <v>41850</v>
      </c>
      <c r="C364" s="2" t="str">
        <f t="shared" si="30"/>
        <v>2014</v>
      </c>
      <c r="D364" s="2" t="s">
        <v>730</v>
      </c>
      <c r="E364" s="2" t="s">
        <v>185</v>
      </c>
      <c r="F364" s="2" t="s">
        <v>36</v>
      </c>
      <c r="G364" s="2" t="s">
        <v>37</v>
      </c>
      <c r="H364" s="2" t="s">
        <v>42</v>
      </c>
      <c r="I364" s="2" t="s">
        <v>153</v>
      </c>
      <c r="J364" s="2" t="s">
        <v>44</v>
      </c>
      <c r="K364" s="2" t="s">
        <v>287</v>
      </c>
      <c r="L364" s="2" t="s">
        <v>32</v>
      </c>
      <c r="M364" s="2" t="s">
        <v>26</v>
      </c>
      <c r="N364" s="2" t="s">
        <v>27</v>
      </c>
      <c r="O364" s="1">
        <v>41852</v>
      </c>
      <c r="P364" s="3">
        <v>13.88</v>
      </c>
      <c r="Q364" s="3">
        <v>22.38</v>
      </c>
      <c r="R364" s="3">
        <f t="shared" si="31"/>
        <v>8.4999999999999982</v>
      </c>
      <c r="S364" s="2">
        <v>34</v>
      </c>
      <c r="T364" s="3">
        <f t="shared" si="32"/>
        <v>760.92</v>
      </c>
      <c r="U364" s="4">
        <v>0.01</v>
      </c>
      <c r="V364" s="6">
        <f t="shared" si="33"/>
        <v>7.6091999999999995</v>
      </c>
      <c r="W364" s="6">
        <f t="shared" si="34"/>
        <v>753.31079999999997</v>
      </c>
      <c r="X364" s="3">
        <v>15.1</v>
      </c>
      <c r="Y364" s="5">
        <f t="shared" si="35"/>
        <v>768.41079999999999</v>
      </c>
    </row>
    <row r="365" spans="1:25" x14ac:dyDescent="0.2">
      <c r="A365" t="s">
        <v>1276</v>
      </c>
      <c r="B365" s="1">
        <v>41850</v>
      </c>
      <c r="C365" s="2" t="str">
        <f t="shared" si="30"/>
        <v>2014</v>
      </c>
      <c r="D365" s="2" t="s">
        <v>423</v>
      </c>
      <c r="E365" s="2" t="s">
        <v>46</v>
      </c>
      <c r="F365" s="2" t="s">
        <v>19</v>
      </c>
      <c r="G365" s="2" t="s">
        <v>20</v>
      </c>
      <c r="H365" s="2" t="s">
        <v>50</v>
      </c>
      <c r="I365" s="2" t="s">
        <v>22</v>
      </c>
      <c r="J365" s="2" t="s">
        <v>30</v>
      </c>
      <c r="K365" s="2" t="s">
        <v>659</v>
      </c>
      <c r="L365" s="2" t="s">
        <v>32</v>
      </c>
      <c r="M365" s="2" t="s">
        <v>26</v>
      </c>
      <c r="N365" s="2" t="s">
        <v>27</v>
      </c>
      <c r="O365" s="1">
        <v>41852</v>
      </c>
      <c r="P365" s="3">
        <v>4.8899999999999997</v>
      </c>
      <c r="Q365" s="3">
        <v>7.64</v>
      </c>
      <c r="R365" s="3">
        <f t="shared" si="31"/>
        <v>2.75</v>
      </c>
      <c r="S365" s="2">
        <v>7</v>
      </c>
      <c r="T365" s="3">
        <f t="shared" si="32"/>
        <v>53.48</v>
      </c>
      <c r="U365" s="4">
        <v>0.06</v>
      </c>
      <c r="V365" s="6">
        <f t="shared" si="33"/>
        <v>3.2087999999999997</v>
      </c>
      <c r="W365" s="6">
        <f t="shared" si="34"/>
        <v>50.2712</v>
      </c>
      <c r="X365" s="3">
        <v>1.39</v>
      </c>
      <c r="Y365" s="5">
        <f t="shared" si="35"/>
        <v>51.661200000000001</v>
      </c>
    </row>
    <row r="366" spans="1:25" x14ac:dyDescent="0.2">
      <c r="A366" t="s">
        <v>1277</v>
      </c>
      <c r="B366" s="1">
        <v>41854</v>
      </c>
      <c r="C366" s="2" t="str">
        <f t="shared" si="30"/>
        <v>2014</v>
      </c>
      <c r="D366" s="2" t="s">
        <v>728</v>
      </c>
      <c r="E366" s="2" t="s">
        <v>204</v>
      </c>
      <c r="F366" s="2" t="s">
        <v>36</v>
      </c>
      <c r="G366" s="2" t="s">
        <v>37</v>
      </c>
      <c r="H366" s="2" t="s">
        <v>50</v>
      </c>
      <c r="I366" s="2" t="s">
        <v>142</v>
      </c>
      <c r="J366" s="2" t="s">
        <v>30</v>
      </c>
      <c r="K366" s="2" t="s">
        <v>72</v>
      </c>
      <c r="L366" s="2" t="s">
        <v>32</v>
      </c>
      <c r="M366" s="2" t="s">
        <v>26</v>
      </c>
      <c r="N366" s="2" t="s">
        <v>27</v>
      </c>
      <c r="O366" s="1">
        <v>41855</v>
      </c>
      <c r="P366" s="3">
        <v>3.5</v>
      </c>
      <c r="Q366" s="3">
        <v>5.74</v>
      </c>
      <c r="R366" s="3">
        <f t="shared" si="31"/>
        <v>2.2400000000000002</v>
      </c>
      <c r="S366" s="2">
        <v>7</v>
      </c>
      <c r="T366" s="3">
        <f t="shared" si="32"/>
        <v>40.18</v>
      </c>
      <c r="U366" s="4">
        <v>0.04</v>
      </c>
      <c r="V366" s="6">
        <f t="shared" si="33"/>
        <v>1.6072</v>
      </c>
      <c r="W366" s="6">
        <f t="shared" si="34"/>
        <v>38.572800000000001</v>
      </c>
      <c r="X366" s="3">
        <v>5.01</v>
      </c>
      <c r="Y366" s="5">
        <f t="shared" si="35"/>
        <v>43.582799999999999</v>
      </c>
    </row>
    <row r="367" spans="1:25" x14ac:dyDescent="0.2">
      <c r="A367" t="s">
        <v>1278</v>
      </c>
      <c r="B367" s="1">
        <v>41856</v>
      </c>
      <c r="C367" s="2" t="str">
        <f t="shared" si="30"/>
        <v>2014</v>
      </c>
      <c r="D367" s="2" t="s">
        <v>328</v>
      </c>
      <c r="E367" s="2" t="s">
        <v>251</v>
      </c>
      <c r="F367" s="2" t="s">
        <v>19</v>
      </c>
      <c r="G367" s="2" t="s">
        <v>20</v>
      </c>
      <c r="H367" s="2" t="s">
        <v>29</v>
      </c>
      <c r="I367" s="2" t="s">
        <v>92</v>
      </c>
      <c r="J367" s="2" t="s">
        <v>44</v>
      </c>
      <c r="K367" s="2" t="s">
        <v>163</v>
      </c>
      <c r="L367" s="2" t="s">
        <v>32</v>
      </c>
      <c r="M367" s="2" t="s">
        <v>33</v>
      </c>
      <c r="N367" s="2" t="s">
        <v>27</v>
      </c>
      <c r="O367" s="1">
        <v>41858</v>
      </c>
      <c r="P367" s="3">
        <v>1.0900000000000001</v>
      </c>
      <c r="Q367" s="3">
        <v>2.6</v>
      </c>
      <c r="R367" s="3">
        <f t="shared" si="31"/>
        <v>1.51</v>
      </c>
      <c r="S367" s="2">
        <v>43</v>
      </c>
      <c r="T367" s="3">
        <f t="shared" si="32"/>
        <v>111.8</v>
      </c>
      <c r="U367" s="4">
        <v>0.06</v>
      </c>
      <c r="V367" s="6">
        <f t="shared" si="33"/>
        <v>6.7079999999999993</v>
      </c>
      <c r="W367" s="6">
        <f t="shared" si="34"/>
        <v>105.092</v>
      </c>
      <c r="X367" s="3">
        <v>2.4</v>
      </c>
      <c r="Y367" s="5">
        <f t="shared" si="35"/>
        <v>107.492</v>
      </c>
    </row>
    <row r="368" spans="1:25" x14ac:dyDescent="0.2">
      <c r="A368" t="s">
        <v>1279</v>
      </c>
      <c r="B368" s="1">
        <v>41857</v>
      </c>
      <c r="C368" s="2" t="str">
        <f t="shared" si="30"/>
        <v>2014</v>
      </c>
      <c r="D368" s="2" t="s">
        <v>727</v>
      </c>
      <c r="E368" s="2" t="s">
        <v>381</v>
      </c>
      <c r="F368" s="2" t="s">
        <v>36</v>
      </c>
      <c r="G368" s="2" t="s">
        <v>37</v>
      </c>
      <c r="H368" s="2" t="s">
        <v>50</v>
      </c>
      <c r="I368" s="2" t="s">
        <v>124</v>
      </c>
      <c r="J368" s="2" t="s">
        <v>23</v>
      </c>
      <c r="K368" s="2" t="s">
        <v>241</v>
      </c>
      <c r="L368" s="2" t="s">
        <v>32</v>
      </c>
      <c r="M368" s="2" t="s">
        <v>26</v>
      </c>
      <c r="N368" s="2" t="s">
        <v>27</v>
      </c>
      <c r="O368" s="1">
        <v>41857</v>
      </c>
      <c r="P368" s="3">
        <v>3.65</v>
      </c>
      <c r="Q368" s="3">
        <v>5.98</v>
      </c>
      <c r="R368" s="3">
        <f t="shared" si="31"/>
        <v>2.3300000000000005</v>
      </c>
      <c r="S368" s="2">
        <v>32</v>
      </c>
      <c r="T368" s="3">
        <f t="shared" si="32"/>
        <v>191.36</v>
      </c>
      <c r="U368" s="4">
        <v>0.1</v>
      </c>
      <c r="V368" s="6">
        <f t="shared" si="33"/>
        <v>19.136000000000003</v>
      </c>
      <c r="W368" s="6">
        <f t="shared" si="34"/>
        <v>172.22400000000002</v>
      </c>
      <c r="X368" s="3">
        <v>1.49</v>
      </c>
      <c r="Y368" s="5">
        <f t="shared" si="35"/>
        <v>173.71400000000003</v>
      </c>
    </row>
    <row r="369" spans="1:25" x14ac:dyDescent="0.2">
      <c r="A369" t="s">
        <v>1280</v>
      </c>
      <c r="B369" s="1">
        <v>41858</v>
      </c>
      <c r="C369" s="2" t="str">
        <f t="shared" si="30"/>
        <v>2014</v>
      </c>
      <c r="D369" s="2" t="s">
        <v>396</v>
      </c>
      <c r="E369" s="2" t="s">
        <v>138</v>
      </c>
      <c r="F369" s="2" t="s">
        <v>36</v>
      </c>
      <c r="G369" s="2" t="s">
        <v>37</v>
      </c>
      <c r="H369" s="2" t="s">
        <v>42</v>
      </c>
      <c r="I369" s="2" t="s">
        <v>51</v>
      </c>
      <c r="J369" s="2" t="s">
        <v>66</v>
      </c>
      <c r="K369" s="2" t="s">
        <v>316</v>
      </c>
      <c r="L369" s="2" t="s">
        <v>32</v>
      </c>
      <c r="M369" s="2" t="s">
        <v>33</v>
      </c>
      <c r="N369" s="2" t="s">
        <v>27</v>
      </c>
      <c r="O369" s="1">
        <v>41860</v>
      </c>
      <c r="P369" s="3">
        <v>3.32</v>
      </c>
      <c r="Q369" s="3">
        <v>5.18</v>
      </c>
      <c r="R369" s="3">
        <f t="shared" si="31"/>
        <v>1.8599999999999999</v>
      </c>
      <c r="S369" s="2">
        <v>17</v>
      </c>
      <c r="T369" s="3">
        <f t="shared" si="32"/>
        <v>88.06</v>
      </c>
      <c r="U369" s="4">
        <v>0.02</v>
      </c>
      <c r="V369" s="6">
        <f t="shared" si="33"/>
        <v>1.7612000000000001</v>
      </c>
      <c r="W369" s="6">
        <f t="shared" si="34"/>
        <v>86.2988</v>
      </c>
      <c r="X369" s="3">
        <v>2.04</v>
      </c>
      <c r="Y369" s="5">
        <f t="shared" si="35"/>
        <v>88.338800000000006</v>
      </c>
    </row>
    <row r="370" spans="1:25" x14ac:dyDescent="0.2">
      <c r="A370" t="s">
        <v>1281</v>
      </c>
      <c r="B370" s="1">
        <v>41862</v>
      </c>
      <c r="C370" s="2" t="str">
        <f t="shared" si="30"/>
        <v>2014</v>
      </c>
      <c r="D370" s="2" t="s">
        <v>723</v>
      </c>
      <c r="E370" s="2" t="s">
        <v>1929</v>
      </c>
      <c r="F370" s="2" t="s">
        <v>36</v>
      </c>
      <c r="G370" s="2" t="s">
        <v>37</v>
      </c>
      <c r="H370" s="2" t="s">
        <v>50</v>
      </c>
      <c r="I370" s="2" t="s">
        <v>102</v>
      </c>
      <c r="J370" s="2" t="s">
        <v>66</v>
      </c>
      <c r="K370" s="2" t="s">
        <v>155</v>
      </c>
      <c r="L370" s="2" t="s">
        <v>32</v>
      </c>
      <c r="M370" s="2" t="s">
        <v>33</v>
      </c>
      <c r="N370" s="2" t="s">
        <v>27</v>
      </c>
      <c r="O370" s="1">
        <v>41863</v>
      </c>
      <c r="P370" s="3">
        <v>0.24</v>
      </c>
      <c r="Q370" s="3">
        <v>1.26</v>
      </c>
      <c r="R370" s="3">
        <f t="shared" si="31"/>
        <v>1.02</v>
      </c>
      <c r="S370" s="2">
        <v>2</v>
      </c>
      <c r="T370" s="3">
        <f t="shared" si="32"/>
        <v>2.52</v>
      </c>
      <c r="U370" s="4">
        <v>0.06</v>
      </c>
      <c r="V370" s="6">
        <f t="shared" si="33"/>
        <v>0.1512</v>
      </c>
      <c r="W370" s="6">
        <f t="shared" si="34"/>
        <v>2.3688000000000002</v>
      </c>
      <c r="X370" s="3">
        <v>0.7</v>
      </c>
      <c r="Y370" s="5">
        <f t="shared" si="35"/>
        <v>3.0688000000000004</v>
      </c>
    </row>
    <row r="371" spans="1:25" x14ac:dyDescent="0.2">
      <c r="A371" t="s">
        <v>1282</v>
      </c>
      <c r="B371" s="1">
        <v>41862</v>
      </c>
      <c r="C371" s="2" t="str">
        <f t="shared" si="30"/>
        <v>2014</v>
      </c>
      <c r="D371" s="2" t="s">
        <v>724</v>
      </c>
      <c r="E371" s="2" t="s">
        <v>69</v>
      </c>
      <c r="F371" s="2" t="s">
        <v>19</v>
      </c>
      <c r="G371" s="2" t="s">
        <v>20</v>
      </c>
      <c r="H371" s="2" t="s">
        <v>42</v>
      </c>
      <c r="I371" s="2" t="s">
        <v>22</v>
      </c>
      <c r="J371" s="2" t="s">
        <v>66</v>
      </c>
      <c r="K371" s="2" t="s">
        <v>365</v>
      </c>
      <c r="L371" s="2" t="s">
        <v>32</v>
      </c>
      <c r="M371" s="2" t="s">
        <v>33</v>
      </c>
      <c r="N371" s="2" t="s">
        <v>27</v>
      </c>
      <c r="O371" s="1">
        <v>41865</v>
      </c>
      <c r="P371" s="3">
        <v>21.56</v>
      </c>
      <c r="Q371" s="3">
        <v>36.549999999999997</v>
      </c>
      <c r="R371" s="3">
        <f t="shared" si="31"/>
        <v>14.989999999999998</v>
      </c>
      <c r="S371" s="2">
        <v>24</v>
      </c>
      <c r="T371" s="3">
        <f t="shared" si="32"/>
        <v>877.19999999999993</v>
      </c>
      <c r="U371" s="4">
        <v>7.0000000000000007E-2</v>
      </c>
      <c r="V371" s="6">
        <f t="shared" si="33"/>
        <v>61.404000000000003</v>
      </c>
      <c r="W371" s="6">
        <f t="shared" si="34"/>
        <v>815.79599999999994</v>
      </c>
      <c r="X371" s="3">
        <v>13.89</v>
      </c>
      <c r="Y371" s="5">
        <f t="shared" si="35"/>
        <v>829.68599999999992</v>
      </c>
    </row>
    <row r="372" spans="1:25" x14ac:dyDescent="0.2">
      <c r="A372" t="s">
        <v>1283</v>
      </c>
      <c r="B372" s="1">
        <v>41862</v>
      </c>
      <c r="C372" s="2" t="str">
        <f t="shared" si="30"/>
        <v>2014</v>
      </c>
      <c r="D372" s="2" t="s">
        <v>725</v>
      </c>
      <c r="E372" s="2" t="s">
        <v>69</v>
      </c>
      <c r="F372" s="2" t="s">
        <v>19</v>
      </c>
      <c r="G372" s="2" t="s">
        <v>20</v>
      </c>
      <c r="H372" s="2" t="s">
        <v>50</v>
      </c>
      <c r="I372" s="2" t="s">
        <v>22</v>
      </c>
      <c r="J372" s="2" t="s">
        <v>30</v>
      </c>
      <c r="K372" s="2" t="s">
        <v>53</v>
      </c>
      <c r="L372" s="2" t="s">
        <v>32</v>
      </c>
      <c r="M372" s="2" t="s">
        <v>33</v>
      </c>
      <c r="N372" s="2" t="s">
        <v>27</v>
      </c>
      <c r="O372" s="1">
        <v>41864</v>
      </c>
      <c r="P372" s="3">
        <v>3.75</v>
      </c>
      <c r="Q372" s="3">
        <v>7.08</v>
      </c>
      <c r="R372" s="3">
        <f t="shared" si="31"/>
        <v>3.33</v>
      </c>
      <c r="S372" s="2">
        <v>47</v>
      </c>
      <c r="T372" s="3">
        <f t="shared" si="32"/>
        <v>332.76</v>
      </c>
      <c r="U372" s="4">
        <v>0.1</v>
      </c>
      <c r="V372" s="6">
        <f t="shared" si="33"/>
        <v>33.276000000000003</v>
      </c>
      <c r="W372" s="6">
        <f t="shared" si="34"/>
        <v>299.48399999999998</v>
      </c>
      <c r="X372" s="3">
        <v>2.35</v>
      </c>
      <c r="Y372" s="5">
        <f t="shared" si="35"/>
        <v>301.834</v>
      </c>
    </row>
    <row r="373" spans="1:25" x14ac:dyDescent="0.2">
      <c r="A373" t="s">
        <v>1284</v>
      </c>
      <c r="B373" s="1">
        <v>41862</v>
      </c>
      <c r="C373" s="2" t="str">
        <f t="shared" si="30"/>
        <v>2014</v>
      </c>
      <c r="D373" s="2" t="s">
        <v>726</v>
      </c>
      <c r="E373" s="2" t="s">
        <v>251</v>
      </c>
      <c r="F373" s="2" t="s">
        <v>19</v>
      </c>
      <c r="G373" s="2" t="s">
        <v>20</v>
      </c>
      <c r="H373" s="2" t="s">
        <v>29</v>
      </c>
      <c r="I373" s="2" t="s">
        <v>92</v>
      </c>
      <c r="J373" s="2" t="s">
        <v>44</v>
      </c>
      <c r="K373" s="2" t="s">
        <v>334</v>
      </c>
      <c r="L373" s="2" t="s">
        <v>32</v>
      </c>
      <c r="M373" s="2" t="s">
        <v>33</v>
      </c>
      <c r="N373" s="2" t="s">
        <v>89</v>
      </c>
      <c r="O373" s="1">
        <v>41864</v>
      </c>
      <c r="P373" s="3">
        <v>2.9</v>
      </c>
      <c r="Q373" s="3">
        <v>4.76</v>
      </c>
      <c r="R373" s="3">
        <f t="shared" si="31"/>
        <v>1.8599999999999999</v>
      </c>
      <c r="S373" s="2">
        <v>11</v>
      </c>
      <c r="T373" s="3">
        <f t="shared" si="32"/>
        <v>52.36</v>
      </c>
      <c r="U373" s="4">
        <v>0.08</v>
      </c>
      <c r="V373" s="6">
        <f t="shared" si="33"/>
        <v>4.1887999999999996</v>
      </c>
      <c r="W373" s="6">
        <f t="shared" si="34"/>
        <v>48.171199999999999</v>
      </c>
      <c r="X373" s="3">
        <v>0.88</v>
      </c>
      <c r="Y373" s="5">
        <f t="shared" si="35"/>
        <v>49.051200000000001</v>
      </c>
    </row>
    <row r="374" spans="1:25" x14ac:dyDescent="0.2">
      <c r="A374" t="s">
        <v>1285</v>
      </c>
      <c r="B374" s="1">
        <v>41863</v>
      </c>
      <c r="C374" s="2" t="str">
        <f t="shared" si="30"/>
        <v>2014</v>
      </c>
      <c r="D374" s="2" t="s">
        <v>160</v>
      </c>
      <c r="E374" s="2" t="s">
        <v>161</v>
      </c>
      <c r="F374" s="2" t="s">
        <v>36</v>
      </c>
      <c r="G374" s="2" t="s">
        <v>37</v>
      </c>
      <c r="H374" s="2" t="s">
        <v>21</v>
      </c>
      <c r="I374" s="2" t="s">
        <v>51</v>
      </c>
      <c r="J374" s="2" t="s">
        <v>23</v>
      </c>
      <c r="K374" s="2" t="s">
        <v>24</v>
      </c>
      <c r="L374" s="2" t="s">
        <v>25</v>
      </c>
      <c r="M374" s="2" t="s">
        <v>26</v>
      </c>
      <c r="N374" s="2" t="s">
        <v>27</v>
      </c>
      <c r="O374" s="1">
        <v>41870</v>
      </c>
      <c r="P374" s="3">
        <v>6.39</v>
      </c>
      <c r="Q374" s="3">
        <v>19.98</v>
      </c>
      <c r="R374" s="3">
        <f t="shared" si="31"/>
        <v>13.59</v>
      </c>
      <c r="S374" s="2">
        <v>5</v>
      </c>
      <c r="T374" s="3">
        <f t="shared" si="32"/>
        <v>99.9</v>
      </c>
      <c r="U374" s="4">
        <v>0.09</v>
      </c>
      <c r="V374" s="6">
        <f t="shared" si="33"/>
        <v>8.9909999999999997</v>
      </c>
      <c r="W374" s="6">
        <f t="shared" si="34"/>
        <v>90.909000000000006</v>
      </c>
      <c r="X374" s="3">
        <v>4</v>
      </c>
      <c r="Y374" s="5">
        <f t="shared" si="35"/>
        <v>94.909000000000006</v>
      </c>
    </row>
    <row r="375" spans="1:25" x14ac:dyDescent="0.2">
      <c r="A375" t="s">
        <v>1286</v>
      </c>
      <c r="B375" s="1">
        <v>41873</v>
      </c>
      <c r="C375" s="2" t="str">
        <f t="shared" si="30"/>
        <v>2014</v>
      </c>
      <c r="D375" s="2" t="s">
        <v>151</v>
      </c>
      <c r="E375" s="2" t="s">
        <v>152</v>
      </c>
      <c r="F375" s="2" t="s">
        <v>36</v>
      </c>
      <c r="G375" s="2" t="s">
        <v>37</v>
      </c>
      <c r="H375" s="2" t="s">
        <v>21</v>
      </c>
      <c r="I375" s="2" t="s">
        <v>153</v>
      </c>
      <c r="J375" s="2" t="s">
        <v>52</v>
      </c>
      <c r="K375" s="2" t="s">
        <v>308</v>
      </c>
      <c r="L375" s="2" t="s">
        <v>32</v>
      </c>
      <c r="M375" s="2" t="s">
        <v>26</v>
      </c>
      <c r="N375" s="2" t="s">
        <v>27</v>
      </c>
      <c r="O375" s="1">
        <v>41874</v>
      </c>
      <c r="P375" s="3">
        <v>4.03</v>
      </c>
      <c r="Q375" s="3">
        <v>9.3800000000000008</v>
      </c>
      <c r="R375" s="3">
        <f t="shared" si="31"/>
        <v>5.3500000000000005</v>
      </c>
      <c r="S375" s="2">
        <v>17</v>
      </c>
      <c r="T375" s="3">
        <f t="shared" si="32"/>
        <v>159.46</v>
      </c>
      <c r="U375" s="4">
        <v>0.09</v>
      </c>
      <c r="V375" s="6">
        <f t="shared" si="33"/>
        <v>14.3514</v>
      </c>
      <c r="W375" s="6">
        <f t="shared" si="34"/>
        <v>145.1086</v>
      </c>
      <c r="X375" s="3">
        <v>7.28</v>
      </c>
      <c r="Y375" s="5">
        <f t="shared" si="35"/>
        <v>152.3886</v>
      </c>
    </row>
    <row r="376" spans="1:25" x14ac:dyDescent="0.2">
      <c r="A376" t="s">
        <v>1287</v>
      </c>
      <c r="B376" s="1">
        <v>41876</v>
      </c>
      <c r="C376" s="2" t="str">
        <f t="shared" si="30"/>
        <v>2014</v>
      </c>
      <c r="D376" s="2" t="s">
        <v>404</v>
      </c>
      <c r="E376" s="2" t="s">
        <v>69</v>
      </c>
      <c r="F376" s="2" t="s">
        <v>19</v>
      </c>
      <c r="G376" s="2" t="s">
        <v>20</v>
      </c>
      <c r="H376" s="2" t="s">
        <v>50</v>
      </c>
      <c r="I376" s="2" t="s">
        <v>22</v>
      </c>
      <c r="J376" s="2" t="s">
        <v>44</v>
      </c>
      <c r="K376" s="2" t="s">
        <v>149</v>
      </c>
      <c r="L376" s="2" t="s">
        <v>150</v>
      </c>
      <c r="M376" s="2" t="s">
        <v>58</v>
      </c>
      <c r="N376" s="2" t="s">
        <v>27</v>
      </c>
      <c r="O376" s="1">
        <v>41878</v>
      </c>
      <c r="P376" s="3">
        <v>5.5</v>
      </c>
      <c r="Q376" s="3">
        <v>12.22</v>
      </c>
      <c r="R376" s="3">
        <f t="shared" si="31"/>
        <v>6.7200000000000006</v>
      </c>
      <c r="S376" s="2">
        <v>37</v>
      </c>
      <c r="T376" s="3">
        <f t="shared" si="32"/>
        <v>452.14000000000004</v>
      </c>
      <c r="U376" s="4">
        <v>0.09</v>
      </c>
      <c r="V376" s="6">
        <f t="shared" si="33"/>
        <v>40.692600000000006</v>
      </c>
      <c r="W376" s="6">
        <f t="shared" si="34"/>
        <v>411.44740000000002</v>
      </c>
      <c r="X376" s="3">
        <v>2.85</v>
      </c>
      <c r="Y376" s="5">
        <f t="shared" si="35"/>
        <v>414.29740000000004</v>
      </c>
    </row>
    <row r="377" spans="1:25" x14ac:dyDescent="0.2">
      <c r="A377" t="s">
        <v>1288</v>
      </c>
      <c r="B377" s="1">
        <v>41876</v>
      </c>
      <c r="C377" s="2" t="str">
        <f t="shared" si="30"/>
        <v>2014</v>
      </c>
      <c r="D377" s="2" t="s">
        <v>722</v>
      </c>
      <c r="E377" s="2" t="s">
        <v>451</v>
      </c>
      <c r="F377" s="2" t="s">
        <v>36</v>
      </c>
      <c r="G377" s="2" t="s">
        <v>37</v>
      </c>
      <c r="H377" s="2" t="s">
        <v>21</v>
      </c>
      <c r="I377" s="2" t="s">
        <v>51</v>
      </c>
      <c r="J377" s="2" t="s">
        <v>44</v>
      </c>
      <c r="K377" s="2" t="s">
        <v>323</v>
      </c>
      <c r="L377" s="2" t="s">
        <v>32</v>
      </c>
      <c r="M377" s="2" t="s">
        <v>33</v>
      </c>
      <c r="N377" s="2" t="s">
        <v>27</v>
      </c>
      <c r="O377" s="1">
        <v>41878</v>
      </c>
      <c r="P377" s="3">
        <v>11.11</v>
      </c>
      <c r="Q377" s="3">
        <v>19.84</v>
      </c>
      <c r="R377" s="3">
        <f t="shared" si="31"/>
        <v>8.73</v>
      </c>
      <c r="S377" s="2">
        <v>28</v>
      </c>
      <c r="T377" s="3">
        <f t="shared" si="32"/>
        <v>555.52</v>
      </c>
      <c r="U377" s="4">
        <v>0.06</v>
      </c>
      <c r="V377" s="6">
        <f t="shared" si="33"/>
        <v>33.331199999999995</v>
      </c>
      <c r="W377" s="6">
        <f t="shared" si="34"/>
        <v>522.18880000000001</v>
      </c>
      <c r="X377" s="3">
        <v>4.0999999999999996</v>
      </c>
      <c r="Y377" s="5">
        <f t="shared" si="35"/>
        <v>526.28880000000004</v>
      </c>
    </row>
    <row r="378" spans="1:25" x14ac:dyDescent="0.2">
      <c r="A378" t="s">
        <v>1289</v>
      </c>
      <c r="B378" s="1">
        <v>41877</v>
      </c>
      <c r="C378" s="2" t="str">
        <f t="shared" si="30"/>
        <v>2014</v>
      </c>
      <c r="D378" s="2" t="s">
        <v>291</v>
      </c>
      <c r="E378" s="2" t="s">
        <v>1890</v>
      </c>
      <c r="F378" s="2" t="s">
        <v>1881</v>
      </c>
      <c r="G378" s="2" t="s">
        <v>1882</v>
      </c>
      <c r="H378" s="2" t="s">
        <v>50</v>
      </c>
      <c r="I378" s="2" t="s">
        <v>51</v>
      </c>
      <c r="J378" s="2" t="s">
        <v>30</v>
      </c>
      <c r="K378" s="2" t="s">
        <v>128</v>
      </c>
      <c r="L378" s="2" t="s">
        <v>25</v>
      </c>
      <c r="M378" s="2" t="s">
        <v>26</v>
      </c>
      <c r="N378" s="2" t="s">
        <v>27</v>
      </c>
      <c r="O378" s="1">
        <v>41877</v>
      </c>
      <c r="P378" s="3">
        <v>10.07</v>
      </c>
      <c r="Q378" s="3">
        <v>15.98</v>
      </c>
      <c r="R378" s="3">
        <f t="shared" si="31"/>
        <v>5.91</v>
      </c>
      <c r="S378" s="2">
        <v>46</v>
      </c>
      <c r="T378" s="3">
        <f t="shared" si="32"/>
        <v>735.08</v>
      </c>
      <c r="U378" s="4">
        <v>0.02</v>
      </c>
      <c r="V378" s="6">
        <f t="shared" si="33"/>
        <v>14.701600000000001</v>
      </c>
      <c r="W378" s="6">
        <f t="shared" si="34"/>
        <v>720.37840000000006</v>
      </c>
      <c r="X378" s="3">
        <v>4</v>
      </c>
      <c r="Y378" s="5">
        <f t="shared" si="35"/>
        <v>724.37840000000006</v>
      </c>
    </row>
    <row r="379" spans="1:25" x14ac:dyDescent="0.2">
      <c r="A379" t="s">
        <v>1290</v>
      </c>
      <c r="B379" s="1">
        <v>41878</v>
      </c>
      <c r="C379" s="2" t="str">
        <f t="shared" si="30"/>
        <v>2014</v>
      </c>
      <c r="D379" s="2" t="s">
        <v>17</v>
      </c>
      <c r="E379" s="2" t="s">
        <v>18</v>
      </c>
      <c r="F379" s="2" t="s">
        <v>19</v>
      </c>
      <c r="G379" s="2" t="s">
        <v>20</v>
      </c>
      <c r="H379" s="2" t="s">
        <v>21</v>
      </c>
      <c r="I379" s="2" t="s">
        <v>22</v>
      </c>
      <c r="J379" s="2" t="s">
        <v>52</v>
      </c>
      <c r="K379" s="2" t="s">
        <v>116</v>
      </c>
      <c r="L379" s="2" t="s">
        <v>32</v>
      </c>
      <c r="M379" s="2" t="s">
        <v>33</v>
      </c>
      <c r="N379" s="2" t="s">
        <v>89</v>
      </c>
      <c r="O379" s="1">
        <v>41879</v>
      </c>
      <c r="P379" s="3">
        <v>1.6</v>
      </c>
      <c r="Q379" s="3">
        <v>2.62</v>
      </c>
      <c r="R379" s="3">
        <f t="shared" si="31"/>
        <v>1.02</v>
      </c>
      <c r="S379" s="2">
        <v>45</v>
      </c>
      <c r="T379" s="3">
        <f t="shared" si="32"/>
        <v>117.9</v>
      </c>
      <c r="U379" s="4">
        <v>0.01</v>
      </c>
      <c r="V379" s="6">
        <f t="shared" si="33"/>
        <v>1.179</v>
      </c>
      <c r="W379" s="6">
        <f t="shared" si="34"/>
        <v>116.721</v>
      </c>
      <c r="X379" s="3">
        <v>0.8</v>
      </c>
      <c r="Y379" s="5">
        <f t="shared" si="35"/>
        <v>117.521</v>
      </c>
    </row>
    <row r="380" spans="1:25" x14ac:dyDescent="0.2">
      <c r="A380" t="s">
        <v>888</v>
      </c>
      <c r="B380" s="1">
        <v>41879</v>
      </c>
      <c r="C380" s="2" t="str">
        <f t="shared" si="30"/>
        <v>2014</v>
      </c>
      <c r="D380" s="2" t="s">
        <v>721</v>
      </c>
      <c r="E380" s="2" t="s">
        <v>91</v>
      </c>
      <c r="F380" s="2" t="s">
        <v>19</v>
      </c>
      <c r="G380" s="2" t="s">
        <v>20</v>
      </c>
      <c r="H380" s="2" t="s">
        <v>50</v>
      </c>
      <c r="I380" s="2" t="s">
        <v>92</v>
      </c>
      <c r="J380" s="2" t="s">
        <v>44</v>
      </c>
      <c r="K380" s="2" t="s">
        <v>186</v>
      </c>
      <c r="L380" s="2" t="s">
        <v>25</v>
      </c>
      <c r="M380" s="2" t="s">
        <v>62</v>
      </c>
      <c r="N380" s="2" t="s">
        <v>63</v>
      </c>
      <c r="O380" s="1">
        <v>41879</v>
      </c>
      <c r="P380" s="3">
        <v>278.99</v>
      </c>
      <c r="Q380" s="3">
        <v>449.99</v>
      </c>
      <c r="R380" s="3">
        <f t="shared" si="31"/>
        <v>171</v>
      </c>
      <c r="S380" s="2">
        <v>15</v>
      </c>
      <c r="T380" s="3">
        <f t="shared" si="32"/>
        <v>6749.85</v>
      </c>
      <c r="U380" s="4">
        <v>0.04</v>
      </c>
      <c r="V380" s="6">
        <f t="shared" si="33"/>
        <v>269.99400000000003</v>
      </c>
      <c r="W380" s="6">
        <f t="shared" si="34"/>
        <v>6479.8560000000007</v>
      </c>
      <c r="X380" s="3">
        <v>49</v>
      </c>
      <c r="Y380" s="5">
        <f t="shared" si="35"/>
        <v>6528.8560000000007</v>
      </c>
    </row>
    <row r="381" spans="1:25" x14ac:dyDescent="0.2">
      <c r="A381" t="s">
        <v>889</v>
      </c>
      <c r="B381" s="1">
        <v>41879</v>
      </c>
      <c r="C381" s="2" t="str">
        <f t="shared" si="30"/>
        <v>2014</v>
      </c>
      <c r="D381" s="2" t="s">
        <v>721</v>
      </c>
      <c r="E381" s="2" t="s">
        <v>91</v>
      </c>
      <c r="F381" s="2" t="s">
        <v>19</v>
      </c>
      <c r="G381" s="2" t="s">
        <v>20</v>
      </c>
      <c r="H381" s="2" t="s">
        <v>50</v>
      </c>
      <c r="I381" s="2" t="s">
        <v>92</v>
      </c>
      <c r="J381" s="2" t="s">
        <v>44</v>
      </c>
      <c r="K381" s="2" t="s">
        <v>146</v>
      </c>
      <c r="L381" s="2" t="s">
        <v>32</v>
      </c>
      <c r="M381" s="2" t="s">
        <v>33</v>
      </c>
      <c r="N381" s="2" t="s">
        <v>27</v>
      </c>
      <c r="O381" s="1">
        <v>41880</v>
      </c>
      <c r="P381" s="3">
        <v>2.52</v>
      </c>
      <c r="Q381" s="3">
        <v>4</v>
      </c>
      <c r="R381" s="3">
        <f t="shared" si="31"/>
        <v>1.48</v>
      </c>
      <c r="S381" s="2">
        <v>14</v>
      </c>
      <c r="T381" s="3">
        <f t="shared" si="32"/>
        <v>56</v>
      </c>
      <c r="U381" s="4">
        <v>0.06</v>
      </c>
      <c r="V381" s="6">
        <f t="shared" si="33"/>
        <v>3.36</v>
      </c>
      <c r="W381" s="6">
        <f t="shared" si="34"/>
        <v>52.64</v>
      </c>
      <c r="X381" s="3">
        <v>1.3</v>
      </c>
      <c r="Y381" s="5">
        <f t="shared" si="35"/>
        <v>53.94</v>
      </c>
    </row>
    <row r="382" spans="1:25" x14ac:dyDescent="0.2">
      <c r="A382" t="s">
        <v>1291</v>
      </c>
      <c r="B382" s="1">
        <v>41879</v>
      </c>
      <c r="C382" s="2" t="str">
        <f t="shared" si="30"/>
        <v>2014</v>
      </c>
      <c r="D382" s="2" t="s">
        <v>382</v>
      </c>
      <c r="E382" s="2" t="s">
        <v>74</v>
      </c>
      <c r="F382" s="2" t="s">
        <v>36</v>
      </c>
      <c r="G382" s="2" t="s">
        <v>37</v>
      </c>
      <c r="H382" s="2" t="s">
        <v>29</v>
      </c>
      <c r="I382" s="2" t="s">
        <v>75</v>
      </c>
      <c r="J382" s="2" t="s">
        <v>23</v>
      </c>
      <c r="K382" s="2" t="s">
        <v>386</v>
      </c>
      <c r="L382" s="2" t="s">
        <v>25</v>
      </c>
      <c r="M382" s="2" t="s">
        <v>26</v>
      </c>
      <c r="N382" s="2" t="s">
        <v>27</v>
      </c>
      <c r="O382" s="1">
        <v>41883</v>
      </c>
      <c r="P382" s="3">
        <v>6.51</v>
      </c>
      <c r="Q382" s="3">
        <v>30.98</v>
      </c>
      <c r="R382" s="3">
        <f t="shared" si="31"/>
        <v>24.47</v>
      </c>
      <c r="S382" s="2">
        <v>37</v>
      </c>
      <c r="T382" s="3">
        <f t="shared" si="32"/>
        <v>1146.26</v>
      </c>
      <c r="U382" s="4">
        <v>0.03</v>
      </c>
      <c r="V382" s="6">
        <f t="shared" si="33"/>
        <v>34.387799999999999</v>
      </c>
      <c r="W382" s="6">
        <f t="shared" si="34"/>
        <v>1111.8722</v>
      </c>
      <c r="X382" s="3">
        <v>6.5</v>
      </c>
      <c r="Y382" s="5">
        <f t="shared" si="35"/>
        <v>1118.3722</v>
      </c>
    </row>
    <row r="383" spans="1:25" x14ac:dyDescent="0.2">
      <c r="A383" t="s">
        <v>1292</v>
      </c>
      <c r="B383" s="1">
        <v>41884</v>
      </c>
      <c r="C383" s="2" t="str">
        <f t="shared" si="30"/>
        <v>2014</v>
      </c>
      <c r="D383" s="2" t="s">
        <v>720</v>
      </c>
      <c r="E383" s="2" t="s">
        <v>161</v>
      </c>
      <c r="F383" s="2" t="s">
        <v>36</v>
      </c>
      <c r="G383" s="2" t="s">
        <v>37</v>
      </c>
      <c r="H383" s="2" t="s">
        <v>21</v>
      </c>
      <c r="I383" s="2" t="s">
        <v>51</v>
      </c>
      <c r="J383" s="2" t="s">
        <v>23</v>
      </c>
      <c r="K383" s="2" t="s">
        <v>128</v>
      </c>
      <c r="L383" s="2" t="s">
        <v>25</v>
      </c>
      <c r="M383" s="2" t="s">
        <v>26</v>
      </c>
      <c r="N383" s="2" t="s">
        <v>27</v>
      </c>
      <c r="O383" s="1">
        <v>41886</v>
      </c>
      <c r="P383" s="3">
        <v>10.07</v>
      </c>
      <c r="Q383" s="3">
        <v>15.98</v>
      </c>
      <c r="R383" s="3">
        <f t="shared" si="31"/>
        <v>5.91</v>
      </c>
      <c r="S383" s="2">
        <v>29</v>
      </c>
      <c r="T383" s="3">
        <f t="shared" si="32"/>
        <v>463.42</v>
      </c>
      <c r="U383" s="4">
        <v>0.04</v>
      </c>
      <c r="V383" s="6">
        <f t="shared" si="33"/>
        <v>18.536799999999999</v>
      </c>
      <c r="W383" s="6">
        <f t="shared" si="34"/>
        <v>444.88319999999999</v>
      </c>
      <c r="X383" s="3">
        <v>4</v>
      </c>
      <c r="Y383" s="5">
        <f t="shared" si="35"/>
        <v>448.88319999999999</v>
      </c>
    </row>
    <row r="384" spans="1:25" x14ac:dyDescent="0.2">
      <c r="A384" t="s">
        <v>1293</v>
      </c>
      <c r="B384" s="1">
        <v>41885</v>
      </c>
      <c r="C384" s="2" t="str">
        <f t="shared" si="30"/>
        <v>2014</v>
      </c>
      <c r="D384" s="2" t="s">
        <v>270</v>
      </c>
      <c r="E384" s="2" t="s">
        <v>271</v>
      </c>
      <c r="F384" s="2" t="s">
        <v>36</v>
      </c>
      <c r="G384" s="2" t="s">
        <v>37</v>
      </c>
      <c r="H384" s="2" t="s">
        <v>42</v>
      </c>
      <c r="I384" s="2" t="s">
        <v>102</v>
      </c>
      <c r="J384" s="2" t="s">
        <v>30</v>
      </c>
      <c r="K384" s="2" t="s">
        <v>311</v>
      </c>
      <c r="L384" s="2" t="s">
        <v>32</v>
      </c>
      <c r="M384" s="2" t="s">
        <v>33</v>
      </c>
      <c r="N384" s="2" t="s">
        <v>27</v>
      </c>
      <c r="O384" s="1">
        <v>41887</v>
      </c>
      <c r="P384" s="3">
        <v>1.92</v>
      </c>
      <c r="Q384" s="3">
        <v>3.26</v>
      </c>
      <c r="R384" s="3">
        <f t="shared" si="31"/>
        <v>1.3399999999999999</v>
      </c>
      <c r="S384" s="2">
        <v>31</v>
      </c>
      <c r="T384" s="3">
        <f t="shared" si="32"/>
        <v>101.05999999999999</v>
      </c>
      <c r="U384" s="4">
        <v>0</v>
      </c>
      <c r="V384" s="6">
        <f t="shared" si="33"/>
        <v>0</v>
      </c>
      <c r="W384" s="6">
        <f t="shared" si="34"/>
        <v>101.05999999999999</v>
      </c>
      <c r="X384" s="3">
        <v>1.86</v>
      </c>
      <c r="Y384" s="5">
        <f t="shared" si="35"/>
        <v>102.91999999999999</v>
      </c>
    </row>
    <row r="385" spans="1:25" x14ac:dyDescent="0.2">
      <c r="A385" t="s">
        <v>1294</v>
      </c>
      <c r="B385" s="1">
        <v>41885</v>
      </c>
      <c r="C385" s="2" t="str">
        <f t="shared" si="30"/>
        <v>2014</v>
      </c>
      <c r="D385" s="2" t="s">
        <v>64</v>
      </c>
      <c r="E385" s="2" t="s">
        <v>1904</v>
      </c>
      <c r="F385" s="2" t="s">
        <v>1881</v>
      </c>
      <c r="G385" s="2" t="s">
        <v>1882</v>
      </c>
      <c r="H385" s="2" t="s">
        <v>50</v>
      </c>
      <c r="I385" s="2" t="s">
        <v>43</v>
      </c>
      <c r="J385" s="2" t="s">
        <v>23</v>
      </c>
      <c r="K385" s="2" t="s">
        <v>459</v>
      </c>
      <c r="L385" s="2" t="s">
        <v>32</v>
      </c>
      <c r="M385" s="2" t="s">
        <v>33</v>
      </c>
      <c r="N385" s="2" t="s">
        <v>27</v>
      </c>
      <c r="O385" s="1">
        <v>41892</v>
      </c>
      <c r="P385" s="3">
        <v>2.98</v>
      </c>
      <c r="Q385" s="3">
        <v>5.84</v>
      </c>
      <c r="R385" s="3">
        <f t="shared" si="31"/>
        <v>2.86</v>
      </c>
      <c r="S385" s="2">
        <v>22</v>
      </c>
      <c r="T385" s="3">
        <f t="shared" si="32"/>
        <v>128.47999999999999</v>
      </c>
      <c r="U385" s="4">
        <v>0.1</v>
      </c>
      <c r="V385" s="6">
        <f t="shared" si="33"/>
        <v>12.847999999999999</v>
      </c>
      <c r="W385" s="6">
        <f t="shared" si="34"/>
        <v>115.63199999999999</v>
      </c>
      <c r="X385" s="3">
        <v>0.83</v>
      </c>
      <c r="Y385" s="5">
        <f t="shared" si="35"/>
        <v>116.46199999999999</v>
      </c>
    </row>
    <row r="386" spans="1:25" x14ac:dyDescent="0.2">
      <c r="A386" t="s">
        <v>1295</v>
      </c>
      <c r="B386" s="1">
        <v>41886</v>
      </c>
      <c r="C386" s="2" t="str">
        <f t="shared" si="30"/>
        <v>2014</v>
      </c>
      <c r="D386" s="2" t="s">
        <v>719</v>
      </c>
      <c r="E386" s="2" t="s">
        <v>65</v>
      </c>
      <c r="F386" s="2" t="s">
        <v>36</v>
      </c>
      <c r="G386" s="2" t="s">
        <v>37</v>
      </c>
      <c r="H386" s="2" t="s">
        <v>50</v>
      </c>
      <c r="I386" s="2" t="s">
        <v>43</v>
      </c>
      <c r="J386" s="2" t="s">
        <v>52</v>
      </c>
      <c r="K386" s="2" t="s">
        <v>232</v>
      </c>
      <c r="L386" s="2" t="s">
        <v>32</v>
      </c>
      <c r="M386" s="2" t="s">
        <v>58</v>
      </c>
      <c r="N386" s="2" t="s">
        <v>27</v>
      </c>
      <c r="O386" s="1">
        <v>41887</v>
      </c>
      <c r="P386" s="3">
        <v>2.5</v>
      </c>
      <c r="Q386" s="3">
        <v>5.68</v>
      </c>
      <c r="R386" s="3">
        <f t="shared" si="31"/>
        <v>3.1799999999999997</v>
      </c>
      <c r="S386" s="2">
        <v>23</v>
      </c>
      <c r="T386" s="3">
        <f t="shared" si="32"/>
        <v>130.63999999999999</v>
      </c>
      <c r="U386" s="4">
        <v>0.01</v>
      </c>
      <c r="V386" s="6">
        <f t="shared" si="33"/>
        <v>1.3063999999999998</v>
      </c>
      <c r="W386" s="6">
        <f t="shared" si="34"/>
        <v>129.33359999999999</v>
      </c>
      <c r="X386" s="3">
        <v>3.6</v>
      </c>
      <c r="Y386" s="5">
        <f t="shared" si="35"/>
        <v>132.93359999999998</v>
      </c>
    </row>
    <row r="387" spans="1:25" x14ac:dyDescent="0.2">
      <c r="A387" t="s">
        <v>890</v>
      </c>
      <c r="B387" s="1">
        <v>41889</v>
      </c>
      <c r="C387" s="2" t="str">
        <f t="shared" si="30"/>
        <v>2014</v>
      </c>
      <c r="D387" s="2" t="s">
        <v>706</v>
      </c>
      <c r="E387" s="2" t="s">
        <v>1888</v>
      </c>
      <c r="F387" s="2" t="s">
        <v>1881</v>
      </c>
      <c r="G387" s="2" t="s">
        <v>1882</v>
      </c>
      <c r="H387" s="2" t="s">
        <v>21</v>
      </c>
      <c r="I387" s="2" t="s">
        <v>75</v>
      </c>
      <c r="J387" s="2" t="s">
        <v>52</v>
      </c>
      <c r="K387" s="2" t="s">
        <v>120</v>
      </c>
      <c r="L387" s="2" t="s">
        <v>32</v>
      </c>
      <c r="M387" s="2" t="s">
        <v>26</v>
      </c>
      <c r="N387" s="2" t="s">
        <v>27</v>
      </c>
      <c r="O387" s="1">
        <v>41889</v>
      </c>
      <c r="P387" s="3">
        <v>1.18</v>
      </c>
      <c r="Q387" s="3">
        <v>1.88</v>
      </c>
      <c r="R387" s="3">
        <f t="shared" si="31"/>
        <v>0.7</v>
      </c>
      <c r="S387" s="2">
        <v>47</v>
      </c>
      <c r="T387" s="3">
        <f t="shared" si="32"/>
        <v>88.36</v>
      </c>
      <c r="U387" s="4">
        <v>0.06</v>
      </c>
      <c r="V387" s="6">
        <f t="shared" si="33"/>
        <v>5.3015999999999996</v>
      </c>
      <c r="W387" s="6">
        <f t="shared" si="34"/>
        <v>83.058400000000006</v>
      </c>
      <c r="X387" s="3">
        <v>1.49</v>
      </c>
      <c r="Y387" s="5">
        <f t="shared" si="35"/>
        <v>84.548400000000001</v>
      </c>
    </row>
    <row r="388" spans="1:25" x14ac:dyDescent="0.2">
      <c r="A388" t="s">
        <v>891</v>
      </c>
      <c r="B388" s="1">
        <v>41889</v>
      </c>
      <c r="C388" s="2" t="str">
        <f t="shared" si="30"/>
        <v>2014</v>
      </c>
      <c r="D388" s="2" t="s">
        <v>706</v>
      </c>
      <c r="E388" s="2" t="s">
        <v>1888</v>
      </c>
      <c r="F388" s="2" t="s">
        <v>1881</v>
      </c>
      <c r="G388" s="2" t="s">
        <v>1882</v>
      </c>
      <c r="H388" s="2" t="s">
        <v>21</v>
      </c>
      <c r="I388" s="2" t="s">
        <v>75</v>
      </c>
      <c r="J388" s="2" t="s">
        <v>52</v>
      </c>
      <c r="K388" s="2" t="s">
        <v>377</v>
      </c>
      <c r="L388" s="2" t="s">
        <v>32</v>
      </c>
      <c r="M388" s="2" t="s">
        <v>33</v>
      </c>
      <c r="N388" s="2" t="s">
        <v>27</v>
      </c>
      <c r="O388" s="1">
        <v>41891</v>
      </c>
      <c r="P388" s="3">
        <v>1.31</v>
      </c>
      <c r="Q388" s="3">
        <v>2.84</v>
      </c>
      <c r="R388" s="3">
        <f t="shared" si="31"/>
        <v>1.5299999999999998</v>
      </c>
      <c r="S388" s="2">
        <v>39</v>
      </c>
      <c r="T388" s="3">
        <f t="shared" si="32"/>
        <v>110.75999999999999</v>
      </c>
      <c r="U388" s="4">
        <v>0.08</v>
      </c>
      <c r="V388" s="6">
        <f t="shared" si="33"/>
        <v>8.8607999999999993</v>
      </c>
      <c r="W388" s="6">
        <f t="shared" si="34"/>
        <v>101.89919999999999</v>
      </c>
      <c r="X388" s="3">
        <v>0.93</v>
      </c>
      <c r="Y388" s="5">
        <f t="shared" si="35"/>
        <v>102.8292</v>
      </c>
    </row>
    <row r="389" spans="1:25" x14ac:dyDescent="0.2">
      <c r="A389" t="s">
        <v>1296</v>
      </c>
      <c r="B389" s="1">
        <v>41892</v>
      </c>
      <c r="C389" s="2" t="str">
        <f t="shared" si="30"/>
        <v>2014</v>
      </c>
      <c r="D389" s="2" t="s">
        <v>718</v>
      </c>
      <c r="E389" s="2" t="s">
        <v>1900</v>
      </c>
      <c r="F389" s="2" t="s">
        <v>1881</v>
      </c>
      <c r="G389" s="2" t="s">
        <v>1882</v>
      </c>
      <c r="H389" s="2" t="s">
        <v>50</v>
      </c>
      <c r="I389" s="2" t="s">
        <v>43</v>
      </c>
      <c r="J389" s="2" t="s">
        <v>52</v>
      </c>
      <c r="K389" s="2" t="s">
        <v>583</v>
      </c>
      <c r="L389" s="2" t="s">
        <v>150</v>
      </c>
      <c r="M389" s="2" t="s">
        <v>58</v>
      </c>
      <c r="N389" s="2" t="s">
        <v>27</v>
      </c>
      <c r="O389" s="1">
        <v>41894</v>
      </c>
      <c r="P389" s="3">
        <v>11.38</v>
      </c>
      <c r="Q389" s="3">
        <v>18.649999999999999</v>
      </c>
      <c r="R389" s="3">
        <f t="shared" si="31"/>
        <v>7.2699999999999978</v>
      </c>
      <c r="S389" s="2">
        <v>7</v>
      </c>
      <c r="T389" s="3">
        <f t="shared" si="32"/>
        <v>130.54999999999998</v>
      </c>
      <c r="U389" s="4">
        <v>0.01</v>
      </c>
      <c r="V389" s="6">
        <f t="shared" si="33"/>
        <v>1.3054999999999999</v>
      </c>
      <c r="W389" s="6">
        <f t="shared" si="34"/>
        <v>129.24449999999999</v>
      </c>
      <c r="X389" s="3">
        <v>3.77</v>
      </c>
      <c r="Y389" s="5">
        <f t="shared" si="35"/>
        <v>133.0145</v>
      </c>
    </row>
    <row r="390" spans="1:25" x14ac:dyDescent="0.2">
      <c r="A390" t="s">
        <v>1297</v>
      </c>
      <c r="B390" s="1">
        <v>41893</v>
      </c>
      <c r="C390" s="2" t="str">
        <f t="shared" ref="C390:C453" si="36">TEXT(B390,"yyyy")</f>
        <v>2014</v>
      </c>
      <c r="D390" s="2" t="s">
        <v>633</v>
      </c>
      <c r="E390" s="2" t="s">
        <v>199</v>
      </c>
      <c r="F390" s="2" t="s">
        <v>19</v>
      </c>
      <c r="G390" s="2" t="s">
        <v>20</v>
      </c>
      <c r="H390" s="2" t="s">
        <v>21</v>
      </c>
      <c r="I390" s="2" t="s">
        <v>92</v>
      </c>
      <c r="J390" s="2" t="s">
        <v>66</v>
      </c>
      <c r="K390" s="2" t="s">
        <v>31</v>
      </c>
      <c r="L390" s="2" t="s">
        <v>32</v>
      </c>
      <c r="M390" s="2" t="s">
        <v>33</v>
      </c>
      <c r="N390" s="2" t="s">
        <v>27</v>
      </c>
      <c r="O390" s="1">
        <v>41895</v>
      </c>
      <c r="P390" s="3">
        <v>0.93</v>
      </c>
      <c r="Q390" s="3">
        <v>1.48</v>
      </c>
      <c r="R390" s="3">
        <f t="shared" ref="R390:R453" si="37">Q390-P390</f>
        <v>0.54999999999999993</v>
      </c>
      <c r="S390" s="2">
        <v>15</v>
      </c>
      <c r="T390" s="3">
        <f t="shared" ref="T390:T453" si="38">Q390*S390</f>
        <v>22.2</v>
      </c>
      <c r="U390" s="4">
        <v>0.03</v>
      </c>
      <c r="V390" s="6">
        <f t="shared" ref="V390:V453" si="39">T390*U390</f>
        <v>0.66599999999999993</v>
      </c>
      <c r="W390" s="6">
        <f t="shared" ref="W390:W453" si="40">T390-V390</f>
        <v>21.533999999999999</v>
      </c>
      <c r="X390" s="3">
        <v>0.7</v>
      </c>
      <c r="Y390" s="5">
        <f t="shared" ref="Y390:Y453" si="41">W390+X390</f>
        <v>22.233999999999998</v>
      </c>
    </row>
    <row r="391" spans="1:25" x14ac:dyDescent="0.2">
      <c r="A391" t="s">
        <v>1298</v>
      </c>
      <c r="B391" s="1">
        <v>41894</v>
      </c>
      <c r="C391" s="2" t="str">
        <f t="shared" si="36"/>
        <v>2014</v>
      </c>
      <c r="D391" s="2" t="s">
        <v>717</v>
      </c>
      <c r="E391" s="2" t="s">
        <v>266</v>
      </c>
      <c r="F391" s="2" t="s">
        <v>36</v>
      </c>
      <c r="G391" s="2" t="s">
        <v>37</v>
      </c>
      <c r="H391" s="2" t="s">
        <v>50</v>
      </c>
      <c r="I391" s="2" t="s">
        <v>153</v>
      </c>
      <c r="J391" s="2" t="s">
        <v>66</v>
      </c>
      <c r="K391" s="2" t="s">
        <v>220</v>
      </c>
      <c r="L391" s="2" t="s">
        <v>32</v>
      </c>
      <c r="M391" s="2" t="s">
        <v>33</v>
      </c>
      <c r="N391" s="2" t="s">
        <v>27</v>
      </c>
      <c r="O391" s="1">
        <v>41895</v>
      </c>
      <c r="P391" s="3">
        <v>1.0900000000000001</v>
      </c>
      <c r="Q391" s="3">
        <v>1.82</v>
      </c>
      <c r="R391" s="3">
        <f t="shared" si="37"/>
        <v>0.73</v>
      </c>
      <c r="S391" s="2">
        <v>36</v>
      </c>
      <c r="T391" s="3">
        <f t="shared" si="38"/>
        <v>65.52</v>
      </c>
      <c r="U391" s="4">
        <v>0.09</v>
      </c>
      <c r="V391" s="6">
        <f t="shared" si="39"/>
        <v>5.8967999999999998</v>
      </c>
      <c r="W391" s="6">
        <f t="shared" si="40"/>
        <v>59.623199999999997</v>
      </c>
      <c r="X391" s="3">
        <v>1</v>
      </c>
      <c r="Y391" s="5">
        <f t="shared" si="41"/>
        <v>60.623199999999997</v>
      </c>
    </row>
    <row r="392" spans="1:25" x14ac:dyDescent="0.2">
      <c r="A392" t="s">
        <v>1299</v>
      </c>
      <c r="B392" s="1">
        <v>41894</v>
      </c>
      <c r="C392" s="2" t="str">
        <f t="shared" si="36"/>
        <v>2014</v>
      </c>
      <c r="D392" s="2" t="s">
        <v>464</v>
      </c>
      <c r="E392" s="2" t="s">
        <v>465</v>
      </c>
      <c r="F392" s="2" t="s">
        <v>36</v>
      </c>
      <c r="G392" s="2" t="s">
        <v>37</v>
      </c>
      <c r="H392" s="2" t="s">
        <v>29</v>
      </c>
      <c r="I392" s="2" t="s">
        <v>79</v>
      </c>
      <c r="J392" s="2" t="s">
        <v>23</v>
      </c>
      <c r="K392" s="2" t="s">
        <v>167</v>
      </c>
      <c r="L392" s="2" t="s">
        <v>32</v>
      </c>
      <c r="M392" s="2" t="s">
        <v>26</v>
      </c>
      <c r="N392" s="2" t="s">
        <v>27</v>
      </c>
      <c r="O392" s="1">
        <v>41901</v>
      </c>
      <c r="P392" s="3">
        <v>14.95</v>
      </c>
      <c r="Q392" s="3">
        <v>34.76</v>
      </c>
      <c r="R392" s="3">
        <f t="shared" si="37"/>
        <v>19.809999999999999</v>
      </c>
      <c r="S392" s="2">
        <v>34</v>
      </c>
      <c r="T392" s="3">
        <f t="shared" si="38"/>
        <v>1181.8399999999999</v>
      </c>
      <c r="U392" s="4">
        <v>0.03</v>
      </c>
      <c r="V392" s="6">
        <f t="shared" si="39"/>
        <v>35.455199999999998</v>
      </c>
      <c r="W392" s="6">
        <f t="shared" si="40"/>
        <v>1146.3847999999998</v>
      </c>
      <c r="X392" s="3">
        <v>8.2200000000000006</v>
      </c>
      <c r="Y392" s="5">
        <f t="shared" si="41"/>
        <v>1154.6047999999998</v>
      </c>
    </row>
    <row r="393" spans="1:25" x14ac:dyDescent="0.2">
      <c r="A393" t="s">
        <v>1300</v>
      </c>
      <c r="B393" s="1">
        <v>41895</v>
      </c>
      <c r="C393" s="2" t="str">
        <f t="shared" si="36"/>
        <v>2014</v>
      </c>
      <c r="D393" s="2" t="s">
        <v>307</v>
      </c>
      <c r="E393" s="2" t="s">
        <v>138</v>
      </c>
      <c r="F393" s="2" t="s">
        <v>36</v>
      </c>
      <c r="G393" s="2" t="s">
        <v>37</v>
      </c>
      <c r="H393" s="2" t="s">
        <v>42</v>
      </c>
      <c r="I393" s="2" t="s">
        <v>51</v>
      </c>
      <c r="J393" s="2" t="s">
        <v>23</v>
      </c>
      <c r="K393" s="2" t="s">
        <v>330</v>
      </c>
      <c r="L393" s="2" t="s">
        <v>32</v>
      </c>
      <c r="M393" s="2" t="s">
        <v>26</v>
      </c>
      <c r="N393" s="2" t="s">
        <v>27</v>
      </c>
      <c r="O393" s="1">
        <v>41899</v>
      </c>
      <c r="P393" s="3">
        <v>4.53</v>
      </c>
      <c r="Q393" s="3">
        <v>7.3</v>
      </c>
      <c r="R393" s="3">
        <f t="shared" si="37"/>
        <v>2.7699999999999996</v>
      </c>
      <c r="S393" s="2">
        <v>26</v>
      </c>
      <c r="T393" s="3">
        <f t="shared" si="38"/>
        <v>189.79999999999998</v>
      </c>
      <c r="U393" s="4">
        <v>0.03</v>
      </c>
      <c r="V393" s="6">
        <f t="shared" si="39"/>
        <v>5.6939999999999991</v>
      </c>
      <c r="W393" s="6">
        <f t="shared" si="40"/>
        <v>184.10599999999999</v>
      </c>
      <c r="X393" s="3">
        <v>7.72</v>
      </c>
      <c r="Y393" s="5">
        <f t="shared" si="41"/>
        <v>191.82599999999999</v>
      </c>
    </row>
    <row r="394" spans="1:25" x14ac:dyDescent="0.2">
      <c r="A394" t="s">
        <v>1301</v>
      </c>
      <c r="B394" s="1">
        <v>41899</v>
      </c>
      <c r="C394" s="2" t="str">
        <f t="shared" si="36"/>
        <v>2014</v>
      </c>
      <c r="D394" s="2" t="s">
        <v>104</v>
      </c>
      <c r="E394" s="2" t="s">
        <v>1927</v>
      </c>
      <c r="F394" s="2" t="s">
        <v>36</v>
      </c>
      <c r="G394" s="2" t="s">
        <v>37</v>
      </c>
      <c r="H394" s="2" t="s">
        <v>50</v>
      </c>
      <c r="I394" s="2" t="s">
        <v>56</v>
      </c>
      <c r="J394" s="2" t="s">
        <v>66</v>
      </c>
      <c r="K394" s="2" t="s">
        <v>103</v>
      </c>
      <c r="L394" s="2" t="s">
        <v>32</v>
      </c>
      <c r="M394" s="2" t="s">
        <v>26</v>
      </c>
      <c r="N394" s="2" t="s">
        <v>27</v>
      </c>
      <c r="O394" s="1">
        <v>41900</v>
      </c>
      <c r="P394" s="3">
        <v>2.2599999999999998</v>
      </c>
      <c r="Q394" s="3">
        <v>3.58</v>
      </c>
      <c r="R394" s="3">
        <f t="shared" si="37"/>
        <v>1.3200000000000003</v>
      </c>
      <c r="S394" s="2">
        <v>19</v>
      </c>
      <c r="T394" s="3">
        <f t="shared" si="38"/>
        <v>68.02</v>
      </c>
      <c r="U394" s="4">
        <v>0</v>
      </c>
      <c r="V394" s="6">
        <f t="shared" si="39"/>
        <v>0</v>
      </c>
      <c r="W394" s="6">
        <f t="shared" si="40"/>
        <v>68.02</v>
      </c>
      <c r="X394" s="3">
        <v>5.47</v>
      </c>
      <c r="Y394" s="5">
        <f t="shared" si="41"/>
        <v>73.489999999999995</v>
      </c>
    </row>
    <row r="395" spans="1:25" x14ac:dyDescent="0.2">
      <c r="A395" t="s">
        <v>892</v>
      </c>
      <c r="B395" s="1">
        <v>41903</v>
      </c>
      <c r="C395" s="2" t="str">
        <f t="shared" si="36"/>
        <v>2014</v>
      </c>
      <c r="D395" s="2" t="s">
        <v>402</v>
      </c>
      <c r="E395" s="2" t="s">
        <v>202</v>
      </c>
      <c r="F395" s="2" t="s">
        <v>19</v>
      </c>
      <c r="G395" s="2" t="s">
        <v>20</v>
      </c>
      <c r="H395" s="2" t="s">
        <v>29</v>
      </c>
      <c r="I395" s="2" t="s">
        <v>22</v>
      </c>
      <c r="J395" s="2" t="s">
        <v>30</v>
      </c>
      <c r="K395" s="2" t="s">
        <v>319</v>
      </c>
      <c r="L395" s="2" t="s">
        <v>25</v>
      </c>
      <c r="M395" s="2" t="s">
        <v>26</v>
      </c>
      <c r="N395" s="2" t="s">
        <v>27</v>
      </c>
      <c r="O395" s="1">
        <v>41905</v>
      </c>
      <c r="P395" s="3">
        <v>19.78</v>
      </c>
      <c r="Q395" s="3">
        <v>45.99</v>
      </c>
      <c r="R395" s="3">
        <f t="shared" si="37"/>
        <v>26.21</v>
      </c>
      <c r="S395" s="2">
        <v>23</v>
      </c>
      <c r="T395" s="3">
        <f t="shared" si="38"/>
        <v>1057.77</v>
      </c>
      <c r="U395" s="4">
        <v>0.1</v>
      </c>
      <c r="V395" s="6">
        <f t="shared" si="39"/>
        <v>105.777</v>
      </c>
      <c r="W395" s="6">
        <f t="shared" si="40"/>
        <v>951.99299999999994</v>
      </c>
      <c r="X395" s="3">
        <v>4.99</v>
      </c>
      <c r="Y395" s="5">
        <f t="shared" si="41"/>
        <v>956.98299999999995</v>
      </c>
    </row>
    <row r="396" spans="1:25" x14ac:dyDescent="0.2">
      <c r="A396" t="s">
        <v>893</v>
      </c>
      <c r="B396" s="1">
        <v>41903</v>
      </c>
      <c r="C396" s="2" t="str">
        <f t="shared" si="36"/>
        <v>2014</v>
      </c>
      <c r="D396" s="2" t="s">
        <v>402</v>
      </c>
      <c r="E396" s="2" t="s">
        <v>202</v>
      </c>
      <c r="F396" s="2" t="s">
        <v>19</v>
      </c>
      <c r="G396" s="2" t="s">
        <v>20</v>
      </c>
      <c r="H396" s="2" t="s">
        <v>29</v>
      </c>
      <c r="I396" s="2" t="s">
        <v>22</v>
      </c>
      <c r="J396" s="2" t="s">
        <v>30</v>
      </c>
      <c r="K396" s="2" t="s">
        <v>31</v>
      </c>
      <c r="L396" s="2" t="s">
        <v>32</v>
      </c>
      <c r="M396" s="2" t="s">
        <v>33</v>
      </c>
      <c r="N396" s="2" t="s">
        <v>27</v>
      </c>
      <c r="O396" s="1">
        <v>41904</v>
      </c>
      <c r="P396" s="3">
        <v>0.93</v>
      </c>
      <c r="Q396" s="3">
        <v>1.48</v>
      </c>
      <c r="R396" s="3">
        <f t="shared" si="37"/>
        <v>0.54999999999999993</v>
      </c>
      <c r="S396" s="2">
        <v>33</v>
      </c>
      <c r="T396" s="3">
        <f t="shared" si="38"/>
        <v>48.839999999999996</v>
      </c>
      <c r="U396" s="4">
        <v>0.06</v>
      </c>
      <c r="V396" s="6">
        <f t="shared" si="39"/>
        <v>2.9303999999999997</v>
      </c>
      <c r="W396" s="6">
        <f t="shared" si="40"/>
        <v>45.909599999999998</v>
      </c>
      <c r="X396" s="3">
        <v>0.7</v>
      </c>
      <c r="Y396" s="5">
        <f t="shared" si="41"/>
        <v>46.6096</v>
      </c>
    </row>
    <row r="397" spans="1:25" x14ac:dyDescent="0.2">
      <c r="A397" t="s">
        <v>1302</v>
      </c>
      <c r="B397" s="1">
        <v>41905</v>
      </c>
      <c r="C397" s="2" t="str">
        <f t="shared" si="36"/>
        <v>2014</v>
      </c>
      <c r="D397" s="2" t="s">
        <v>603</v>
      </c>
      <c r="E397" s="2" t="s">
        <v>276</v>
      </c>
      <c r="F397" s="2" t="s">
        <v>19</v>
      </c>
      <c r="G397" s="2" t="s">
        <v>20</v>
      </c>
      <c r="H397" s="2" t="s">
        <v>50</v>
      </c>
      <c r="I397" s="2" t="s">
        <v>22</v>
      </c>
      <c r="J397" s="2" t="s">
        <v>44</v>
      </c>
      <c r="K397" s="2" t="s">
        <v>491</v>
      </c>
      <c r="L397" s="2" t="s">
        <v>32</v>
      </c>
      <c r="M397" s="2" t="s">
        <v>33</v>
      </c>
      <c r="N397" s="2" t="s">
        <v>89</v>
      </c>
      <c r="O397" s="1">
        <v>41907</v>
      </c>
      <c r="P397" s="3">
        <v>4.37</v>
      </c>
      <c r="Q397" s="3">
        <v>9.11</v>
      </c>
      <c r="R397" s="3">
        <f t="shared" si="37"/>
        <v>4.7399999999999993</v>
      </c>
      <c r="S397" s="2">
        <v>48</v>
      </c>
      <c r="T397" s="3">
        <f t="shared" si="38"/>
        <v>437.28</v>
      </c>
      <c r="U397" s="4">
        <v>0.06</v>
      </c>
      <c r="V397" s="6">
        <f t="shared" si="39"/>
        <v>26.236799999999999</v>
      </c>
      <c r="W397" s="6">
        <f t="shared" si="40"/>
        <v>411.04319999999996</v>
      </c>
      <c r="X397" s="3">
        <v>2.25</v>
      </c>
      <c r="Y397" s="5">
        <f t="shared" si="41"/>
        <v>413.29319999999996</v>
      </c>
    </row>
    <row r="398" spans="1:25" x14ac:dyDescent="0.2">
      <c r="A398" t="s">
        <v>1303</v>
      </c>
      <c r="B398" s="1">
        <v>41909</v>
      </c>
      <c r="C398" s="2" t="str">
        <f t="shared" si="36"/>
        <v>2014</v>
      </c>
      <c r="D398" s="2" t="s">
        <v>48</v>
      </c>
      <c r="E398" s="2" t="s">
        <v>1892</v>
      </c>
      <c r="F398" s="2" t="s">
        <v>1881</v>
      </c>
      <c r="G398" s="2" t="s">
        <v>1882</v>
      </c>
      <c r="H398" s="2" t="s">
        <v>50</v>
      </c>
      <c r="I398" s="2" t="s">
        <v>51</v>
      </c>
      <c r="J398" s="2" t="s">
        <v>23</v>
      </c>
      <c r="K398" s="2" t="s">
        <v>139</v>
      </c>
      <c r="L398" s="2" t="s">
        <v>32</v>
      </c>
      <c r="M398" s="2" t="s">
        <v>58</v>
      </c>
      <c r="N398" s="2" t="s">
        <v>27</v>
      </c>
      <c r="O398" s="1">
        <v>41914</v>
      </c>
      <c r="P398" s="3">
        <v>0.94</v>
      </c>
      <c r="Q398" s="3">
        <v>2.08</v>
      </c>
      <c r="R398" s="3">
        <f t="shared" si="37"/>
        <v>1.1400000000000001</v>
      </c>
      <c r="S398" s="2">
        <v>36</v>
      </c>
      <c r="T398" s="3">
        <f t="shared" si="38"/>
        <v>74.88</v>
      </c>
      <c r="U398" s="4">
        <v>0.01</v>
      </c>
      <c r="V398" s="6">
        <f t="shared" si="39"/>
        <v>0.74880000000000002</v>
      </c>
      <c r="W398" s="6">
        <f t="shared" si="40"/>
        <v>74.131199999999993</v>
      </c>
      <c r="X398" s="3">
        <v>2.56</v>
      </c>
      <c r="Y398" s="5">
        <f t="shared" si="41"/>
        <v>76.691199999999995</v>
      </c>
    </row>
    <row r="399" spans="1:25" x14ac:dyDescent="0.2">
      <c r="A399" t="s">
        <v>1304</v>
      </c>
      <c r="B399" s="1">
        <v>41910</v>
      </c>
      <c r="C399" s="2" t="str">
        <f t="shared" si="36"/>
        <v>2014</v>
      </c>
      <c r="D399" s="2" t="s">
        <v>716</v>
      </c>
      <c r="E399" s="2" t="s">
        <v>238</v>
      </c>
      <c r="F399" s="2" t="s">
        <v>36</v>
      </c>
      <c r="G399" s="2" t="s">
        <v>37</v>
      </c>
      <c r="H399" s="2" t="s">
        <v>50</v>
      </c>
      <c r="I399" s="2" t="s">
        <v>96</v>
      </c>
      <c r="J399" s="2" t="s">
        <v>44</v>
      </c>
      <c r="K399" s="2" t="s">
        <v>532</v>
      </c>
      <c r="L399" s="2" t="s">
        <v>32</v>
      </c>
      <c r="M399" s="2" t="s">
        <v>33</v>
      </c>
      <c r="N399" s="2" t="s">
        <v>27</v>
      </c>
      <c r="O399" s="1">
        <v>41911</v>
      </c>
      <c r="P399" s="3">
        <v>1.53</v>
      </c>
      <c r="Q399" s="3">
        <v>2.4700000000000002</v>
      </c>
      <c r="R399" s="3">
        <f t="shared" si="37"/>
        <v>0.94000000000000017</v>
      </c>
      <c r="S399" s="2">
        <v>49</v>
      </c>
      <c r="T399" s="3">
        <f t="shared" si="38"/>
        <v>121.03000000000002</v>
      </c>
      <c r="U399" s="4">
        <v>0.03</v>
      </c>
      <c r="V399" s="6">
        <f t="shared" si="39"/>
        <v>3.6309000000000005</v>
      </c>
      <c r="W399" s="6">
        <f t="shared" si="40"/>
        <v>117.39910000000002</v>
      </c>
      <c r="X399" s="3">
        <v>1.02</v>
      </c>
      <c r="Y399" s="5">
        <f t="shared" si="41"/>
        <v>118.41910000000001</v>
      </c>
    </row>
    <row r="400" spans="1:25" x14ac:dyDescent="0.2">
      <c r="A400" t="s">
        <v>1305</v>
      </c>
      <c r="B400" s="1">
        <v>41910</v>
      </c>
      <c r="C400" s="2" t="str">
        <f t="shared" si="36"/>
        <v>2014</v>
      </c>
      <c r="D400" s="2" t="s">
        <v>302</v>
      </c>
      <c r="E400" s="2" t="s">
        <v>115</v>
      </c>
      <c r="F400" s="2" t="s">
        <v>36</v>
      </c>
      <c r="G400" s="2" t="s">
        <v>37</v>
      </c>
      <c r="H400" s="2" t="s">
        <v>21</v>
      </c>
      <c r="I400" s="2" t="s">
        <v>51</v>
      </c>
      <c r="J400" s="2" t="s">
        <v>44</v>
      </c>
      <c r="K400" s="2" t="s">
        <v>488</v>
      </c>
      <c r="L400" s="2" t="s">
        <v>32</v>
      </c>
      <c r="M400" s="2" t="s">
        <v>33</v>
      </c>
      <c r="N400" s="2" t="s">
        <v>27</v>
      </c>
      <c r="O400" s="1">
        <v>41911</v>
      </c>
      <c r="P400" s="3">
        <v>3.47</v>
      </c>
      <c r="Q400" s="3">
        <v>6.68</v>
      </c>
      <c r="R400" s="3">
        <f t="shared" si="37"/>
        <v>3.2099999999999995</v>
      </c>
      <c r="S400" s="2">
        <v>16</v>
      </c>
      <c r="T400" s="3">
        <f t="shared" si="38"/>
        <v>106.88</v>
      </c>
      <c r="U400" s="4">
        <v>0.1</v>
      </c>
      <c r="V400" s="6">
        <f t="shared" si="39"/>
        <v>10.688000000000001</v>
      </c>
      <c r="W400" s="6">
        <f t="shared" si="40"/>
        <v>96.191999999999993</v>
      </c>
      <c r="X400" s="3">
        <v>1.5</v>
      </c>
      <c r="Y400" s="5">
        <f t="shared" si="41"/>
        <v>97.691999999999993</v>
      </c>
    </row>
    <row r="401" spans="1:25" x14ac:dyDescent="0.2">
      <c r="A401" t="s">
        <v>1306</v>
      </c>
      <c r="B401" s="1">
        <v>41911</v>
      </c>
      <c r="C401" s="2" t="str">
        <f t="shared" si="36"/>
        <v>2014</v>
      </c>
      <c r="D401" s="2" t="s">
        <v>143</v>
      </c>
      <c r="E401" s="2" t="s">
        <v>1886</v>
      </c>
      <c r="F401" s="2" t="s">
        <v>1881</v>
      </c>
      <c r="G401" s="2" t="s">
        <v>1882</v>
      </c>
      <c r="H401" s="2" t="s">
        <v>42</v>
      </c>
      <c r="I401" s="2" t="s">
        <v>51</v>
      </c>
      <c r="J401" s="2" t="s">
        <v>23</v>
      </c>
      <c r="K401" s="2" t="s">
        <v>97</v>
      </c>
      <c r="L401" s="2" t="s">
        <v>32</v>
      </c>
      <c r="M401" s="2" t="s">
        <v>33</v>
      </c>
      <c r="N401" s="2" t="s">
        <v>27</v>
      </c>
      <c r="O401" s="1">
        <v>41911</v>
      </c>
      <c r="P401" s="3">
        <v>0.71</v>
      </c>
      <c r="Q401" s="3">
        <v>1.1399999999999999</v>
      </c>
      <c r="R401" s="3">
        <f t="shared" si="37"/>
        <v>0.42999999999999994</v>
      </c>
      <c r="S401" s="2">
        <v>8</v>
      </c>
      <c r="T401" s="3">
        <f t="shared" si="38"/>
        <v>9.1199999999999992</v>
      </c>
      <c r="U401" s="4">
        <v>0</v>
      </c>
      <c r="V401" s="6">
        <f t="shared" si="39"/>
        <v>0</v>
      </c>
      <c r="W401" s="6">
        <f t="shared" si="40"/>
        <v>9.1199999999999992</v>
      </c>
      <c r="X401" s="3">
        <v>0.7</v>
      </c>
      <c r="Y401" s="5">
        <f t="shared" si="41"/>
        <v>9.8199999999999985</v>
      </c>
    </row>
    <row r="402" spans="1:25" x14ac:dyDescent="0.2">
      <c r="A402" t="s">
        <v>1307</v>
      </c>
      <c r="B402" s="1">
        <v>41913</v>
      </c>
      <c r="C402" s="2" t="str">
        <f t="shared" si="36"/>
        <v>2014</v>
      </c>
      <c r="D402" s="2" t="s">
        <v>250</v>
      </c>
      <c r="E402" s="2" t="s">
        <v>251</v>
      </c>
      <c r="F402" s="2" t="s">
        <v>19</v>
      </c>
      <c r="G402" s="2" t="s">
        <v>20</v>
      </c>
      <c r="H402" s="2" t="s">
        <v>21</v>
      </c>
      <c r="I402" s="2" t="s">
        <v>92</v>
      </c>
      <c r="J402" s="2" t="s">
        <v>44</v>
      </c>
      <c r="K402" s="2" t="s">
        <v>117</v>
      </c>
      <c r="L402" s="2" t="s">
        <v>25</v>
      </c>
      <c r="M402" s="2" t="s">
        <v>26</v>
      </c>
      <c r="N402" s="2" t="s">
        <v>27</v>
      </c>
      <c r="O402" s="1">
        <v>41915</v>
      </c>
      <c r="P402" s="3">
        <v>39.64</v>
      </c>
      <c r="Q402" s="3">
        <v>152.47999999999999</v>
      </c>
      <c r="R402" s="3">
        <f t="shared" si="37"/>
        <v>112.83999999999999</v>
      </c>
      <c r="S402" s="2">
        <v>48</v>
      </c>
      <c r="T402" s="3">
        <f t="shared" si="38"/>
        <v>7319.0399999999991</v>
      </c>
      <c r="U402" s="4">
        <v>0.04</v>
      </c>
      <c r="V402" s="6">
        <f t="shared" si="39"/>
        <v>292.76159999999999</v>
      </c>
      <c r="W402" s="6">
        <f t="shared" si="40"/>
        <v>7026.2783999999992</v>
      </c>
      <c r="X402" s="3">
        <v>6.5</v>
      </c>
      <c r="Y402" s="5">
        <f t="shared" si="41"/>
        <v>7032.7783999999992</v>
      </c>
    </row>
    <row r="403" spans="1:25" x14ac:dyDescent="0.2">
      <c r="A403" t="s">
        <v>1308</v>
      </c>
      <c r="B403" s="1">
        <v>41913</v>
      </c>
      <c r="C403" s="2" t="str">
        <f t="shared" si="36"/>
        <v>2014</v>
      </c>
      <c r="D403" s="2" t="s">
        <v>703</v>
      </c>
      <c r="E403" s="2" t="s">
        <v>185</v>
      </c>
      <c r="F403" s="2" t="s">
        <v>36</v>
      </c>
      <c r="G403" s="2" t="s">
        <v>37</v>
      </c>
      <c r="H403" s="2" t="s">
        <v>50</v>
      </c>
      <c r="I403" s="2" t="s">
        <v>153</v>
      </c>
      <c r="J403" s="2" t="s">
        <v>52</v>
      </c>
      <c r="K403" s="2" t="s">
        <v>323</v>
      </c>
      <c r="L403" s="2" t="s">
        <v>32</v>
      </c>
      <c r="M403" s="2" t="s">
        <v>33</v>
      </c>
      <c r="N403" s="2" t="s">
        <v>89</v>
      </c>
      <c r="O403" s="1">
        <v>41914</v>
      </c>
      <c r="P403" s="3">
        <v>11.11</v>
      </c>
      <c r="Q403" s="3">
        <v>19.84</v>
      </c>
      <c r="R403" s="3">
        <f t="shared" si="37"/>
        <v>8.73</v>
      </c>
      <c r="S403" s="2">
        <v>15</v>
      </c>
      <c r="T403" s="3">
        <f t="shared" si="38"/>
        <v>297.60000000000002</v>
      </c>
      <c r="U403" s="4">
        <v>0</v>
      </c>
      <c r="V403" s="6">
        <f t="shared" si="39"/>
        <v>0</v>
      </c>
      <c r="W403" s="6">
        <f t="shared" si="40"/>
        <v>297.60000000000002</v>
      </c>
      <c r="X403" s="3">
        <v>4.0999999999999996</v>
      </c>
      <c r="Y403" s="5">
        <f t="shared" si="41"/>
        <v>301.70000000000005</v>
      </c>
    </row>
    <row r="404" spans="1:25" x14ac:dyDescent="0.2">
      <c r="A404" t="s">
        <v>1309</v>
      </c>
      <c r="B404" s="1">
        <v>41914</v>
      </c>
      <c r="C404" s="2" t="str">
        <f t="shared" si="36"/>
        <v>2014</v>
      </c>
      <c r="D404" s="2" t="s">
        <v>569</v>
      </c>
      <c r="E404" s="2" t="s">
        <v>127</v>
      </c>
      <c r="F404" s="2" t="s">
        <v>36</v>
      </c>
      <c r="G404" s="2" t="s">
        <v>37</v>
      </c>
      <c r="H404" s="2" t="s">
        <v>21</v>
      </c>
      <c r="I404" s="2" t="s">
        <v>96</v>
      </c>
      <c r="J404" s="2" t="s">
        <v>44</v>
      </c>
      <c r="K404" s="2" t="s">
        <v>337</v>
      </c>
      <c r="L404" s="2" t="s">
        <v>32</v>
      </c>
      <c r="M404" s="2" t="s">
        <v>26</v>
      </c>
      <c r="N404" s="2" t="s">
        <v>27</v>
      </c>
      <c r="O404" s="1">
        <v>41916</v>
      </c>
      <c r="P404" s="3">
        <v>2.29</v>
      </c>
      <c r="Q404" s="3">
        <v>3.69</v>
      </c>
      <c r="R404" s="3">
        <f t="shared" si="37"/>
        <v>1.4</v>
      </c>
      <c r="S404" s="2">
        <v>30</v>
      </c>
      <c r="T404" s="3">
        <f t="shared" si="38"/>
        <v>110.7</v>
      </c>
      <c r="U404" s="4">
        <v>0.09</v>
      </c>
      <c r="V404" s="6">
        <f t="shared" si="39"/>
        <v>9.9629999999999992</v>
      </c>
      <c r="W404" s="6">
        <f t="shared" si="40"/>
        <v>100.73700000000001</v>
      </c>
      <c r="X404" s="3">
        <v>0.5</v>
      </c>
      <c r="Y404" s="5">
        <f t="shared" si="41"/>
        <v>101.23700000000001</v>
      </c>
    </row>
    <row r="405" spans="1:25" x14ac:dyDescent="0.2">
      <c r="A405" t="s">
        <v>1310</v>
      </c>
      <c r="B405" s="1">
        <v>41914</v>
      </c>
      <c r="C405" s="2" t="str">
        <f t="shared" si="36"/>
        <v>2014</v>
      </c>
      <c r="D405" s="2" t="s">
        <v>697</v>
      </c>
      <c r="E405" s="2" t="s">
        <v>1898</v>
      </c>
      <c r="F405" s="2" t="s">
        <v>1881</v>
      </c>
      <c r="G405" s="2" t="s">
        <v>1882</v>
      </c>
      <c r="H405" s="2" t="s">
        <v>50</v>
      </c>
      <c r="I405" s="2" t="s">
        <v>43</v>
      </c>
      <c r="J405" s="2" t="s">
        <v>44</v>
      </c>
      <c r="K405" s="2" t="s">
        <v>289</v>
      </c>
      <c r="L405" s="2" t="s">
        <v>32</v>
      </c>
      <c r="M405" s="2" t="s">
        <v>26</v>
      </c>
      <c r="N405" s="2" t="s">
        <v>27</v>
      </c>
      <c r="O405" s="1">
        <v>41916</v>
      </c>
      <c r="P405" s="3">
        <v>21.97</v>
      </c>
      <c r="Q405" s="3">
        <v>35.44</v>
      </c>
      <c r="R405" s="3">
        <f t="shared" si="37"/>
        <v>13.469999999999999</v>
      </c>
      <c r="S405" s="2">
        <v>29</v>
      </c>
      <c r="T405" s="3">
        <f t="shared" si="38"/>
        <v>1027.76</v>
      </c>
      <c r="U405" s="4">
        <v>0.03</v>
      </c>
      <c r="V405" s="6">
        <f t="shared" si="39"/>
        <v>30.832799999999999</v>
      </c>
      <c r="W405" s="6">
        <f t="shared" si="40"/>
        <v>996.92719999999997</v>
      </c>
      <c r="X405" s="3">
        <v>4.92</v>
      </c>
      <c r="Y405" s="5">
        <f t="shared" si="41"/>
        <v>1001.8471999999999</v>
      </c>
    </row>
    <row r="406" spans="1:25" x14ac:dyDescent="0.2">
      <c r="A406" t="s">
        <v>1311</v>
      </c>
      <c r="B406" s="1">
        <v>41915</v>
      </c>
      <c r="C406" s="2" t="str">
        <f t="shared" si="36"/>
        <v>2014</v>
      </c>
      <c r="D406" s="2" t="s">
        <v>603</v>
      </c>
      <c r="E406" s="2" t="s">
        <v>276</v>
      </c>
      <c r="F406" s="2" t="s">
        <v>19</v>
      </c>
      <c r="G406" s="2" t="s">
        <v>20</v>
      </c>
      <c r="H406" s="2" t="s">
        <v>50</v>
      </c>
      <c r="I406" s="2" t="s">
        <v>22</v>
      </c>
      <c r="J406" s="2" t="s">
        <v>52</v>
      </c>
      <c r="K406" s="2" t="s">
        <v>97</v>
      </c>
      <c r="L406" s="2" t="s">
        <v>32</v>
      </c>
      <c r="M406" s="2" t="s">
        <v>33</v>
      </c>
      <c r="N406" s="2" t="s">
        <v>27</v>
      </c>
      <c r="O406" s="1">
        <v>41917</v>
      </c>
      <c r="P406" s="3">
        <v>0.71</v>
      </c>
      <c r="Q406" s="3">
        <v>1.1399999999999999</v>
      </c>
      <c r="R406" s="3">
        <f t="shared" si="37"/>
        <v>0.42999999999999994</v>
      </c>
      <c r="S406" s="2">
        <v>4</v>
      </c>
      <c r="T406" s="3">
        <f t="shared" si="38"/>
        <v>4.5599999999999996</v>
      </c>
      <c r="U406" s="4">
        <v>0</v>
      </c>
      <c r="V406" s="6">
        <f t="shared" si="39"/>
        <v>0</v>
      </c>
      <c r="W406" s="6">
        <f t="shared" si="40"/>
        <v>4.5599999999999996</v>
      </c>
      <c r="X406" s="3">
        <v>0.7</v>
      </c>
      <c r="Y406" s="5">
        <f t="shared" si="41"/>
        <v>5.26</v>
      </c>
    </row>
    <row r="407" spans="1:25" x14ac:dyDescent="0.2">
      <c r="A407" t="s">
        <v>1312</v>
      </c>
      <c r="B407" s="1">
        <v>41916</v>
      </c>
      <c r="C407" s="2" t="str">
        <f t="shared" si="36"/>
        <v>2014</v>
      </c>
      <c r="D407" s="2" t="s">
        <v>715</v>
      </c>
      <c r="E407" s="2" t="s">
        <v>185</v>
      </c>
      <c r="F407" s="2" t="s">
        <v>36</v>
      </c>
      <c r="G407" s="2" t="s">
        <v>37</v>
      </c>
      <c r="H407" s="2" t="s">
        <v>29</v>
      </c>
      <c r="I407" s="2" t="s">
        <v>153</v>
      </c>
      <c r="J407" s="2" t="s">
        <v>23</v>
      </c>
      <c r="K407" s="2" t="s">
        <v>585</v>
      </c>
      <c r="L407" s="2" t="s">
        <v>32</v>
      </c>
      <c r="M407" s="2" t="s">
        <v>26</v>
      </c>
      <c r="N407" s="2" t="s">
        <v>89</v>
      </c>
      <c r="O407" s="1">
        <v>41923</v>
      </c>
      <c r="P407" s="3">
        <v>2.74</v>
      </c>
      <c r="Q407" s="3">
        <v>4.49</v>
      </c>
      <c r="R407" s="3">
        <f t="shared" si="37"/>
        <v>1.75</v>
      </c>
      <c r="S407" s="2">
        <v>44</v>
      </c>
      <c r="T407" s="3">
        <f t="shared" si="38"/>
        <v>197.56</v>
      </c>
      <c r="U407" s="4">
        <v>0.03</v>
      </c>
      <c r="V407" s="6">
        <f t="shared" si="39"/>
        <v>5.9268000000000001</v>
      </c>
      <c r="W407" s="6">
        <f t="shared" si="40"/>
        <v>191.63319999999999</v>
      </c>
      <c r="X407" s="3">
        <v>1.49</v>
      </c>
      <c r="Y407" s="5">
        <f t="shared" si="41"/>
        <v>193.1232</v>
      </c>
    </row>
    <row r="408" spans="1:25" x14ac:dyDescent="0.2">
      <c r="A408" t="s">
        <v>1313</v>
      </c>
      <c r="B408" s="1">
        <v>41916</v>
      </c>
      <c r="C408" s="2" t="str">
        <f t="shared" si="36"/>
        <v>2014</v>
      </c>
      <c r="D408" s="2" t="s">
        <v>499</v>
      </c>
      <c r="E408" s="2" t="s">
        <v>1889</v>
      </c>
      <c r="F408" s="2" t="s">
        <v>1881</v>
      </c>
      <c r="G408" s="2" t="s">
        <v>1882</v>
      </c>
      <c r="H408" s="2" t="s">
        <v>21</v>
      </c>
      <c r="I408" s="2" t="s">
        <v>51</v>
      </c>
      <c r="J408" s="2" t="s">
        <v>23</v>
      </c>
      <c r="K408" s="2" t="s">
        <v>215</v>
      </c>
      <c r="L408" s="2" t="s">
        <v>25</v>
      </c>
      <c r="M408" s="2" t="s">
        <v>58</v>
      </c>
      <c r="N408" s="2" t="s">
        <v>27</v>
      </c>
      <c r="O408" s="1">
        <v>41918</v>
      </c>
      <c r="P408" s="3">
        <v>20.18</v>
      </c>
      <c r="Q408" s="3">
        <v>35.409999999999997</v>
      </c>
      <c r="R408" s="3">
        <f t="shared" si="37"/>
        <v>15.229999999999997</v>
      </c>
      <c r="S408" s="2">
        <v>5</v>
      </c>
      <c r="T408" s="3">
        <f t="shared" si="38"/>
        <v>177.04999999999998</v>
      </c>
      <c r="U408" s="4">
        <v>0</v>
      </c>
      <c r="V408" s="6">
        <f t="shared" si="39"/>
        <v>0</v>
      </c>
      <c r="W408" s="6">
        <f t="shared" si="40"/>
        <v>177.04999999999998</v>
      </c>
      <c r="X408" s="3">
        <v>1.99</v>
      </c>
      <c r="Y408" s="5">
        <f t="shared" si="41"/>
        <v>179.04</v>
      </c>
    </row>
    <row r="409" spans="1:25" x14ac:dyDescent="0.2">
      <c r="A409" t="s">
        <v>1314</v>
      </c>
      <c r="B409" s="1">
        <v>41918</v>
      </c>
      <c r="C409" s="2" t="str">
        <f t="shared" si="36"/>
        <v>2014</v>
      </c>
      <c r="D409" s="2" t="s">
        <v>714</v>
      </c>
      <c r="E409" s="2" t="s">
        <v>254</v>
      </c>
      <c r="F409" s="2" t="s">
        <v>19</v>
      </c>
      <c r="G409" s="2" t="s">
        <v>20</v>
      </c>
      <c r="H409" s="2" t="s">
        <v>29</v>
      </c>
      <c r="I409" s="2" t="s">
        <v>92</v>
      </c>
      <c r="J409" s="2" t="s">
        <v>66</v>
      </c>
      <c r="K409" s="2" t="s">
        <v>180</v>
      </c>
      <c r="L409" s="2" t="s">
        <v>32</v>
      </c>
      <c r="M409" s="2" t="s">
        <v>26</v>
      </c>
      <c r="N409" s="2" t="s">
        <v>27</v>
      </c>
      <c r="O409" s="1">
        <v>41919</v>
      </c>
      <c r="P409" s="3">
        <v>1.94</v>
      </c>
      <c r="Q409" s="3">
        <v>3.08</v>
      </c>
      <c r="R409" s="3">
        <f t="shared" si="37"/>
        <v>1.1400000000000001</v>
      </c>
      <c r="S409" s="2">
        <v>46</v>
      </c>
      <c r="T409" s="3">
        <f t="shared" si="38"/>
        <v>141.68</v>
      </c>
      <c r="U409" s="4">
        <v>0.04</v>
      </c>
      <c r="V409" s="6">
        <f t="shared" si="39"/>
        <v>5.6672000000000002</v>
      </c>
      <c r="W409" s="6">
        <f t="shared" si="40"/>
        <v>136.0128</v>
      </c>
      <c r="X409" s="3">
        <v>0.99</v>
      </c>
      <c r="Y409" s="5">
        <f t="shared" si="41"/>
        <v>137.00280000000001</v>
      </c>
    </row>
    <row r="410" spans="1:25" x14ac:dyDescent="0.2">
      <c r="A410" t="s">
        <v>1315</v>
      </c>
      <c r="B410" s="1">
        <v>41920</v>
      </c>
      <c r="C410" s="2" t="str">
        <f t="shared" si="36"/>
        <v>2014</v>
      </c>
      <c r="D410" s="2" t="s">
        <v>629</v>
      </c>
      <c r="E410" s="2" t="s">
        <v>373</v>
      </c>
      <c r="F410" s="2" t="s">
        <v>36</v>
      </c>
      <c r="G410" s="2" t="s">
        <v>37</v>
      </c>
      <c r="H410" s="2" t="s">
        <v>50</v>
      </c>
      <c r="I410" s="2" t="s">
        <v>51</v>
      </c>
      <c r="J410" s="2" t="s">
        <v>44</v>
      </c>
      <c r="K410" s="2" t="s">
        <v>149</v>
      </c>
      <c r="L410" s="2" t="s">
        <v>150</v>
      </c>
      <c r="M410" s="2" t="s">
        <v>58</v>
      </c>
      <c r="N410" s="2" t="s">
        <v>27</v>
      </c>
      <c r="O410" s="1">
        <v>41922</v>
      </c>
      <c r="P410" s="3">
        <v>5.5</v>
      </c>
      <c r="Q410" s="3">
        <v>12.22</v>
      </c>
      <c r="R410" s="3">
        <f t="shared" si="37"/>
        <v>6.7200000000000006</v>
      </c>
      <c r="S410" s="2">
        <v>1</v>
      </c>
      <c r="T410" s="3">
        <f t="shared" si="38"/>
        <v>12.22</v>
      </c>
      <c r="U410" s="4">
        <v>0.1</v>
      </c>
      <c r="V410" s="6">
        <f t="shared" si="39"/>
        <v>1.2220000000000002</v>
      </c>
      <c r="W410" s="6">
        <f t="shared" si="40"/>
        <v>10.998000000000001</v>
      </c>
      <c r="X410" s="3">
        <v>2.85</v>
      </c>
      <c r="Y410" s="5">
        <f t="shared" si="41"/>
        <v>13.848000000000001</v>
      </c>
    </row>
    <row r="411" spans="1:25" x14ac:dyDescent="0.2">
      <c r="A411" t="s">
        <v>1316</v>
      </c>
      <c r="B411" s="1">
        <v>41921</v>
      </c>
      <c r="C411" s="2" t="str">
        <f t="shared" si="36"/>
        <v>2014</v>
      </c>
      <c r="D411" s="2" t="s">
        <v>713</v>
      </c>
      <c r="E411" s="2" t="s">
        <v>60</v>
      </c>
      <c r="F411" s="2" t="s">
        <v>36</v>
      </c>
      <c r="G411" s="2" t="s">
        <v>37</v>
      </c>
      <c r="H411" s="2" t="s">
        <v>29</v>
      </c>
      <c r="I411" s="2" t="s">
        <v>56</v>
      </c>
      <c r="J411" s="2" t="s">
        <v>44</v>
      </c>
      <c r="K411" s="2" t="s">
        <v>144</v>
      </c>
      <c r="L411" s="2" t="s">
        <v>32</v>
      </c>
      <c r="M411" s="2" t="s">
        <v>58</v>
      </c>
      <c r="N411" s="2" t="s">
        <v>27</v>
      </c>
      <c r="O411" s="1">
        <v>41921</v>
      </c>
      <c r="P411" s="3">
        <v>4.1900000000000004</v>
      </c>
      <c r="Q411" s="3">
        <v>10.23</v>
      </c>
      <c r="R411" s="3">
        <f t="shared" si="37"/>
        <v>6.04</v>
      </c>
      <c r="S411" s="2">
        <v>37</v>
      </c>
      <c r="T411" s="3">
        <f t="shared" si="38"/>
        <v>378.51</v>
      </c>
      <c r="U411" s="4">
        <v>0.08</v>
      </c>
      <c r="V411" s="6">
        <f t="shared" si="39"/>
        <v>30.280799999999999</v>
      </c>
      <c r="W411" s="6">
        <f t="shared" si="40"/>
        <v>348.22919999999999</v>
      </c>
      <c r="X411" s="3">
        <v>4.68</v>
      </c>
      <c r="Y411" s="5">
        <f t="shared" si="41"/>
        <v>352.9092</v>
      </c>
    </row>
    <row r="412" spans="1:25" x14ac:dyDescent="0.2">
      <c r="A412" t="s">
        <v>1317</v>
      </c>
      <c r="B412" s="1">
        <v>41922</v>
      </c>
      <c r="C412" s="2" t="str">
        <f t="shared" si="36"/>
        <v>2014</v>
      </c>
      <c r="D412" s="2" t="s">
        <v>366</v>
      </c>
      <c r="E412" s="2" t="s">
        <v>49</v>
      </c>
      <c r="F412" s="2" t="s">
        <v>36</v>
      </c>
      <c r="G412" s="2" t="s">
        <v>37</v>
      </c>
      <c r="H412" s="2" t="s">
        <v>50</v>
      </c>
      <c r="I412" s="2" t="s">
        <v>51</v>
      </c>
      <c r="J412" s="2" t="s">
        <v>23</v>
      </c>
      <c r="K412" s="2" t="s">
        <v>475</v>
      </c>
      <c r="L412" s="2" t="s">
        <v>32</v>
      </c>
      <c r="M412" s="2" t="s">
        <v>26</v>
      </c>
      <c r="N412" s="2" t="s">
        <v>27</v>
      </c>
      <c r="O412" s="1">
        <v>41929</v>
      </c>
      <c r="P412" s="3">
        <v>1.19</v>
      </c>
      <c r="Q412" s="3">
        <v>1.98</v>
      </c>
      <c r="R412" s="3">
        <f t="shared" si="37"/>
        <v>0.79</v>
      </c>
      <c r="S412" s="2">
        <v>38</v>
      </c>
      <c r="T412" s="3">
        <f t="shared" si="38"/>
        <v>75.239999999999995</v>
      </c>
      <c r="U412" s="4">
        <v>0.05</v>
      </c>
      <c r="V412" s="6">
        <f t="shared" si="39"/>
        <v>3.762</v>
      </c>
      <c r="W412" s="6">
        <f t="shared" si="40"/>
        <v>71.477999999999994</v>
      </c>
      <c r="X412" s="3">
        <v>4.7699999999999996</v>
      </c>
      <c r="Y412" s="5">
        <f t="shared" si="41"/>
        <v>76.24799999999999</v>
      </c>
    </row>
    <row r="413" spans="1:25" x14ac:dyDescent="0.2">
      <c r="A413" t="s">
        <v>1318</v>
      </c>
      <c r="B413" s="1">
        <v>41923</v>
      </c>
      <c r="C413" s="2" t="str">
        <f t="shared" si="36"/>
        <v>2014</v>
      </c>
      <c r="D413" s="2" t="s">
        <v>371</v>
      </c>
      <c r="E413" s="2" t="s">
        <v>1922</v>
      </c>
      <c r="F413" s="2" t="s">
        <v>36</v>
      </c>
      <c r="G413" s="2" t="s">
        <v>37</v>
      </c>
      <c r="H413" s="2" t="s">
        <v>21</v>
      </c>
      <c r="I413" s="2" t="s">
        <v>153</v>
      </c>
      <c r="J413" s="2" t="s">
        <v>30</v>
      </c>
      <c r="K413" s="2" t="s">
        <v>323</v>
      </c>
      <c r="L413" s="2" t="s">
        <v>32</v>
      </c>
      <c r="M413" s="2" t="s">
        <v>33</v>
      </c>
      <c r="N413" s="2" t="s">
        <v>27</v>
      </c>
      <c r="O413" s="1">
        <v>41923</v>
      </c>
      <c r="P413" s="3">
        <v>11.11</v>
      </c>
      <c r="Q413" s="3">
        <v>19.84</v>
      </c>
      <c r="R413" s="3">
        <f t="shared" si="37"/>
        <v>8.73</v>
      </c>
      <c r="S413" s="2">
        <v>43</v>
      </c>
      <c r="T413" s="3">
        <f t="shared" si="38"/>
        <v>853.12</v>
      </c>
      <c r="U413" s="4">
        <v>0.03</v>
      </c>
      <c r="V413" s="6">
        <f t="shared" si="39"/>
        <v>25.593599999999999</v>
      </c>
      <c r="W413" s="6">
        <f t="shared" si="40"/>
        <v>827.52639999999997</v>
      </c>
      <c r="X413" s="3">
        <v>4.0999999999999996</v>
      </c>
      <c r="Y413" s="5">
        <f t="shared" si="41"/>
        <v>831.62639999999999</v>
      </c>
    </row>
    <row r="414" spans="1:25" x14ac:dyDescent="0.2">
      <c r="A414" t="s">
        <v>1319</v>
      </c>
      <c r="B414" s="1">
        <v>41927</v>
      </c>
      <c r="C414" s="2" t="str">
        <f t="shared" si="36"/>
        <v>2014</v>
      </c>
      <c r="D414" s="2" t="s">
        <v>376</v>
      </c>
      <c r="E414" s="2" t="s">
        <v>182</v>
      </c>
      <c r="F414" s="2" t="s">
        <v>36</v>
      </c>
      <c r="G414" s="2" t="s">
        <v>37</v>
      </c>
      <c r="H414" s="2" t="s">
        <v>21</v>
      </c>
      <c r="I414" s="2" t="s">
        <v>96</v>
      </c>
      <c r="J414" s="2" t="s">
        <v>23</v>
      </c>
      <c r="K414" s="2" t="s">
        <v>131</v>
      </c>
      <c r="L414" s="2" t="s">
        <v>32</v>
      </c>
      <c r="M414" s="2" t="s">
        <v>26</v>
      </c>
      <c r="N414" s="2" t="s">
        <v>89</v>
      </c>
      <c r="O414" s="1">
        <v>41931</v>
      </c>
      <c r="P414" s="3">
        <v>52.07</v>
      </c>
      <c r="Q414" s="3">
        <v>83.98</v>
      </c>
      <c r="R414" s="3">
        <f t="shared" si="37"/>
        <v>31.910000000000004</v>
      </c>
      <c r="S414" s="2">
        <v>34</v>
      </c>
      <c r="T414" s="3">
        <f t="shared" si="38"/>
        <v>2855.32</v>
      </c>
      <c r="U414" s="4">
        <v>0.06</v>
      </c>
      <c r="V414" s="6">
        <f t="shared" si="39"/>
        <v>171.3192</v>
      </c>
      <c r="W414" s="6">
        <f t="shared" si="40"/>
        <v>2684.0008000000003</v>
      </c>
      <c r="X414" s="3">
        <v>5.01</v>
      </c>
      <c r="Y414" s="5">
        <f t="shared" si="41"/>
        <v>2689.0108000000005</v>
      </c>
    </row>
    <row r="415" spans="1:25" x14ac:dyDescent="0.2">
      <c r="A415" t="s">
        <v>1320</v>
      </c>
      <c r="B415" s="1">
        <v>41928</v>
      </c>
      <c r="C415" s="2" t="str">
        <f t="shared" si="36"/>
        <v>2014</v>
      </c>
      <c r="D415" s="2" t="s">
        <v>250</v>
      </c>
      <c r="E415" s="2" t="s">
        <v>251</v>
      </c>
      <c r="F415" s="2" t="s">
        <v>19</v>
      </c>
      <c r="G415" s="2" t="s">
        <v>20</v>
      </c>
      <c r="H415" s="2" t="s">
        <v>21</v>
      </c>
      <c r="I415" s="2" t="s">
        <v>92</v>
      </c>
      <c r="J415" s="2" t="s">
        <v>66</v>
      </c>
      <c r="K415" s="2" t="s">
        <v>146</v>
      </c>
      <c r="L415" s="2" t="s">
        <v>32</v>
      </c>
      <c r="M415" s="2" t="s">
        <v>33</v>
      </c>
      <c r="N415" s="2" t="s">
        <v>27</v>
      </c>
      <c r="O415" s="1">
        <v>41929</v>
      </c>
      <c r="P415" s="3">
        <v>2.52</v>
      </c>
      <c r="Q415" s="3">
        <v>4</v>
      </c>
      <c r="R415" s="3">
        <f t="shared" si="37"/>
        <v>1.48</v>
      </c>
      <c r="S415" s="2">
        <v>36</v>
      </c>
      <c r="T415" s="3">
        <f t="shared" si="38"/>
        <v>144</v>
      </c>
      <c r="U415" s="4">
        <v>0.01</v>
      </c>
      <c r="V415" s="6">
        <f t="shared" si="39"/>
        <v>1.44</v>
      </c>
      <c r="W415" s="6">
        <f t="shared" si="40"/>
        <v>142.56</v>
      </c>
      <c r="X415" s="3">
        <v>1.3</v>
      </c>
      <c r="Y415" s="5">
        <f t="shared" si="41"/>
        <v>143.86000000000001</v>
      </c>
    </row>
    <row r="416" spans="1:25" x14ac:dyDescent="0.2">
      <c r="A416" t="s">
        <v>894</v>
      </c>
      <c r="B416" s="1">
        <v>41929</v>
      </c>
      <c r="C416" s="2" t="str">
        <f t="shared" si="36"/>
        <v>2014</v>
      </c>
      <c r="D416" s="2" t="s">
        <v>712</v>
      </c>
      <c r="E416" s="2" t="s">
        <v>246</v>
      </c>
      <c r="F416" s="2" t="s">
        <v>19</v>
      </c>
      <c r="G416" s="2" t="s">
        <v>20</v>
      </c>
      <c r="H416" s="2" t="s">
        <v>21</v>
      </c>
      <c r="I416" s="2" t="s">
        <v>22</v>
      </c>
      <c r="J416" s="2" t="s">
        <v>30</v>
      </c>
      <c r="K416" s="2" t="s">
        <v>88</v>
      </c>
      <c r="L416" s="2" t="s">
        <v>32</v>
      </c>
      <c r="M416" s="2" t="s">
        <v>58</v>
      </c>
      <c r="N416" s="2" t="s">
        <v>27</v>
      </c>
      <c r="O416" s="1">
        <v>41929</v>
      </c>
      <c r="P416" s="3">
        <v>5.19</v>
      </c>
      <c r="Q416" s="3">
        <v>12.98</v>
      </c>
      <c r="R416" s="3">
        <f t="shared" si="37"/>
        <v>7.79</v>
      </c>
      <c r="S416" s="2">
        <v>11</v>
      </c>
      <c r="T416" s="3">
        <f t="shared" si="38"/>
        <v>142.78</v>
      </c>
      <c r="U416" s="4">
        <v>0.08</v>
      </c>
      <c r="V416" s="6">
        <f t="shared" si="39"/>
        <v>11.4224</v>
      </c>
      <c r="W416" s="6">
        <f t="shared" si="40"/>
        <v>131.35759999999999</v>
      </c>
      <c r="X416" s="3">
        <v>3.14</v>
      </c>
      <c r="Y416" s="5">
        <f t="shared" si="41"/>
        <v>134.49759999999998</v>
      </c>
    </row>
    <row r="417" spans="1:25" x14ac:dyDescent="0.2">
      <c r="A417" t="s">
        <v>895</v>
      </c>
      <c r="B417" s="1">
        <v>41929</v>
      </c>
      <c r="C417" s="2" t="str">
        <f t="shared" si="36"/>
        <v>2014</v>
      </c>
      <c r="D417" s="2" t="s">
        <v>712</v>
      </c>
      <c r="E417" s="2" t="s">
        <v>246</v>
      </c>
      <c r="F417" s="2" t="s">
        <v>19</v>
      </c>
      <c r="G417" s="2" t="s">
        <v>20</v>
      </c>
      <c r="H417" s="2" t="s">
        <v>21</v>
      </c>
      <c r="I417" s="2" t="s">
        <v>22</v>
      </c>
      <c r="J417" s="2" t="s">
        <v>30</v>
      </c>
      <c r="K417" s="2" t="s">
        <v>146</v>
      </c>
      <c r="L417" s="2" t="s">
        <v>32</v>
      </c>
      <c r="M417" s="2" t="s">
        <v>33</v>
      </c>
      <c r="N417" s="2" t="s">
        <v>27</v>
      </c>
      <c r="O417" s="1">
        <v>41931</v>
      </c>
      <c r="P417" s="3">
        <v>2.52</v>
      </c>
      <c r="Q417" s="3">
        <v>4</v>
      </c>
      <c r="R417" s="3">
        <f t="shared" si="37"/>
        <v>1.48</v>
      </c>
      <c r="S417" s="2">
        <v>19</v>
      </c>
      <c r="T417" s="3">
        <f t="shared" si="38"/>
        <v>76</v>
      </c>
      <c r="U417" s="4">
        <v>0.01</v>
      </c>
      <c r="V417" s="6">
        <f t="shared" si="39"/>
        <v>0.76</v>
      </c>
      <c r="W417" s="6">
        <f t="shared" si="40"/>
        <v>75.239999999999995</v>
      </c>
      <c r="X417" s="3">
        <v>1.3</v>
      </c>
      <c r="Y417" s="5">
        <f t="shared" si="41"/>
        <v>76.539999999999992</v>
      </c>
    </row>
    <row r="418" spans="1:25" x14ac:dyDescent="0.2">
      <c r="A418" t="s">
        <v>1321</v>
      </c>
      <c r="B418" s="1">
        <v>41930</v>
      </c>
      <c r="C418" s="2" t="str">
        <f t="shared" si="36"/>
        <v>2014</v>
      </c>
      <c r="D418" s="2" t="s">
        <v>250</v>
      </c>
      <c r="E418" s="2" t="s">
        <v>251</v>
      </c>
      <c r="F418" s="2" t="s">
        <v>19</v>
      </c>
      <c r="G418" s="2" t="s">
        <v>20</v>
      </c>
      <c r="H418" s="2" t="s">
        <v>21</v>
      </c>
      <c r="I418" s="2" t="s">
        <v>92</v>
      </c>
      <c r="J418" s="2" t="s">
        <v>52</v>
      </c>
      <c r="K418" s="2" t="s">
        <v>227</v>
      </c>
      <c r="L418" s="2" t="s">
        <v>32</v>
      </c>
      <c r="M418" s="2" t="s">
        <v>26</v>
      </c>
      <c r="N418" s="2" t="s">
        <v>27</v>
      </c>
      <c r="O418" s="1">
        <v>41932</v>
      </c>
      <c r="P418" s="3">
        <v>3.84</v>
      </c>
      <c r="Q418" s="3">
        <v>6.3</v>
      </c>
      <c r="R418" s="3">
        <f t="shared" si="37"/>
        <v>2.46</v>
      </c>
      <c r="S418" s="2">
        <v>8</v>
      </c>
      <c r="T418" s="3">
        <f t="shared" si="38"/>
        <v>50.4</v>
      </c>
      <c r="U418" s="4">
        <v>0.01</v>
      </c>
      <c r="V418" s="6">
        <f t="shared" si="39"/>
        <v>0.504</v>
      </c>
      <c r="W418" s="6">
        <f t="shared" si="40"/>
        <v>49.896000000000001</v>
      </c>
      <c r="X418" s="3">
        <v>0.5</v>
      </c>
      <c r="Y418" s="5">
        <f t="shared" si="41"/>
        <v>50.396000000000001</v>
      </c>
    </row>
    <row r="419" spans="1:25" x14ac:dyDescent="0.2">
      <c r="A419" t="s">
        <v>1322</v>
      </c>
      <c r="B419" s="1">
        <v>41931</v>
      </c>
      <c r="C419" s="2" t="str">
        <f t="shared" si="36"/>
        <v>2014</v>
      </c>
      <c r="D419" s="2" t="s">
        <v>272</v>
      </c>
      <c r="E419" s="2" t="s">
        <v>1924</v>
      </c>
      <c r="F419" s="2" t="s">
        <v>19</v>
      </c>
      <c r="G419" s="2" t="s">
        <v>20</v>
      </c>
      <c r="H419" s="2" t="s">
        <v>50</v>
      </c>
      <c r="I419" s="2" t="s">
        <v>92</v>
      </c>
      <c r="J419" s="2" t="s">
        <v>44</v>
      </c>
      <c r="K419" s="2" t="s">
        <v>247</v>
      </c>
      <c r="L419" s="2" t="s">
        <v>32</v>
      </c>
      <c r="M419" s="2" t="s">
        <v>26</v>
      </c>
      <c r="N419" s="2" t="s">
        <v>89</v>
      </c>
      <c r="O419" s="1">
        <v>41932</v>
      </c>
      <c r="P419" s="3">
        <v>4.46</v>
      </c>
      <c r="Q419" s="3">
        <v>10.89</v>
      </c>
      <c r="R419" s="3">
        <f t="shared" si="37"/>
        <v>6.4300000000000006</v>
      </c>
      <c r="S419" s="2">
        <v>4</v>
      </c>
      <c r="T419" s="3">
        <f t="shared" si="38"/>
        <v>43.56</v>
      </c>
      <c r="U419" s="4">
        <v>0.05</v>
      </c>
      <c r="V419" s="6">
        <f t="shared" si="39"/>
        <v>2.1780000000000004</v>
      </c>
      <c r="W419" s="6">
        <f t="shared" si="40"/>
        <v>41.382000000000005</v>
      </c>
      <c r="X419" s="3">
        <v>4.5</v>
      </c>
      <c r="Y419" s="5">
        <f t="shared" si="41"/>
        <v>45.882000000000005</v>
      </c>
    </row>
    <row r="420" spans="1:25" x14ac:dyDescent="0.2">
      <c r="A420" t="s">
        <v>1323</v>
      </c>
      <c r="B420" s="1">
        <v>41932</v>
      </c>
      <c r="C420" s="2" t="str">
        <f t="shared" si="36"/>
        <v>2014</v>
      </c>
      <c r="D420" s="2" t="s">
        <v>402</v>
      </c>
      <c r="E420" s="2" t="s">
        <v>202</v>
      </c>
      <c r="F420" s="2" t="s">
        <v>19</v>
      </c>
      <c r="G420" s="2" t="s">
        <v>20</v>
      </c>
      <c r="H420" s="2" t="s">
        <v>42</v>
      </c>
      <c r="I420" s="2" t="s">
        <v>22</v>
      </c>
      <c r="J420" s="2" t="s">
        <v>52</v>
      </c>
      <c r="K420" s="2" t="s">
        <v>128</v>
      </c>
      <c r="L420" s="2" t="s">
        <v>25</v>
      </c>
      <c r="M420" s="2" t="s">
        <v>26</v>
      </c>
      <c r="N420" s="2" t="s">
        <v>27</v>
      </c>
      <c r="O420" s="1">
        <v>41934</v>
      </c>
      <c r="P420" s="3">
        <v>8.31</v>
      </c>
      <c r="Q420" s="3">
        <v>15.98</v>
      </c>
      <c r="R420" s="3">
        <f t="shared" si="37"/>
        <v>7.67</v>
      </c>
      <c r="S420" s="2">
        <v>38</v>
      </c>
      <c r="T420" s="3">
        <f t="shared" si="38"/>
        <v>607.24</v>
      </c>
      <c r="U420" s="4">
        <v>0.1</v>
      </c>
      <c r="V420" s="6">
        <f t="shared" si="39"/>
        <v>60.724000000000004</v>
      </c>
      <c r="W420" s="6">
        <f t="shared" si="40"/>
        <v>546.51599999999996</v>
      </c>
      <c r="X420" s="3">
        <v>6.5</v>
      </c>
      <c r="Y420" s="5">
        <f t="shared" si="41"/>
        <v>553.01599999999996</v>
      </c>
    </row>
    <row r="421" spans="1:25" x14ac:dyDescent="0.2">
      <c r="A421" t="s">
        <v>1324</v>
      </c>
      <c r="B421" s="1">
        <v>41933</v>
      </c>
      <c r="C421" s="2" t="str">
        <f t="shared" si="36"/>
        <v>2014</v>
      </c>
      <c r="D421" s="2" t="s">
        <v>710</v>
      </c>
      <c r="E421" s="2" t="s">
        <v>711</v>
      </c>
      <c r="F421" s="2" t="s">
        <v>36</v>
      </c>
      <c r="G421" s="2" t="s">
        <v>37</v>
      </c>
      <c r="H421" s="2" t="s">
        <v>29</v>
      </c>
      <c r="I421" s="2" t="s">
        <v>96</v>
      </c>
      <c r="J421" s="2" t="s">
        <v>52</v>
      </c>
      <c r="K421" s="2" t="s">
        <v>674</v>
      </c>
      <c r="L421" s="2" t="s">
        <v>32</v>
      </c>
      <c r="M421" s="2" t="s">
        <v>33</v>
      </c>
      <c r="N421" s="2" t="s">
        <v>27</v>
      </c>
      <c r="O421" s="1">
        <v>41934</v>
      </c>
      <c r="P421" s="3">
        <v>4.4800000000000004</v>
      </c>
      <c r="Q421" s="3">
        <v>8.14</v>
      </c>
      <c r="R421" s="3">
        <f t="shared" si="37"/>
        <v>3.66</v>
      </c>
      <c r="S421" s="2">
        <v>46</v>
      </c>
      <c r="T421" s="3">
        <f t="shared" si="38"/>
        <v>374.44000000000005</v>
      </c>
      <c r="U421" s="4">
        <v>0</v>
      </c>
      <c r="V421" s="6">
        <f t="shared" si="39"/>
        <v>0</v>
      </c>
      <c r="W421" s="6">
        <f t="shared" si="40"/>
        <v>374.44000000000005</v>
      </c>
      <c r="X421" s="3">
        <v>3.12</v>
      </c>
      <c r="Y421" s="5">
        <f t="shared" si="41"/>
        <v>377.56000000000006</v>
      </c>
    </row>
    <row r="422" spans="1:25" x14ac:dyDescent="0.2">
      <c r="A422" t="s">
        <v>1325</v>
      </c>
      <c r="B422" s="1">
        <v>41933</v>
      </c>
      <c r="C422" s="2" t="str">
        <f t="shared" si="36"/>
        <v>2014</v>
      </c>
      <c r="D422" s="2" t="s">
        <v>633</v>
      </c>
      <c r="E422" s="2" t="s">
        <v>199</v>
      </c>
      <c r="F422" s="2" t="s">
        <v>19</v>
      </c>
      <c r="G422" s="2" t="s">
        <v>20</v>
      </c>
      <c r="H422" s="2" t="s">
        <v>50</v>
      </c>
      <c r="I422" s="2" t="s">
        <v>92</v>
      </c>
      <c r="J422" s="2" t="s">
        <v>30</v>
      </c>
      <c r="K422" s="2" t="s">
        <v>295</v>
      </c>
      <c r="L422" s="2" t="s">
        <v>32</v>
      </c>
      <c r="M422" s="2" t="s">
        <v>58</v>
      </c>
      <c r="N422" s="2" t="s">
        <v>27</v>
      </c>
      <c r="O422" s="1">
        <v>41933</v>
      </c>
      <c r="P422" s="3">
        <v>4.79</v>
      </c>
      <c r="Q422" s="3">
        <v>11.97</v>
      </c>
      <c r="R422" s="3">
        <f t="shared" si="37"/>
        <v>7.1800000000000006</v>
      </c>
      <c r="S422" s="2">
        <v>8</v>
      </c>
      <c r="T422" s="3">
        <f t="shared" si="38"/>
        <v>95.76</v>
      </c>
      <c r="U422" s="4">
        <v>0.03</v>
      </c>
      <c r="V422" s="6">
        <f t="shared" si="39"/>
        <v>2.8728000000000002</v>
      </c>
      <c r="W422" s="6">
        <f t="shared" si="40"/>
        <v>92.887200000000007</v>
      </c>
      <c r="X422" s="3">
        <v>5.81</v>
      </c>
      <c r="Y422" s="5">
        <f t="shared" si="41"/>
        <v>98.697200000000009</v>
      </c>
    </row>
    <row r="423" spans="1:25" x14ac:dyDescent="0.2">
      <c r="A423" t="s">
        <v>1326</v>
      </c>
      <c r="B423" s="1">
        <v>41934</v>
      </c>
      <c r="C423" s="2" t="str">
        <f t="shared" si="36"/>
        <v>2014</v>
      </c>
      <c r="D423" s="2" t="s">
        <v>709</v>
      </c>
      <c r="E423" s="2" t="s">
        <v>199</v>
      </c>
      <c r="F423" s="2" t="s">
        <v>19</v>
      </c>
      <c r="G423" s="2" t="s">
        <v>20</v>
      </c>
      <c r="H423" s="2" t="s">
        <v>29</v>
      </c>
      <c r="I423" s="2" t="s">
        <v>92</v>
      </c>
      <c r="J423" s="2" t="s">
        <v>44</v>
      </c>
      <c r="K423" s="2" t="s">
        <v>189</v>
      </c>
      <c r="L423" s="2" t="s">
        <v>32</v>
      </c>
      <c r="M423" s="2" t="s">
        <v>26</v>
      </c>
      <c r="N423" s="2" t="s">
        <v>27</v>
      </c>
      <c r="O423" s="1">
        <v>41935</v>
      </c>
      <c r="P423" s="3">
        <v>3.4</v>
      </c>
      <c r="Q423" s="3">
        <v>5.4</v>
      </c>
      <c r="R423" s="3">
        <f t="shared" si="37"/>
        <v>2.0000000000000004</v>
      </c>
      <c r="S423" s="2">
        <v>22</v>
      </c>
      <c r="T423" s="3">
        <f t="shared" si="38"/>
        <v>118.80000000000001</v>
      </c>
      <c r="U423" s="4">
        <v>0.1</v>
      </c>
      <c r="V423" s="6">
        <f t="shared" si="39"/>
        <v>11.880000000000003</v>
      </c>
      <c r="W423" s="6">
        <f t="shared" si="40"/>
        <v>106.92000000000002</v>
      </c>
      <c r="X423" s="3">
        <v>7.78</v>
      </c>
      <c r="Y423" s="5">
        <f t="shared" si="41"/>
        <v>114.70000000000002</v>
      </c>
    </row>
    <row r="424" spans="1:25" x14ac:dyDescent="0.2">
      <c r="A424" t="s">
        <v>1327</v>
      </c>
      <c r="B424" s="1">
        <v>41935</v>
      </c>
      <c r="C424" s="2" t="str">
        <f t="shared" si="36"/>
        <v>2014</v>
      </c>
      <c r="D424" s="2" t="s">
        <v>255</v>
      </c>
      <c r="E424" s="2" t="s">
        <v>256</v>
      </c>
      <c r="F424" s="2" t="s">
        <v>36</v>
      </c>
      <c r="G424" s="2" t="s">
        <v>37</v>
      </c>
      <c r="H424" s="2" t="s">
        <v>50</v>
      </c>
      <c r="I424" s="2" t="s">
        <v>153</v>
      </c>
      <c r="J424" s="2" t="s">
        <v>52</v>
      </c>
      <c r="K424" s="2" t="s">
        <v>154</v>
      </c>
      <c r="L424" s="2" t="s">
        <v>32</v>
      </c>
      <c r="M424" s="2" t="s">
        <v>26</v>
      </c>
      <c r="N424" s="2" t="s">
        <v>27</v>
      </c>
      <c r="O424" s="1">
        <v>41937</v>
      </c>
      <c r="P424" s="3">
        <v>8.92</v>
      </c>
      <c r="Q424" s="3">
        <v>29.74</v>
      </c>
      <c r="R424" s="3">
        <f t="shared" si="37"/>
        <v>20.82</v>
      </c>
      <c r="S424" s="2">
        <v>19</v>
      </c>
      <c r="T424" s="3">
        <f t="shared" si="38"/>
        <v>565.05999999999995</v>
      </c>
      <c r="U424" s="4">
        <v>0.1</v>
      </c>
      <c r="V424" s="6">
        <f t="shared" si="39"/>
        <v>56.506</v>
      </c>
      <c r="W424" s="6">
        <f t="shared" si="40"/>
        <v>508.55399999999997</v>
      </c>
      <c r="X424" s="3">
        <v>6.64</v>
      </c>
      <c r="Y424" s="5">
        <f t="shared" si="41"/>
        <v>515.19399999999996</v>
      </c>
    </row>
    <row r="425" spans="1:25" x14ac:dyDescent="0.2">
      <c r="A425" t="s">
        <v>1328</v>
      </c>
      <c r="B425" s="1">
        <v>41938</v>
      </c>
      <c r="C425" s="2" t="str">
        <f t="shared" si="36"/>
        <v>2014</v>
      </c>
      <c r="D425" s="2" t="s">
        <v>708</v>
      </c>
      <c r="E425" s="2" t="s">
        <v>138</v>
      </c>
      <c r="F425" s="2" t="s">
        <v>36</v>
      </c>
      <c r="G425" s="2" t="s">
        <v>37</v>
      </c>
      <c r="H425" s="2" t="s">
        <v>21</v>
      </c>
      <c r="I425" s="2" t="s">
        <v>51</v>
      </c>
      <c r="J425" s="2" t="s">
        <v>30</v>
      </c>
      <c r="K425" s="2" t="s">
        <v>241</v>
      </c>
      <c r="L425" s="2" t="s">
        <v>32</v>
      </c>
      <c r="M425" s="2" t="s">
        <v>26</v>
      </c>
      <c r="N425" s="2" t="s">
        <v>27</v>
      </c>
      <c r="O425" s="1">
        <v>41939</v>
      </c>
      <c r="P425" s="3">
        <v>3.65</v>
      </c>
      <c r="Q425" s="3">
        <v>5.98</v>
      </c>
      <c r="R425" s="3">
        <f t="shared" si="37"/>
        <v>2.3300000000000005</v>
      </c>
      <c r="S425" s="2">
        <v>19</v>
      </c>
      <c r="T425" s="3">
        <f t="shared" si="38"/>
        <v>113.62</v>
      </c>
      <c r="U425" s="4">
        <v>0.01</v>
      </c>
      <c r="V425" s="6">
        <f t="shared" si="39"/>
        <v>1.1362000000000001</v>
      </c>
      <c r="W425" s="6">
        <f t="shared" si="40"/>
        <v>112.4838</v>
      </c>
      <c r="X425" s="3">
        <v>1.49</v>
      </c>
      <c r="Y425" s="5">
        <f t="shared" si="41"/>
        <v>113.9738</v>
      </c>
    </row>
    <row r="426" spans="1:25" x14ac:dyDescent="0.2">
      <c r="A426" t="s">
        <v>1329</v>
      </c>
      <c r="B426" s="1">
        <v>41939</v>
      </c>
      <c r="C426" s="2" t="str">
        <f t="shared" si="36"/>
        <v>2014</v>
      </c>
      <c r="D426" s="2" t="s">
        <v>607</v>
      </c>
      <c r="E426" s="2" t="s">
        <v>69</v>
      </c>
      <c r="F426" s="2" t="s">
        <v>19</v>
      </c>
      <c r="G426" s="2" t="s">
        <v>20</v>
      </c>
      <c r="H426" s="2" t="s">
        <v>29</v>
      </c>
      <c r="I426" s="2" t="s">
        <v>22</v>
      </c>
      <c r="J426" s="2" t="s">
        <v>23</v>
      </c>
      <c r="K426" s="2" t="s">
        <v>76</v>
      </c>
      <c r="L426" s="2" t="s">
        <v>32</v>
      </c>
      <c r="M426" s="2" t="s">
        <v>33</v>
      </c>
      <c r="N426" s="2" t="s">
        <v>27</v>
      </c>
      <c r="O426" s="1">
        <v>41943</v>
      </c>
      <c r="P426" s="3">
        <v>2.16</v>
      </c>
      <c r="Q426" s="3">
        <v>3.85</v>
      </c>
      <c r="R426" s="3">
        <f t="shared" si="37"/>
        <v>1.69</v>
      </c>
      <c r="S426" s="2">
        <v>10</v>
      </c>
      <c r="T426" s="3">
        <f t="shared" si="38"/>
        <v>38.5</v>
      </c>
      <c r="U426" s="4">
        <v>0.06</v>
      </c>
      <c r="V426" s="6">
        <f t="shared" si="39"/>
        <v>2.31</v>
      </c>
      <c r="W426" s="6">
        <f t="shared" si="40"/>
        <v>36.19</v>
      </c>
      <c r="X426" s="3">
        <v>0.7</v>
      </c>
      <c r="Y426" s="5">
        <f t="shared" si="41"/>
        <v>36.89</v>
      </c>
    </row>
    <row r="427" spans="1:25" x14ac:dyDescent="0.2">
      <c r="A427" t="s">
        <v>1330</v>
      </c>
      <c r="B427" s="1">
        <v>41940</v>
      </c>
      <c r="C427" s="2" t="str">
        <f t="shared" si="36"/>
        <v>2014</v>
      </c>
      <c r="D427" s="2" t="s">
        <v>706</v>
      </c>
      <c r="E427" s="2" t="s">
        <v>1888</v>
      </c>
      <c r="F427" s="2" t="s">
        <v>1881</v>
      </c>
      <c r="G427" s="2" t="s">
        <v>1882</v>
      </c>
      <c r="H427" s="2" t="s">
        <v>21</v>
      </c>
      <c r="I427" s="2" t="s">
        <v>75</v>
      </c>
      <c r="J427" s="2" t="s">
        <v>30</v>
      </c>
      <c r="K427" s="2" t="s">
        <v>707</v>
      </c>
      <c r="L427" s="2" t="s">
        <v>25</v>
      </c>
      <c r="M427" s="2" t="s">
        <v>26</v>
      </c>
      <c r="N427" s="2" t="s">
        <v>27</v>
      </c>
      <c r="O427" s="1">
        <v>41941</v>
      </c>
      <c r="P427" s="3">
        <v>17.84</v>
      </c>
      <c r="Q427" s="3">
        <v>34.99</v>
      </c>
      <c r="R427" s="3">
        <f t="shared" si="37"/>
        <v>17.150000000000002</v>
      </c>
      <c r="S427" s="2">
        <v>29</v>
      </c>
      <c r="T427" s="3">
        <f t="shared" si="38"/>
        <v>1014.71</v>
      </c>
      <c r="U427" s="4">
        <v>0.09</v>
      </c>
      <c r="V427" s="6">
        <f t="shared" si="39"/>
        <v>91.323899999999995</v>
      </c>
      <c r="W427" s="6">
        <f t="shared" si="40"/>
        <v>923.38610000000006</v>
      </c>
      <c r="X427" s="3">
        <v>5.5</v>
      </c>
      <c r="Y427" s="5">
        <f t="shared" si="41"/>
        <v>928.88610000000006</v>
      </c>
    </row>
    <row r="428" spans="1:25" x14ac:dyDescent="0.2">
      <c r="A428" t="s">
        <v>1331</v>
      </c>
      <c r="B428" s="1">
        <v>41941</v>
      </c>
      <c r="C428" s="2" t="str">
        <f t="shared" si="36"/>
        <v>2014</v>
      </c>
      <c r="D428" s="2" t="s">
        <v>702</v>
      </c>
      <c r="E428" s="2" t="s">
        <v>357</v>
      </c>
      <c r="F428" s="2" t="s">
        <v>36</v>
      </c>
      <c r="G428" s="2" t="s">
        <v>37</v>
      </c>
      <c r="H428" s="2" t="s">
        <v>50</v>
      </c>
      <c r="I428" s="2" t="s">
        <v>96</v>
      </c>
      <c r="J428" s="2" t="s">
        <v>44</v>
      </c>
      <c r="K428" s="2" t="s">
        <v>295</v>
      </c>
      <c r="L428" s="2" t="s">
        <v>32</v>
      </c>
      <c r="M428" s="2" t="s">
        <v>58</v>
      </c>
      <c r="N428" s="2" t="s">
        <v>27</v>
      </c>
      <c r="O428" s="1">
        <v>41943</v>
      </c>
      <c r="P428" s="3">
        <v>4.79</v>
      </c>
      <c r="Q428" s="3">
        <v>11.97</v>
      </c>
      <c r="R428" s="3">
        <f t="shared" si="37"/>
        <v>7.1800000000000006</v>
      </c>
      <c r="S428" s="2">
        <v>23</v>
      </c>
      <c r="T428" s="3">
        <f t="shared" si="38"/>
        <v>275.31</v>
      </c>
      <c r="U428" s="4">
        <v>0.01</v>
      </c>
      <c r="V428" s="6">
        <f t="shared" si="39"/>
        <v>2.7530999999999999</v>
      </c>
      <c r="W428" s="6">
        <f t="shared" si="40"/>
        <v>272.55689999999998</v>
      </c>
      <c r="X428" s="3">
        <v>5.81</v>
      </c>
      <c r="Y428" s="5">
        <f t="shared" si="41"/>
        <v>278.36689999999999</v>
      </c>
    </row>
    <row r="429" spans="1:25" x14ac:dyDescent="0.2">
      <c r="A429" t="s">
        <v>1332</v>
      </c>
      <c r="B429" s="1">
        <v>41944</v>
      </c>
      <c r="C429" s="2" t="str">
        <f t="shared" si="36"/>
        <v>2014</v>
      </c>
      <c r="D429" s="2" t="s">
        <v>184</v>
      </c>
      <c r="E429" s="2" t="s">
        <v>185</v>
      </c>
      <c r="F429" s="2" t="s">
        <v>36</v>
      </c>
      <c r="G429" s="2" t="s">
        <v>37</v>
      </c>
      <c r="H429" s="2" t="s">
        <v>42</v>
      </c>
      <c r="I429" s="2" t="s">
        <v>153</v>
      </c>
      <c r="J429" s="2" t="s">
        <v>52</v>
      </c>
      <c r="K429" s="2" t="s">
        <v>131</v>
      </c>
      <c r="L429" s="2" t="s">
        <v>32</v>
      </c>
      <c r="M429" s="2" t="s">
        <v>26</v>
      </c>
      <c r="N429" s="2" t="s">
        <v>27</v>
      </c>
      <c r="O429" s="1">
        <v>41946</v>
      </c>
      <c r="P429" s="3">
        <v>52.07</v>
      </c>
      <c r="Q429" s="3">
        <v>83.98</v>
      </c>
      <c r="R429" s="3">
        <f t="shared" si="37"/>
        <v>31.910000000000004</v>
      </c>
      <c r="S429" s="2">
        <v>24</v>
      </c>
      <c r="T429" s="3">
        <f t="shared" si="38"/>
        <v>2015.52</v>
      </c>
      <c r="U429" s="4">
        <v>0.05</v>
      </c>
      <c r="V429" s="6">
        <f t="shared" si="39"/>
        <v>100.77600000000001</v>
      </c>
      <c r="W429" s="6">
        <f t="shared" si="40"/>
        <v>1914.7439999999999</v>
      </c>
      <c r="X429" s="3">
        <v>5.01</v>
      </c>
      <c r="Y429" s="5">
        <f t="shared" si="41"/>
        <v>1919.7539999999999</v>
      </c>
    </row>
    <row r="430" spans="1:25" x14ac:dyDescent="0.2">
      <c r="A430" t="s">
        <v>1333</v>
      </c>
      <c r="B430" s="1">
        <v>41945</v>
      </c>
      <c r="C430" s="2" t="str">
        <f t="shared" si="36"/>
        <v>2014</v>
      </c>
      <c r="D430" s="2" t="s">
        <v>317</v>
      </c>
      <c r="E430" s="2" t="s">
        <v>318</v>
      </c>
      <c r="F430" s="2" t="s">
        <v>36</v>
      </c>
      <c r="G430" s="2" t="s">
        <v>37</v>
      </c>
      <c r="H430" s="2" t="s">
        <v>21</v>
      </c>
      <c r="I430" s="2" t="s">
        <v>56</v>
      </c>
      <c r="J430" s="2" t="s">
        <v>44</v>
      </c>
      <c r="K430" s="2" t="s">
        <v>659</v>
      </c>
      <c r="L430" s="2" t="s">
        <v>32</v>
      </c>
      <c r="M430" s="2" t="s">
        <v>26</v>
      </c>
      <c r="N430" s="2" t="s">
        <v>27</v>
      </c>
      <c r="O430" s="1">
        <v>41947</v>
      </c>
      <c r="P430" s="3">
        <v>4.8899999999999997</v>
      </c>
      <c r="Q430" s="3">
        <v>7.64</v>
      </c>
      <c r="R430" s="3">
        <f t="shared" si="37"/>
        <v>2.75</v>
      </c>
      <c r="S430" s="2">
        <v>12</v>
      </c>
      <c r="T430" s="3">
        <f t="shared" si="38"/>
        <v>91.679999999999993</v>
      </c>
      <c r="U430" s="4">
        <v>0.02</v>
      </c>
      <c r="V430" s="6">
        <f t="shared" si="39"/>
        <v>1.8335999999999999</v>
      </c>
      <c r="W430" s="6">
        <f t="shared" si="40"/>
        <v>89.846399999999988</v>
      </c>
      <c r="X430" s="3">
        <v>1.39</v>
      </c>
      <c r="Y430" s="5">
        <f t="shared" si="41"/>
        <v>91.236399999999989</v>
      </c>
    </row>
    <row r="431" spans="1:25" x14ac:dyDescent="0.2">
      <c r="A431" t="s">
        <v>1334</v>
      </c>
      <c r="B431" s="1">
        <v>41946</v>
      </c>
      <c r="C431" s="2" t="str">
        <f t="shared" si="36"/>
        <v>2014</v>
      </c>
      <c r="D431" s="2" t="s">
        <v>333</v>
      </c>
      <c r="E431" s="2" t="s">
        <v>202</v>
      </c>
      <c r="F431" s="2" t="s">
        <v>19</v>
      </c>
      <c r="G431" s="2" t="s">
        <v>20</v>
      </c>
      <c r="H431" s="2" t="s">
        <v>29</v>
      </c>
      <c r="I431" s="2" t="s">
        <v>22</v>
      </c>
      <c r="J431" s="2" t="s">
        <v>23</v>
      </c>
      <c r="K431" s="2" t="s">
        <v>146</v>
      </c>
      <c r="L431" s="2" t="s">
        <v>32</v>
      </c>
      <c r="M431" s="2" t="s">
        <v>33</v>
      </c>
      <c r="N431" s="2" t="s">
        <v>27</v>
      </c>
      <c r="O431" s="1">
        <v>41950</v>
      </c>
      <c r="P431" s="3">
        <v>2.52</v>
      </c>
      <c r="Q431" s="3">
        <v>4</v>
      </c>
      <c r="R431" s="3">
        <f t="shared" si="37"/>
        <v>1.48</v>
      </c>
      <c r="S431" s="2">
        <v>32</v>
      </c>
      <c r="T431" s="3">
        <f t="shared" si="38"/>
        <v>128</v>
      </c>
      <c r="U431" s="4">
        <v>0.09</v>
      </c>
      <c r="V431" s="6">
        <f t="shared" si="39"/>
        <v>11.52</v>
      </c>
      <c r="W431" s="6">
        <f t="shared" si="40"/>
        <v>116.48</v>
      </c>
      <c r="X431" s="3">
        <v>1.3</v>
      </c>
      <c r="Y431" s="5">
        <f t="shared" si="41"/>
        <v>117.78</v>
      </c>
    </row>
    <row r="432" spans="1:25" x14ac:dyDescent="0.2">
      <c r="A432" t="s">
        <v>1335</v>
      </c>
      <c r="B432" s="1">
        <v>41946</v>
      </c>
      <c r="C432" s="2" t="str">
        <f t="shared" si="36"/>
        <v>2014</v>
      </c>
      <c r="D432" s="2" t="s">
        <v>705</v>
      </c>
      <c r="E432" s="2" t="s">
        <v>1927</v>
      </c>
      <c r="F432" s="2" t="s">
        <v>36</v>
      </c>
      <c r="G432" s="2" t="s">
        <v>37</v>
      </c>
      <c r="H432" s="2" t="s">
        <v>29</v>
      </c>
      <c r="I432" s="2" t="s">
        <v>142</v>
      </c>
      <c r="J432" s="2" t="s">
        <v>30</v>
      </c>
      <c r="K432" s="2" t="s">
        <v>386</v>
      </c>
      <c r="L432" s="2" t="s">
        <v>25</v>
      </c>
      <c r="M432" s="2" t="s">
        <v>26</v>
      </c>
      <c r="N432" s="2" t="s">
        <v>27</v>
      </c>
      <c r="O432" s="1">
        <v>41947</v>
      </c>
      <c r="P432" s="3">
        <v>6.51</v>
      </c>
      <c r="Q432" s="3">
        <v>30.98</v>
      </c>
      <c r="R432" s="3">
        <f t="shared" si="37"/>
        <v>24.47</v>
      </c>
      <c r="S432" s="2">
        <v>12</v>
      </c>
      <c r="T432" s="3">
        <f t="shared" si="38"/>
        <v>371.76</v>
      </c>
      <c r="U432" s="4">
        <v>0</v>
      </c>
      <c r="V432" s="6">
        <f t="shared" si="39"/>
        <v>0</v>
      </c>
      <c r="W432" s="6">
        <f t="shared" si="40"/>
        <v>371.76</v>
      </c>
      <c r="X432" s="3">
        <v>6.5</v>
      </c>
      <c r="Y432" s="5">
        <f t="shared" si="41"/>
        <v>378.26</v>
      </c>
    </row>
    <row r="433" spans="1:25" x14ac:dyDescent="0.2">
      <c r="A433" t="s">
        <v>1336</v>
      </c>
      <c r="B433" s="1">
        <v>41950</v>
      </c>
      <c r="C433" s="2" t="str">
        <f t="shared" si="36"/>
        <v>2014</v>
      </c>
      <c r="D433" s="2" t="s">
        <v>697</v>
      </c>
      <c r="E433" s="2" t="s">
        <v>1898</v>
      </c>
      <c r="F433" s="2" t="s">
        <v>1881</v>
      </c>
      <c r="G433" s="2" t="s">
        <v>1882</v>
      </c>
      <c r="H433" s="2" t="s">
        <v>50</v>
      </c>
      <c r="I433" s="2" t="s">
        <v>43</v>
      </c>
      <c r="J433" s="2" t="s">
        <v>30</v>
      </c>
      <c r="K433" s="2" t="s">
        <v>322</v>
      </c>
      <c r="L433" s="2" t="s">
        <v>25</v>
      </c>
      <c r="M433" s="2" t="s">
        <v>261</v>
      </c>
      <c r="N433" s="2" t="s">
        <v>89</v>
      </c>
      <c r="O433" s="1">
        <v>41952</v>
      </c>
      <c r="P433" s="3">
        <v>377.99</v>
      </c>
      <c r="Q433" s="3">
        <v>599.99</v>
      </c>
      <c r="R433" s="3">
        <f t="shared" si="37"/>
        <v>222</v>
      </c>
      <c r="S433" s="2">
        <v>41</v>
      </c>
      <c r="T433" s="3">
        <f t="shared" si="38"/>
        <v>24599.59</v>
      </c>
      <c r="U433" s="4">
        <v>7.0000000000000007E-2</v>
      </c>
      <c r="V433" s="6">
        <f t="shared" si="39"/>
        <v>1721.9713000000002</v>
      </c>
      <c r="W433" s="6">
        <f t="shared" si="40"/>
        <v>22877.618699999999</v>
      </c>
      <c r="X433" s="3">
        <v>24.49</v>
      </c>
      <c r="Y433" s="5">
        <f t="shared" si="41"/>
        <v>22902.108700000001</v>
      </c>
    </row>
    <row r="434" spans="1:25" x14ac:dyDescent="0.2">
      <c r="A434" t="s">
        <v>1337</v>
      </c>
      <c r="B434" s="1">
        <v>41953</v>
      </c>
      <c r="C434" s="2" t="str">
        <f t="shared" si="36"/>
        <v>2014</v>
      </c>
      <c r="D434" s="2" t="s">
        <v>416</v>
      </c>
      <c r="E434" s="2" t="s">
        <v>339</v>
      </c>
      <c r="F434" s="2" t="s">
        <v>36</v>
      </c>
      <c r="G434" s="2" t="s">
        <v>37</v>
      </c>
      <c r="H434" s="2" t="s">
        <v>21</v>
      </c>
      <c r="I434" s="2" t="s">
        <v>79</v>
      </c>
      <c r="J434" s="2" t="s">
        <v>44</v>
      </c>
      <c r="K434" s="2" t="s">
        <v>322</v>
      </c>
      <c r="L434" s="2" t="s">
        <v>25</v>
      </c>
      <c r="M434" s="2" t="s">
        <v>261</v>
      </c>
      <c r="N434" s="2" t="s">
        <v>27</v>
      </c>
      <c r="O434" s="1">
        <v>41955</v>
      </c>
      <c r="P434" s="3">
        <v>377.99</v>
      </c>
      <c r="Q434" s="3">
        <v>599.99</v>
      </c>
      <c r="R434" s="3">
        <f t="shared" si="37"/>
        <v>222</v>
      </c>
      <c r="S434" s="2">
        <v>20</v>
      </c>
      <c r="T434" s="3">
        <f t="shared" si="38"/>
        <v>11999.8</v>
      </c>
      <c r="U434" s="4">
        <v>7.0000000000000007E-2</v>
      </c>
      <c r="V434" s="6">
        <f t="shared" si="39"/>
        <v>839.98599999999999</v>
      </c>
      <c r="W434" s="6">
        <f t="shared" si="40"/>
        <v>11159.813999999998</v>
      </c>
      <c r="X434" s="3">
        <v>24.49</v>
      </c>
      <c r="Y434" s="5">
        <f t="shared" si="41"/>
        <v>11184.303999999998</v>
      </c>
    </row>
    <row r="435" spans="1:25" x14ac:dyDescent="0.2">
      <c r="A435" t="s">
        <v>1338</v>
      </c>
      <c r="B435" s="1">
        <v>41954</v>
      </c>
      <c r="C435" s="2" t="str">
        <f t="shared" si="36"/>
        <v>2014</v>
      </c>
      <c r="D435" s="2" t="s">
        <v>412</v>
      </c>
      <c r="E435" s="2" t="s">
        <v>251</v>
      </c>
      <c r="F435" s="2" t="s">
        <v>19</v>
      </c>
      <c r="G435" s="2" t="s">
        <v>20</v>
      </c>
      <c r="H435" s="2" t="s">
        <v>21</v>
      </c>
      <c r="I435" s="2" t="s">
        <v>92</v>
      </c>
      <c r="J435" s="2" t="s">
        <v>66</v>
      </c>
      <c r="K435" s="2" t="s">
        <v>452</v>
      </c>
      <c r="L435" s="2" t="s">
        <v>32</v>
      </c>
      <c r="M435" s="2" t="s">
        <v>33</v>
      </c>
      <c r="N435" s="2" t="s">
        <v>27</v>
      </c>
      <c r="O435" s="1">
        <v>41955</v>
      </c>
      <c r="P435" s="3">
        <v>0.94</v>
      </c>
      <c r="Q435" s="3">
        <v>1.88</v>
      </c>
      <c r="R435" s="3">
        <f t="shared" si="37"/>
        <v>0.94</v>
      </c>
      <c r="S435" s="2">
        <v>36</v>
      </c>
      <c r="T435" s="3">
        <f t="shared" si="38"/>
        <v>67.679999999999993</v>
      </c>
      <c r="U435" s="4">
        <v>0.1</v>
      </c>
      <c r="V435" s="6">
        <f t="shared" si="39"/>
        <v>6.7679999999999998</v>
      </c>
      <c r="W435" s="6">
        <f t="shared" si="40"/>
        <v>60.911999999999992</v>
      </c>
      <c r="X435" s="3">
        <v>0.79</v>
      </c>
      <c r="Y435" s="5">
        <f t="shared" si="41"/>
        <v>61.701999999999991</v>
      </c>
    </row>
    <row r="436" spans="1:25" x14ac:dyDescent="0.2">
      <c r="A436" t="s">
        <v>1339</v>
      </c>
      <c r="B436" s="1">
        <v>41959</v>
      </c>
      <c r="C436" s="2" t="str">
        <f t="shared" si="36"/>
        <v>2014</v>
      </c>
      <c r="D436" s="2" t="s">
        <v>668</v>
      </c>
      <c r="E436" s="2" t="s">
        <v>1895</v>
      </c>
      <c r="F436" s="2" t="s">
        <v>1881</v>
      </c>
      <c r="G436" s="2" t="s">
        <v>1882</v>
      </c>
      <c r="H436" s="2" t="s">
        <v>29</v>
      </c>
      <c r="I436" s="2" t="s">
        <v>153</v>
      </c>
      <c r="J436" s="2" t="s">
        <v>52</v>
      </c>
      <c r="K436" s="2" t="s">
        <v>183</v>
      </c>
      <c r="L436" s="2" t="s">
        <v>25</v>
      </c>
      <c r="M436" s="2" t="s">
        <v>26</v>
      </c>
      <c r="N436" s="2" t="s">
        <v>27</v>
      </c>
      <c r="O436" s="1">
        <v>41961</v>
      </c>
      <c r="P436" s="3">
        <v>62.4</v>
      </c>
      <c r="Q436" s="3">
        <v>155.99</v>
      </c>
      <c r="R436" s="3">
        <f t="shared" si="37"/>
        <v>93.59</v>
      </c>
      <c r="S436" s="2">
        <v>6</v>
      </c>
      <c r="T436" s="3">
        <f t="shared" si="38"/>
        <v>935.94</v>
      </c>
      <c r="U436" s="4">
        <v>0.02</v>
      </c>
      <c r="V436" s="6">
        <f t="shared" si="39"/>
        <v>18.718800000000002</v>
      </c>
      <c r="W436" s="6">
        <f t="shared" si="40"/>
        <v>917.22120000000007</v>
      </c>
      <c r="X436" s="3">
        <v>8.08</v>
      </c>
      <c r="Y436" s="5">
        <f t="shared" si="41"/>
        <v>925.30120000000011</v>
      </c>
    </row>
    <row r="437" spans="1:25" x14ac:dyDescent="0.2">
      <c r="A437" t="s">
        <v>1340</v>
      </c>
      <c r="B437" s="1">
        <v>41959</v>
      </c>
      <c r="C437" s="2" t="str">
        <f t="shared" si="36"/>
        <v>2014</v>
      </c>
      <c r="D437" s="2" t="s">
        <v>704</v>
      </c>
      <c r="E437" s="2" t="s">
        <v>381</v>
      </c>
      <c r="F437" s="2" t="s">
        <v>36</v>
      </c>
      <c r="G437" s="2" t="s">
        <v>37</v>
      </c>
      <c r="H437" s="2" t="s">
        <v>29</v>
      </c>
      <c r="I437" s="2" t="s">
        <v>124</v>
      </c>
      <c r="J437" s="2" t="s">
        <v>23</v>
      </c>
      <c r="K437" s="2" t="s">
        <v>247</v>
      </c>
      <c r="L437" s="2" t="s">
        <v>32</v>
      </c>
      <c r="M437" s="2" t="s">
        <v>26</v>
      </c>
      <c r="N437" s="2" t="s">
        <v>27</v>
      </c>
      <c r="O437" s="1">
        <v>41964</v>
      </c>
      <c r="P437" s="3">
        <v>4.46</v>
      </c>
      <c r="Q437" s="3">
        <v>10.89</v>
      </c>
      <c r="R437" s="3">
        <f t="shared" si="37"/>
        <v>6.4300000000000006</v>
      </c>
      <c r="S437" s="2">
        <v>8</v>
      </c>
      <c r="T437" s="3">
        <f t="shared" si="38"/>
        <v>87.12</v>
      </c>
      <c r="U437" s="4">
        <v>0.09</v>
      </c>
      <c r="V437" s="6">
        <f t="shared" si="39"/>
        <v>7.8407999999999998</v>
      </c>
      <c r="W437" s="6">
        <f t="shared" si="40"/>
        <v>79.279200000000003</v>
      </c>
      <c r="X437" s="3">
        <v>4.5</v>
      </c>
      <c r="Y437" s="5">
        <f t="shared" si="41"/>
        <v>83.779200000000003</v>
      </c>
    </row>
    <row r="438" spans="1:25" x14ac:dyDescent="0.2">
      <c r="A438" t="s">
        <v>1341</v>
      </c>
      <c r="B438" s="1">
        <v>41960</v>
      </c>
      <c r="C438" s="2" t="str">
        <f t="shared" si="36"/>
        <v>2014</v>
      </c>
      <c r="D438" s="2" t="s">
        <v>135</v>
      </c>
      <c r="E438" s="2" t="s">
        <v>136</v>
      </c>
      <c r="F438" s="2" t="s">
        <v>36</v>
      </c>
      <c r="G438" s="2" t="s">
        <v>37</v>
      </c>
      <c r="H438" s="2" t="s">
        <v>50</v>
      </c>
      <c r="I438" s="2" t="s">
        <v>43</v>
      </c>
      <c r="J438" s="2" t="s">
        <v>44</v>
      </c>
      <c r="K438" s="2" t="s">
        <v>31</v>
      </c>
      <c r="L438" s="2" t="s">
        <v>32</v>
      </c>
      <c r="M438" s="2" t="s">
        <v>33</v>
      </c>
      <c r="N438" s="2" t="s">
        <v>27</v>
      </c>
      <c r="O438" s="1">
        <v>41962</v>
      </c>
      <c r="P438" s="3">
        <v>0.93</v>
      </c>
      <c r="Q438" s="3">
        <v>1.48</v>
      </c>
      <c r="R438" s="3">
        <f t="shared" si="37"/>
        <v>0.54999999999999993</v>
      </c>
      <c r="S438" s="2">
        <v>28</v>
      </c>
      <c r="T438" s="3">
        <f t="shared" si="38"/>
        <v>41.44</v>
      </c>
      <c r="U438" s="4">
        <v>0.04</v>
      </c>
      <c r="V438" s="6">
        <f t="shared" si="39"/>
        <v>1.6576</v>
      </c>
      <c r="W438" s="6">
        <f t="shared" si="40"/>
        <v>39.782399999999996</v>
      </c>
      <c r="X438" s="3">
        <v>0.7</v>
      </c>
      <c r="Y438" s="5">
        <f t="shared" si="41"/>
        <v>40.482399999999998</v>
      </c>
    </row>
    <row r="439" spans="1:25" x14ac:dyDescent="0.2">
      <c r="A439" t="s">
        <v>1342</v>
      </c>
      <c r="B439" s="1">
        <v>41961</v>
      </c>
      <c r="C439" s="2" t="str">
        <f t="shared" si="36"/>
        <v>2014</v>
      </c>
      <c r="D439" s="2" t="s">
        <v>703</v>
      </c>
      <c r="E439" s="2" t="s">
        <v>185</v>
      </c>
      <c r="F439" s="2" t="s">
        <v>36</v>
      </c>
      <c r="G439" s="2" t="s">
        <v>37</v>
      </c>
      <c r="H439" s="2" t="s">
        <v>50</v>
      </c>
      <c r="I439" s="2" t="s">
        <v>153</v>
      </c>
      <c r="J439" s="2" t="s">
        <v>66</v>
      </c>
      <c r="K439" s="2" t="s">
        <v>377</v>
      </c>
      <c r="L439" s="2" t="s">
        <v>32</v>
      </c>
      <c r="M439" s="2" t="s">
        <v>33</v>
      </c>
      <c r="N439" s="2" t="s">
        <v>27</v>
      </c>
      <c r="O439" s="1">
        <v>41963</v>
      </c>
      <c r="P439" s="3">
        <v>1.31</v>
      </c>
      <c r="Q439" s="3">
        <v>2.84</v>
      </c>
      <c r="R439" s="3">
        <f t="shared" si="37"/>
        <v>1.5299999999999998</v>
      </c>
      <c r="S439" s="2">
        <v>12</v>
      </c>
      <c r="T439" s="3">
        <f t="shared" si="38"/>
        <v>34.08</v>
      </c>
      <c r="U439" s="4">
        <v>0.1</v>
      </c>
      <c r="V439" s="6">
        <f t="shared" si="39"/>
        <v>3.4079999999999999</v>
      </c>
      <c r="W439" s="6">
        <f t="shared" si="40"/>
        <v>30.671999999999997</v>
      </c>
      <c r="X439" s="3">
        <v>0.93</v>
      </c>
      <c r="Y439" s="5">
        <f t="shared" si="41"/>
        <v>31.601999999999997</v>
      </c>
    </row>
    <row r="440" spans="1:25" x14ac:dyDescent="0.2">
      <c r="A440" t="s">
        <v>1343</v>
      </c>
      <c r="B440" s="1">
        <v>41962</v>
      </c>
      <c r="C440" s="2" t="str">
        <f t="shared" si="36"/>
        <v>2014</v>
      </c>
      <c r="D440" s="2" t="s">
        <v>702</v>
      </c>
      <c r="E440" s="2" t="s">
        <v>357</v>
      </c>
      <c r="F440" s="2" t="s">
        <v>36</v>
      </c>
      <c r="G440" s="2" t="s">
        <v>37</v>
      </c>
      <c r="H440" s="2" t="s">
        <v>50</v>
      </c>
      <c r="I440" s="2" t="s">
        <v>96</v>
      </c>
      <c r="J440" s="2" t="s">
        <v>30</v>
      </c>
      <c r="K440" s="2" t="s">
        <v>301</v>
      </c>
      <c r="L440" s="2" t="s">
        <v>32</v>
      </c>
      <c r="M440" s="2" t="s">
        <v>26</v>
      </c>
      <c r="N440" s="2" t="s">
        <v>89</v>
      </c>
      <c r="O440" s="1">
        <v>41964</v>
      </c>
      <c r="P440" s="3">
        <v>67.73</v>
      </c>
      <c r="Q440" s="3">
        <v>165.2</v>
      </c>
      <c r="R440" s="3">
        <f t="shared" si="37"/>
        <v>97.469999999999985</v>
      </c>
      <c r="S440" s="2">
        <v>46</v>
      </c>
      <c r="T440" s="3">
        <f t="shared" si="38"/>
        <v>7599.2</v>
      </c>
      <c r="U440" s="4">
        <v>0.02</v>
      </c>
      <c r="V440" s="6">
        <f t="shared" si="39"/>
        <v>151.98400000000001</v>
      </c>
      <c r="W440" s="6">
        <f t="shared" si="40"/>
        <v>7447.2159999999994</v>
      </c>
      <c r="X440" s="3">
        <v>19.989999999999998</v>
      </c>
      <c r="Y440" s="5">
        <f t="shared" si="41"/>
        <v>7467.2059999999992</v>
      </c>
    </row>
    <row r="441" spans="1:25" x14ac:dyDescent="0.2">
      <c r="A441" t="s">
        <v>1344</v>
      </c>
      <c r="B441" s="1">
        <v>41964</v>
      </c>
      <c r="C441" s="2" t="str">
        <f t="shared" si="36"/>
        <v>2014</v>
      </c>
      <c r="D441" s="2" t="s">
        <v>701</v>
      </c>
      <c r="E441" s="2" t="s">
        <v>373</v>
      </c>
      <c r="F441" s="2" t="s">
        <v>36</v>
      </c>
      <c r="G441" s="2" t="s">
        <v>37</v>
      </c>
      <c r="H441" s="2" t="s">
        <v>21</v>
      </c>
      <c r="I441" s="2" t="s">
        <v>51</v>
      </c>
      <c r="J441" s="2" t="s">
        <v>30</v>
      </c>
      <c r="K441" s="2" t="s">
        <v>117</v>
      </c>
      <c r="L441" s="2" t="s">
        <v>25</v>
      </c>
      <c r="M441" s="2" t="s">
        <v>26</v>
      </c>
      <c r="N441" s="2" t="s">
        <v>27</v>
      </c>
      <c r="O441" s="1">
        <v>41966</v>
      </c>
      <c r="P441" s="3">
        <v>32.020000000000003</v>
      </c>
      <c r="Q441" s="3">
        <v>152.47999999999999</v>
      </c>
      <c r="R441" s="3">
        <f t="shared" si="37"/>
        <v>120.45999999999998</v>
      </c>
      <c r="S441" s="2">
        <v>29</v>
      </c>
      <c r="T441" s="3">
        <f t="shared" si="38"/>
        <v>4421.92</v>
      </c>
      <c r="U441" s="4">
        <v>0.09</v>
      </c>
      <c r="V441" s="6">
        <f t="shared" si="39"/>
        <v>397.97280000000001</v>
      </c>
      <c r="W441" s="6">
        <f t="shared" si="40"/>
        <v>4023.9472000000001</v>
      </c>
      <c r="X441" s="3">
        <v>4</v>
      </c>
      <c r="Y441" s="5">
        <f t="shared" si="41"/>
        <v>4027.9472000000001</v>
      </c>
    </row>
    <row r="442" spans="1:25" x14ac:dyDescent="0.2">
      <c r="A442" t="s">
        <v>1345</v>
      </c>
      <c r="B442" s="1">
        <v>41965</v>
      </c>
      <c r="C442" s="2" t="str">
        <f t="shared" si="36"/>
        <v>2014</v>
      </c>
      <c r="D442" s="2" t="s">
        <v>77</v>
      </c>
      <c r="E442" s="2" t="s">
        <v>78</v>
      </c>
      <c r="F442" s="2" t="s">
        <v>36</v>
      </c>
      <c r="G442" s="2" t="s">
        <v>37</v>
      </c>
      <c r="H442" s="2" t="s">
        <v>21</v>
      </c>
      <c r="I442" s="2" t="s">
        <v>79</v>
      </c>
      <c r="J442" s="2" t="s">
        <v>44</v>
      </c>
      <c r="K442" s="2" t="s">
        <v>287</v>
      </c>
      <c r="L442" s="2" t="s">
        <v>32</v>
      </c>
      <c r="M442" s="2" t="s">
        <v>26</v>
      </c>
      <c r="N442" s="2" t="s">
        <v>27</v>
      </c>
      <c r="O442" s="1">
        <v>41965</v>
      </c>
      <c r="P442" s="3">
        <v>13.88</v>
      </c>
      <c r="Q442" s="3">
        <v>22.38</v>
      </c>
      <c r="R442" s="3">
        <f t="shared" si="37"/>
        <v>8.4999999999999982</v>
      </c>
      <c r="S442" s="2">
        <v>10</v>
      </c>
      <c r="T442" s="3">
        <f t="shared" si="38"/>
        <v>223.79999999999998</v>
      </c>
      <c r="U442" s="4">
        <v>0.01</v>
      </c>
      <c r="V442" s="6">
        <f t="shared" si="39"/>
        <v>2.238</v>
      </c>
      <c r="W442" s="6">
        <f t="shared" si="40"/>
        <v>221.56199999999998</v>
      </c>
      <c r="X442" s="3">
        <v>15.1</v>
      </c>
      <c r="Y442" s="5">
        <f t="shared" si="41"/>
        <v>236.66199999999998</v>
      </c>
    </row>
    <row r="443" spans="1:25" x14ac:dyDescent="0.2">
      <c r="A443" t="s">
        <v>1346</v>
      </c>
      <c r="B443" s="1">
        <v>41965</v>
      </c>
      <c r="C443" s="2" t="str">
        <f t="shared" si="36"/>
        <v>2014</v>
      </c>
      <c r="D443" s="2" t="s">
        <v>589</v>
      </c>
      <c r="E443" s="2" t="s">
        <v>65</v>
      </c>
      <c r="F443" s="2" t="s">
        <v>36</v>
      </c>
      <c r="G443" s="2" t="s">
        <v>37</v>
      </c>
      <c r="H443" s="2" t="s">
        <v>29</v>
      </c>
      <c r="I443" s="2" t="s">
        <v>43</v>
      </c>
      <c r="J443" s="2" t="s">
        <v>66</v>
      </c>
      <c r="K443" s="2" t="s">
        <v>377</v>
      </c>
      <c r="L443" s="2" t="s">
        <v>32</v>
      </c>
      <c r="M443" s="2" t="s">
        <v>33</v>
      </c>
      <c r="N443" s="2" t="s">
        <v>27</v>
      </c>
      <c r="O443" s="1">
        <v>41967</v>
      </c>
      <c r="P443" s="3">
        <v>1.31</v>
      </c>
      <c r="Q443" s="3">
        <v>2.84</v>
      </c>
      <c r="R443" s="3">
        <f t="shared" si="37"/>
        <v>1.5299999999999998</v>
      </c>
      <c r="S443" s="2">
        <v>39</v>
      </c>
      <c r="T443" s="3">
        <f t="shared" si="38"/>
        <v>110.75999999999999</v>
      </c>
      <c r="U443" s="4">
        <v>0.05</v>
      </c>
      <c r="V443" s="6">
        <f t="shared" si="39"/>
        <v>5.5380000000000003</v>
      </c>
      <c r="W443" s="6">
        <f t="shared" si="40"/>
        <v>105.22199999999999</v>
      </c>
      <c r="X443" s="3">
        <v>0.93</v>
      </c>
      <c r="Y443" s="5">
        <f t="shared" si="41"/>
        <v>106.152</v>
      </c>
    </row>
    <row r="444" spans="1:25" x14ac:dyDescent="0.2">
      <c r="A444" t="s">
        <v>1347</v>
      </c>
      <c r="B444" s="1">
        <v>41966</v>
      </c>
      <c r="C444" s="2" t="str">
        <f t="shared" si="36"/>
        <v>2014</v>
      </c>
      <c r="D444" s="2" t="s">
        <v>699</v>
      </c>
      <c r="E444" s="2" t="s">
        <v>524</v>
      </c>
      <c r="F444" s="2" t="s">
        <v>36</v>
      </c>
      <c r="G444" s="2" t="s">
        <v>37</v>
      </c>
      <c r="H444" s="2" t="s">
        <v>42</v>
      </c>
      <c r="I444" s="2" t="s">
        <v>83</v>
      </c>
      <c r="J444" s="2" t="s">
        <v>66</v>
      </c>
      <c r="K444" s="2" t="s">
        <v>154</v>
      </c>
      <c r="L444" s="2" t="s">
        <v>32</v>
      </c>
      <c r="M444" s="2" t="s">
        <v>26</v>
      </c>
      <c r="N444" s="2" t="s">
        <v>89</v>
      </c>
      <c r="O444" s="1">
        <v>41969</v>
      </c>
      <c r="P444" s="3">
        <v>8.92</v>
      </c>
      <c r="Q444" s="3">
        <v>29.74</v>
      </c>
      <c r="R444" s="3">
        <f t="shared" si="37"/>
        <v>20.82</v>
      </c>
      <c r="S444" s="2">
        <v>34</v>
      </c>
      <c r="T444" s="3">
        <f t="shared" si="38"/>
        <v>1011.16</v>
      </c>
      <c r="U444" s="4">
        <v>0.09</v>
      </c>
      <c r="V444" s="6">
        <f t="shared" si="39"/>
        <v>91.00439999999999</v>
      </c>
      <c r="W444" s="6">
        <f t="shared" si="40"/>
        <v>920.15559999999994</v>
      </c>
      <c r="X444" s="3">
        <v>6.64</v>
      </c>
      <c r="Y444" s="5">
        <f t="shared" si="41"/>
        <v>926.79559999999992</v>
      </c>
    </row>
    <row r="445" spans="1:25" x14ac:dyDescent="0.2">
      <c r="A445" t="s">
        <v>1348</v>
      </c>
      <c r="B445" s="1">
        <v>41966</v>
      </c>
      <c r="C445" s="2" t="str">
        <f t="shared" si="36"/>
        <v>2014</v>
      </c>
      <c r="D445" s="2" t="s">
        <v>700</v>
      </c>
      <c r="E445" s="2" t="s">
        <v>69</v>
      </c>
      <c r="F445" s="2" t="s">
        <v>19</v>
      </c>
      <c r="G445" s="2" t="s">
        <v>20</v>
      </c>
      <c r="H445" s="2" t="s">
        <v>29</v>
      </c>
      <c r="I445" s="2" t="s">
        <v>22</v>
      </c>
      <c r="J445" s="2" t="s">
        <v>23</v>
      </c>
      <c r="K445" s="2" t="s">
        <v>186</v>
      </c>
      <c r="L445" s="2" t="s">
        <v>25</v>
      </c>
      <c r="M445" s="2" t="s">
        <v>62</v>
      </c>
      <c r="N445" s="2" t="s">
        <v>63</v>
      </c>
      <c r="O445" s="1">
        <v>41970</v>
      </c>
      <c r="P445" s="3">
        <v>278.99</v>
      </c>
      <c r="Q445" s="3">
        <v>449.99</v>
      </c>
      <c r="R445" s="3">
        <f t="shared" si="37"/>
        <v>171</v>
      </c>
      <c r="S445" s="2">
        <v>34</v>
      </c>
      <c r="T445" s="3">
        <f t="shared" si="38"/>
        <v>15299.66</v>
      </c>
      <c r="U445" s="4">
        <v>0.02</v>
      </c>
      <c r="V445" s="6">
        <f t="shared" si="39"/>
        <v>305.9932</v>
      </c>
      <c r="W445" s="6">
        <f t="shared" si="40"/>
        <v>14993.666799999999</v>
      </c>
      <c r="X445" s="3">
        <v>49</v>
      </c>
      <c r="Y445" s="5">
        <f t="shared" si="41"/>
        <v>15042.666799999999</v>
      </c>
    </row>
    <row r="446" spans="1:25" x14ac:dyDescent="0.2">
      <c r="A446" t="s">
        <v>1349</v>
      </c>
      <c r="B446" s="1">
        <v>41969</v>
      </c>
      <c r="C446" s="2" t="str">
        <f t="shared" si="36"/>
        <v>2014</v>
      </c>
      <c r="D446" s="2" t="s">
        <v>606</v>
      </c>
      <c r="E446" s="2" t="s">
        <v>138</v>
      </c>
      <c r="F446" s="2" t="s">
        <v>36</v>
      </c>
      <c r="G446" s="2" t="s">
        <v>37</v>
      </c>
      <c r="H446" s="2" t="s">
        <v>50</v>
      </c>
      <c r="I446" s="2" t="s">
        <v>51</v>
      </c>
      <c r="J446" s="2" t="s">
        <v>44</v>
      </c>
      <c r="K446" s="2" t="s">
        <v>128</v>
      </c>
      <c r="L446" s="2" t="s">
        <v>25</v>
      </c>
      <c r="M446" s="2" t="s">
        <v>26</v>
      </c>
      <c r="N446" s="2" t="s">
        <v>27</v>
      </c>
      <c r="O446" s="1">
        <v>41971</v>
      </c>
      <c r="P446" s="3">
        <v>8.31</v>
      </c>
      <c r="Q446" s="3">
        <v>15.98</v>
      </c>
      <c r="R446" s="3">
        <f t="shared" si="37"/>
        <v>7.67</v>
      </c>
      <c r="S446" s="2">
        <v>5</v>
      </c>
      <c r="T446" s="3">
        <f t="shared" si="38"/>
        <v>79.900000000000006</v>
      </c>
      <c r="U446" s="4">
        <v>0.08</v>
      </c>
      <c r="V446" s="6">
        <f t="shared" si="39"/>
        <v>6.3920000000000003</v>
      </c>
      <c r="W446" s="6">
        <f t="shared" si="40"/>
        <v>73.50800000000001</v>
      </c>
      <c r="X446" s="3">
        <v>6.5</v>
      </c>
      <c r="Y446" s="5">
        <f t="shared" si="41"/>
        <v>80.00800000000001</v>
      </c>
    </row>
    <row r="447" spans="1:25" x14ac:dyDescent="0.2">
      <c r="A447" t="s">
        <v>1350</v>
      </c>
      <c r="B447" s="1">
        <v>41973</v>
      </c>
      <c r="C447" s="2" t="str">
        <f t="shared" si="36"/>
        <v>2014</v>
      </c>
      <c r="D447" s="2" t="s">
        <v>487</v>
      </c>
      <c r="E447" s="2" t="s">
        <v>95</v>
      </c>
      <c r="F447" s="2" t="s">
        <v>36</v>
      </c>
      <c r="G447" s="2" t="s">
        <v>37</v>
      </c>
      <c r="H447" s="2" t="s">
        <v>21</v>
      </c>
      <c r="I447" s="2" t="s">
        <v>96</v>
      </c>
      <c r="J447" s="2" t="s">
        <v>44</v>
      </c>
      <c r="K447" s="2" t="s">
        <v>316</v>
      </c>
      <c r="L447" s="2" t="s">
        <v>32</v>
      </c>
      <c r="M447" s="2" t="s">
        <v>33</v>
      </c>
      <c r="N447" s="2" t="s">
        <v>89</v>
      </c>
      <c r="O447" s="1">
        <v>41975</v>
      </c>
      <c r="P447" s="3">
        <v>3.32</v>
      </c>
      <c r="Q447" s="3">
        <v>5.18</v>
      </c>
      <c r="R447" s="3">
        <f t="shared" si="37"/>
        <v>1.8599999999999999</v>
      </c>
      <c r="S447" s="2">
        <v>9</v>
      </c>
      <c r="T447" s="3">
        <f t="shared" si="38"/>
        <v>46.62</v>
      </c>
      <c r="U447" s="4">
        <v>0.09</v>
      </c>
      <c r="V447" s="6">
        <f t="shared" si="39"/>
        <v>4.1957999999999993</v>
      </c>
      <c r="W447" s="6">
        <f t="shared" si="40"/>
        <v>42.424199999999999</v>
      </c>
      <c r="X447" s="3">
        <v>2.04</v>
      </c>
      <c r="Y447" s="5">
        <f t="shared" si="41"/>
        <v>44.464199999999998</v>
      </c>
    </row>
    <row r="448" spans="1:25" x14ac:dyDescent="0.2">
      <c r="A448" t="s">
        <v>1351</v>
      </c>
      <c r="B448" s="1">
        <v>41974</v>
      </c>
      <c r="C448" s="2" t="str">
        <f t="shared" si="36"/>
        <v>2014</v>
      </c>
      <c r="D448" s="2" t="s">
        <v>697</v>
      </c>
      <c r="E448" s="2" t="s">
        <v>1898</v>
      </c>
      <c r="F448" s="2" t="s">
        <v>1881</v>
      </c>
      <c r="G448" s="2" t="s">
        <v>1882</v>
      </c>
      <c r="H448" s="2" t="s">
        <v>50</v>
      </c>
      <c r="I448" s="2" t="s">
        <v>43</v>
      </c>
      <c r="J448" s="2" t="s">
        <v>23</v>
      </c>
      <c r="K448" s="2" t="s">
        <v>410</v>
      </c>
      <c r="L448" s="2" t="s">
        <v>32</v>
      </c>
      <c r="M448" s="2" t="s">
        <v>33</v>
      </c>
      <c r="N448" s="2" t="s">
        <v>89</v>
      </c>
      <c r="O448" s="1">
        <v>41978</v>
      </c>
      <c r="P448" s="3">
        <v>1.95</v>
      </c>
      <c r="Q448" s="3">
        <v>3.98</v>
      </c>
      <c r="R448" s="3">
        <f t="shared" si="37"/>
        <v>2.0300000000000002</v>
      </c>
      <c r="S448" s="2">
        <v>4</v>
      </c>
      <c r="T448" s="3">
        <f t="shared" si="38"/>
        <v>15.92</v>
      </c>
      <c r="U448" s="4">
        <v>0.02</v>
      </c>
      <c r="V448" s="6">
        <f t="shared" si="39"/>
        <v>0.31840000000000002</v>
      </c>
      <c r="W448" s="6">
        <f t="shared" si="40"/>
        <v>15.601599999999999</v>
      </c>
      <c r="X448" s="3">
        <v>0.83</v>
      </c>
      <c r="Y448" s="5">
        <f t="shared" si="41"/>
        <v>16.4316</v>
      </c>
    </row>
    <row r="449" spans="1:25" x14ac:dyDescent="0.2">
      <c r="A449" t="s">
        <v>1352</v>
      </c>
      <c r="B449" s="1">
        <v>41974</v>
      </c>
      <c r="C449" s="2" t="str">
        <f t="shared" si="36"/>
        <v>2014</v>
      </c>
      <c r="D449" s="2" t="s">
        <v>698</v>
      </c>
      <c r="E449" s="2" t="s">
        <v>166</v>
      </c>
      <c r="F449" s="2" t="s">
        <v>19</v>
      </c>
      <c r="G449" s="2" t="s">
        <v>20</v>
      </c>
      <c r="H449" s="2" t="s">
        <v>42</v>
      </c>
      <c r="I449" s="2" t="s">
        <v>92</v>
      </c>
      <c r="J449" s="2" t="s">
        <v>23</v>
      </c>
      <c r="K449" s="2" t="s">
        <v>234</v>
      </c>
      <c r="L449" s="2" t="s">
        <v>32</v>
      </c>
      <c r="M449" s="2" t="s">
        <v>58</v>
      </c>
      <c r="N449" s="2" t="s">
        <v>27</v>
      </c>
      <c r="O449" s="1">
        <v>41981</v>
      </c>
      <c r="P449" s="3">
        <v>16.8</v>
      </c>
      <c r="Q449" s="3">
        <v>40.97</v>
      </c>
      <c r="R449" s="3">
        <f t="shared" si="37"/>
        <v>24.169999999999998</v>
      </c>
      <c r="S449" s="2">
        <v>47</v>
      </c>
      <c r="T449" s="3">
        <f t="shared" si="38"/>
        <v>1925.59</v>
      </c>
      <c r="U449" s="4">
        <v>0.04</v>
      </c>
      <c r="V449" s="6">
        <f t="shared" si="39"/>
        <v>77.023600000000002</v>
      </c>
      <c r="W449" s="6">
        <f t="shared" si="40"/>
        <v>1848.5663999999999</v>
      </c>
      <c r="X449" s="3">
        <v>8.99</v>
      </c>
      <c r="Y449" s="5">
        <f t="shared" si="41"/>
        <v>1857.5563999999999</v>
      </c>
    </row>
    <row r="450" spans="1:25" x14ac:dyDescent="0.2">
      <c r="A450" t="s">
        <v>1353</v>
      </c>
      <c r="B450" s="1">
        <v>41977</v>
      </c>
      <c r="C450" s="2" t="str">
        <f t="shared" si="36"/>
        <v>2014</v>
      </c>
      <c r="D450" s="2" t="s">
        <v>472</v>
      </c>
      <c r="E450" s="2" t="s">
        <v>199</v>
      </c>
      <c r="F450" s="2" t="s">
        <v>19</v>
      </c>
      <c r="G450" s="2" t="s">
        <v>20</v>
      </c>
      <c r="H450" s="2" t="s">
        <v>21</v>
      </c>
      <c r="I450" s="2" t="s">
        <v>92</v>
      </c>
      <c r="J450" s="2" t="s">
        <v>30</v>
      </c>
      <c r="K450" s="2" t="s">
        <v>167</v>
      </c>
      <c r="L450" s="2" t="s">
        <v>32</v>
      </c>
      <c r="M450" s="2" t="s">
        <v>26</v>
      </c>
      <c r="N450" s="2" t="s">
        <v>27</v>
      </c>
      <c r="O450" s="1">
        <v>41978</v>
      </c>
      <c r="P450" s="3">
        <v>14.95</v>
      </c>
      <c r="Q450" s="3">
        <v>34.76</v>
      </c>
      <c r="R450" s="3">
        <f t="shared" si="37"/>
        <v>19.809999999999999</v>
      </c>
      <c r="S450" s="2">
        <v>8</v>
      </c>
      <c r="T450" s="3">
        <f t="shared" si="38"/>
        <v>278.08</v>
      </c>
      <c r="U450" s="4">
        <v>7.0000000000000007E-2</v>
      </c>
      <c r="V450" s="6">
        <f t="shared" si="39"/>
        <v>19.465600000000002</v>
      </c>
      <c r="W450" s="6">
        <f t="shared" si="40"/>
        <v>258.61439999999999</v>
      </c>
      <c r="X450" s="3">
        <v>8.2200000000000006</v>
      </c>
      <c r="Y450" s="5">
        <f t="shared" si="41"/>
        <v>266.83440000000002</v>
      </c>
    </row>
    <row r="451" spans="1:25" x14ac:dyDescent="0.2">
      <c r="A451" t="s">
        <v>1354</v>
      </c>
      <c r="B451" s="1">
        <v>41978</v>
      </c>
      <c r="C451" s="2" t="str">
        <f t="shared" si="36"/>
        <v>2014</v>
      </c>
      <c r="D451" s="2" t="s">
        <v>696</v>
      </c>
      <c r="E451" s="2" t="s">
        <v>123</v>
      </c>
      <c r="F451" s="2" t="s">
        <v>36</v>
      </c>
      <c r="G451" s="2" t="s">
        <v>37</v>
      </c>
      <c r="H451" s="2" t="s">
        <v>50</v>
      </c>
      <c r="I451" s="2" t="s">
        <v>124</v>
      </c>
      <c r="J451" s="2" t="s">
        <v>30</v>
      </c>
      <c r="K451" s="2" t="s">
        <v>332</v>
      </c>
      <c r="L451" s="2" t="s">
        <v>32</v>
      </c>
      <c r="M451" s="2" t="s">
        <v>26</v>
      </c>
      <c r="N451" s="2" t="s">
        <v>89</v>
      </c>
      <c r="O451" s="1">
        <v>41979</v>
      </c>
      <c r="P451" s="3">
        <v>2.25</v>
      </c>
      <c r="Q451" s="3">
        <v>3.69</v>
      </c>
      <c r="R451" s="3">
        <f t="shared" si="37"/>
        <v>1.44</v>
      </c>
      <c r="S451" s="2">
        <v>41</v>
      </c>
      <c r="T451" s="3">
        <f t="shared" si="38"/>
        <v>151.29</v>
      </c>
      <c r="U451" s="4">
        <v>0.08</v>
      </c>
      <c r="V451" s="6">
        <f t="shared" si="39"/>
        <v>12.103199999999999</v>
      </c>
      <c r="W451" s="6">
        <f t="shared" si="40"/>
        <v>139.18680000000001</v>
      </c>
      <c r="X451" s="3">
        <v>2.5</v>
      </c>
      <c r="Y451" s="5">
        <f t="shared" si="41"/>
        <v>141.68680000000001</v>
      </c>
    </row>
    <row r="452" spans="1:25" x14ac:dyDescent="0.2">
      <c r="A452" t="s">
        <v>1355</v>
      </c>
      <c r="B452" s="1">
        <v>41979</v>
      </c>
      <c r="C452" s="2" t="str">
        <f t="shared" si="36"/>
        <v>2014</v>
      </c>
      <c r="D452" s="2" t="s">
        <v>695</v>
      </c>
      <c r="E452" s="2" t="s">
        <v>451</v>
      </c>
      <c r="F452" s="2" t="s">
        <v>36</v>
      </c>
      <c r="G452" s="2" t="s">
        <v>37</v>
      </c>
      <c r="H452" s="2" t="s">
        <v>29</v>
      </c>
      <c r="I452" s="2" t="s">
        <v>51</v>
      </c>
      <c r="J452" s="2" t="s">
        <v>52</v>
      </c>
      <c r="K452" s="2" t="s">
        <v>684</v>
      </c>
      <c r="L452" s="2" t="s">
        <v>32</v>
      </c>
      <c r="M452" s="2" t="s">
        <v>26</v>
      </c>
      <c r="N452" s="2" t="s">
        <v>89</v>
      </c>
      <c r="O452" s="1">
        <v>41981</v>
      </c>
      <c r="P452" s="3">
        <v>1.82</v>
      </c>
      <c r="Q452" s="3">
        <v>2.84</v>
      </c>
      <c r="R452" s="3">
        <f t="shared" si="37"/>
        <v>1.0199999999999998</v>
      </c>
      <c r="S452" s="2">
        <v>21</v>
      </c>
      <c r="T452" s="3">
        <f t="shared" si="38"/>
        <v>59.64</v>
      </c>
      <c r="U452" s="4">
        <v>0.01</v>
      </c>
      <c r="V452" s="6">
        <f t="shared" si="39"/>
        <v>0.59640000000000004</v>
      </c>
      <c r="W452" s="6">
        <f t="shared" si="40"/>
        <v>59.043599999999998</v>
      </c>
      <c r="X452" s="3">
        <v>5.44</v>
      </c>
      <c r="Y452" s="5">
        <f t="shared" si="41"/>
        <v>64.483599999999996</v>
      </c>
    </row>
    <row r="453" spans="1:25" x14ac:dyDescent="0.2">
      <c r="A453" t="s">
        <v>1356</v>
      </c>
      <c r="B453" s="1">
        <v>41981</v>
      </c>
      <c r="C453" s="2" t="str">
        <f t="shared" si="36"/>
        <v>2014</v>
      </c>
      <c r="D453" s="2" t="s">
        <v>693</v>
      </c>
      <c r="E453" s="2" t="s">
        <v>694</v>
      </c>
      <c r="F453" s="2" t="s">
        <v>36</v>
      </c>
      <c r="G453" s="2" t="s">
        <v>37</v>
      </c>
      <c r="H453" s="2" t="s">
        <v>42</v>
      </c>
      <c r="I453" s="2" t="s">
        <v>83</v>
      </c>
      <c r="J453" s="2" t="s">
        <v>44</v>
      </c>
      <c r="K453" s="2" t="s">
        <v>347</v>
      </c>
      <c r="L453" s="2" t="s">
        <v>32</v>
      </c>
      <c r="M453" s="2" t="s">
        <v>26</v>
      </c>
      <c r="N453" s="2" t="s">
        <v>27</v>
      </c>
      <c r="O453" s="1">
        <v>41983</v>
      </c>
      <c r="P453" s="3">
        <v>178.83</v>
      </c>
      <c r="Q453" s="3">
        <v>415.88</v>
      </c>
      <c r="R453" s="3">
        <f t="shared" si="37"/>
        <v>237.04999999999998</v>
      </c>
      <c r="S453" s="2">
        <v>4</v>
      </c>
      <c r="T453" s="3">
        <f t="shared" si="38"/>
        <v>1663.52</v>
      </c>
      <c r="U453" s="4">
        <v>0.03</v>
      </c>
      <c r="V453" s="6">
        <f t="shared" si="39"/>
        <v>49.9056</v>
      </c>
      <c r="W453" s="6">
        <f t="shared" si="40"/>
        <v>1613.6143999999999</v>
      </c>
      <c r="X453" s="3">
        <v>11.37</v>
      </c>
      <c r="Y453" s="5">
        <f t="shared" si="41"/>
        <v>1624.9843999999998</v>
      </c>
    </row>
    <row r="454" spans="1:25" x14ac:dyDescent="0.2">
      <c r="A454" t="s">
        <v>1357</v>
      </c>
      <c r="B454" s="1">
        <v>41982</v>
      </c>
      <c r="C454" s="2" t="str">
        <f t="shared" ref="C454:C517" si="42">TEXT(B454,"yyyy")</f>
        <v>2014</v>
      </c>
      <c r="D454" s="2" t="s">
        <v>458</v>
      </c>
      <c r="E454" s="2" t="s">
        <v>152</v>
      </c>
      <c r="F454" s="2" t="s">
        <v>36</v>
      </c>
      <c r="G454" s="2" t="s">
        <v>37</v>
      </c>
      <c r="H454" s="2" t="s">
        <v>29</v>
      </c>
      <c r="I454" s="2" t="s">
        <v>153</v>
      </c>
      <c r="J454" s="2" t="s">
        <v>30</v>
      </c>
      <c r="K454" s="2" t="s">
        <v>449</v>
      </c>
      <c r="L454" s="2" t="s">
        <v>32</v>
      </c>
      <c r="M454" s="2" t="s">
        <v>26</v>
      </c>
      <c r="N454" s="2" t="s">
        <v>27</v>
      </c>
      <c r="O454" s="1">
        <v>41984</v>
      </c>
      <c r="P454" s="3">
        <v>12.39</v>
      </c>
      <c r="Q454" s="3">
        <v>19.98</v>
      </c>
      <c r="R454" s="3">
        <f t="shared" ref="R454:R517" si="43">Q454-P454</f>
        <v>7.59</v>
      </c>
      <c r="S454" s="2">
        <v>48</v>
      </c>
      <c r="T454" s="3">
        <f t="shared" ref="T454:T517" si="44">Q454*S454</f>
        <v>959.04</v>
      </c>
      <c r="U454" s="4">
        <v>0.01</v>
      </c>
      <c r="V454" s="6">
        <f t="shared" ref="V454:V517" si="45">T454*U454</f>
        <v>9.5904000000000007</v>
      </c>
      <c r="W454" s="6">
        <f t="shared" ref="W454:W517" si="46">T454-V454</f>
        <v>949.44959999999992</v>
      </c>
      <c r="X454" s="3">
        <v>5.77</v>
      </c>
      <c r="Y454" s="5">
        <f t="shared" ref="Y454:Y517" si="47">W454+X454</f>
        <v>955.2195999999999</v>
      </c>
    </row>
    <row r="455" spans="1:25" x14ac:dyDescent="0.2">
      <c r="A455" t="s">
        <v>1358</v>
      </c>
      <c r="B455" s="1">
        <v>41983</v>
      </c>
      <c r="C455" s="2" t="str">
        <f t="shared" si="42"/>
        <v>2014</v>
      </c>
      <c r="D455" s="2" t="s">
        <v>104</v>
      </c>
      <c r="E455" s="2" t="s">
        <v>1927</v>
      </c>
      <c r="F455" s="2" t="s">
        <v>36</v>
      </c>
      <c r="G455" s="2" t="s">
        <v>37</v>
      </c>
      <c r="H455" s="2" t="s">
        <v>50</v>
      </c>
      <c r="I455" s="2" t="s">
        <v>56</v>
      </c>
      <c r="J455" s="2" t="s">
        <v>52</v>
      </c>
      <c r="K455" s="2" t="s">
        <v>144</v>
      </c>
      <c r="L455" s="2" t="s">
        <v>32</v>
      </c>
      <c r="M455" s="2" t="s">
        <v>58</v>
      </c>
      <c r="N455" s="2" t="s">
        <v>27</v>
      </c>
      <c r="O455" s="1">
        <v>41984</v>
      </c>
      <c r="P455" s="3">
        <v>4.1900000000000004</v>
      </c>
      <c r="Q455" s="3">
        <v>10.23</v>
      </c>
      <c r="R455" s="3">
        <f t="shared" si="43"/>
        <v>6.04</v>
      </c>
      <c r="S455" s="2">
        <v>46</v>
      </c>
      <c r="T455" s="3">
        <f t="shared" si="44"/>
        <v>470.58000000000004</v>
      </c>
      <c r="U455" s="4">
        <v>0.01</v>
      </c>
      <c r="V455" s="6">
        <f t="shared" si="45"/>
        <v>4.7058000000000009</v>
      </c>
      <c r="W455" s="6">
        <f t="shared" si="46"/>
        <v>465.87420000000003</v>
      </c>
      <c r="X455" s="3">
        <v>4.68</v>
      </c>
      <c r="Y455" s="5">
        <f t="shared" si="47"/>
        <v>470.55420000000004</v>
      </c>
    </row>
    <row r="456" spans="1:25" x14ac:dyDescent="0.2">
      <c r="A456" t="s">
        <v>1359</v>
      </c>
      <c r="B456" s="1">
        <v>41983</v>
      </c>
      <c r="C456" s="2" t="str">
        <f t="shared" si="42"/>
        <v>2014</v>
      </c>
      <c r="D456" s="2" t="s">
        <v>692</v>
      </c>
      <c r="E456" s="2" t="s">
        <v>65</v>
      </c>
      <c r="F456" s="2" t="s">
        <v>36</v>
      </c>
      <c r="G456" s="2" t="s">
        <v>37</v>
      </c>
      <c r="H456" s="2" t="s">
        <v>50</v>
      </c>
      <c r="I456" s="2" t="s">
        <v>43</v>
      </c>
      <c r="J456" s="2" t="s">
        <v>23</v>
      </c>
      <c r="K456" s="2" t="s">
        <v>447</v>
      </c>
      <c r="L456" s="2" t="s">
        <v>25</v>
      </c>
      <c r="M456" s="2" t="s">
        <v>58</v>
      </c>
      <c r="N456" s="2" t="s">
        <v>27</v>
      </c>
      <c r="O456" s="1">
        <v>41985</v>
      </c>
      <c r="P456" s="3">
        <v>1.87</v>
      </c>
      <c r="Q456" s="3">
        <v>8.1199999999999992</v>
      </c>
      <c r="R456" s="3">
        <f t="shared" si="43"/>
        <v>6.2499999999999991</v>
      </c>
      <c r="S456" s="2">
        <v>11</v>
      </c>
      <c r="T456" s="3">
        <f t="shared" si="44"/>
        <v>89.32</v>
      </c>
      <c r="U456" s="4">
        <v>0.06</v>
      </c>
      <c r="V456" s="6">
        <f t="shared" si="45"/>
        <v>5.3591999999999995</v>
      </c>
      <c r="W456" s="6">
        <f t="shared" si="46"/>
        <v>83.960799999999992</v>
      </c>
      <c r="X456" s="3">
        <v>2.83</v>
      </c>
      <c r="Y456" s="5">
        <f t="shared" si="47"/>
        <v>86.79079999999999</v>
      </c>
    </row>
    <row r="457" spans="1:25" x14ac:dyDescent="0.2">
      <c r="A457" t="s">
        <v>1360</v>
      </c>
      <c r="B457" s="1">
        <v>41986</v>
      </c>
      <c r="C457" s="2" t="str">
        <f t="shared" si="42"/>
        <v>2014</v>
      </c>
      <c r="D457" s="2" t="s">
        <v>288</v>
      </c>
      <c r="E457" s="2" t="s">
        <v>46</v>
      </c>
      <c r="F457" s="2" t="s">
        <v>19</v>
      </c>
      <c r="G457" s="2" t="s">
        <v>20</v>
      </c>
      <c r="H457" s="2" t="s">
        <v>50</v>
      </c>
      <c r="I457" s="2" t="s">
        <v>22</v>
      </c>
      <c r="J457" s="2" t="s">
        <v>44</v>
      </c>
      <c r="K457" s="2" t="s">
        <v>80</v>
      </c>
      <c r="L457" s="2" t="s">
        <v>32</v>
      </c>
      <c r="M457" s="2" t="s">
        <v>26</v>
      </c>
      <c r="N457" s="2" t="s">
        <v>27</v>
      </c>
      <c r="O457" s="1">
        <v>41988</v>
      </c>
      <c r="P457" s="3">
        <v>4.59</v>
      </c>
      <c r="Q457" s="3">
        <v>7.28</v>
      </c>
      <c r="R457" s="3">
        <f t="shared" si="43"/>
        <v>2.6900000000000004</v>
      </c>
      <c r="S457" s="2">
        <v>36</v>
      </c>
      <c r="T457" s="3">
        <f t="shared" si="44"/>
        <v>262.08</v>
      </c>
      <c r="U457" s="4">
        <v>0.05</v>
      </c>
      <c r="V457" s="6">
        <f t="shared" si="45"/>
        <v>13.103999999999999</v>
      </c>
      <c r="W457" s="6">
        <f t="shared" si="46"/>
        <v>248.976</v>
      </c>
      <c r="X457" s="3">
        <v>11.15</v>
      </c>
      <c r="Y457" s="5">
        <f t="shared" si="47"/>
        <v>260.12599999999998</v>
      </c>
    </row>
    <row r="458" spans="1:25" x14ac:dyDescent="0.2">
      <c r="A458" t="s">
        <v>1361</v>
      </c>
      <c r="B458" s="1">
        <v>41989</v>
      </c>
      <c r="C458" s="2" t="str">
        <f t="shared" si="42"/>
        <v>2014</v>
      </c>
      <c r="D458" s="2" t="s">
        <v>691</v>
      </c>
      <c r="E458" s="2" t="s">
        <v>194</v>
      </c>
      <c r="F458" s="2" t="s">
        <v>36</v>
      </c>
      <c r="G458" s="2" t="s">
        <v>37</v>
      </c>
      <c r="H458" s="2" t="s">
        <v>50</v>
      </c>
      <c r="I458" s="2" t="s">
        <v>51</v>
      </c>
      <c r="J458" s="2" t="s">
        <v>30</v>
      </c>
      <c r="K458" s="2" t="s">
        <v>405</v>
      </c>
      <c r="L458" s="2" t="s">
        <v>32</v>
      </c>
      <c r="M458" s="2" t="s">
        <v>26</v>
      </c>
      <c r="N458" s="2" t="s">
        <v>27</v>
      </c>
      <c r="O458" s="1">
        <v>41991</v>
      </c>
      <c r="P458" s="3">
        <v>2.1800000000000002</v>
      </c>
      <c r="Q458" s="3">
        <v>3.52</v>
      </c>
      <c r="R458" s="3">
        <f t="shared" si="43"/>
        <v>1.3399999999999999</v>
      </c>
      <c r="S458" s="2">
        <v>23</v>
      </c>
      <c r="T458" s="3">
        <f t="shared" si="44"/>
        <v>80.959999999999994</v>
      </c>
      <c r="U458" s="4">
        <v>7.0000000000000007E-2</v>
      </c>
      <c r="V458" s="6">
        <f t="shared" si="45"/>
        <v>5.6672000000000002</v>
      </c>
      <c r="W458" s="6">
        <f t="shared" si="46"/>
        <v>75.2928</v>
      </c>
      <c r="X458" s="3">
        <v>6.83</v>
      </c>
      <c r="Y458" s="5">
        <f t="shared" si="47"/>
        <v>82.122799999999998</v>
      </c>
    </row>
    <row r="459" spans="1:25" x14ac:dyDescent="0.2">
      <c r="A459" t="s">
        <v>1362</v>
      </c>
      <c r="B459" s="1">
        <v>41995</v>
      </c>
      <c r="C459" s="2" t="str">
        <f t="shared" si="42"/>
        <v>2014</v>
      </c>
      <c r="D459" s="2" t="s">
        <v>690</v>
      </c>
      <c r="E459" s="2" t="s">
        <v>138</v>
      </c>
      <c r="F459" s="2" t="s">
        <v>36</v>
      </c>
      <c r="G459" s="2" t="s">
        <v>37</v>
      </c>
      <c r="H459" s="2" t="s">
        <v>50</v>
      </c>
      <c r="I459" s="2" t="s">
        <v>51</v>
      </c>
      <c r="J459" s="2" t="s">
        <v>30</v>
      </c>
      <c r="K459" s="2" t="s">
        <v>426</v>
      </c>
      <c r="L459" s="2" t="s">
        <v>32</v>
      </c>
      <c r="M459" s="2" t="s">
        <v>33</v>
      </c>
      <c r="N459" s="2" t="s">
        <v>27</v>
      </c>
      <c r="O459" s="1">
        <v>41996</v>
      </c>
      <c r="P459" s="3">
        <v>0.92</v>
      </c>
      <c r="Q459" s="3">
        <v>1.81</v>
      </c>
      <c r="R459" s="3">
        <f t="shared" si="43"/>
        <v>0.89</v>
      </c>
      <c r="S459" s="2">
        <v>48</v>
      </c>
      <c r="T459" s="3">
        <f t="shared" si="44"/>
        <v>86.88</v>
      </c>
      <c r="U459" s="4">
        <v>0.1</v>
      </c>
      <c r="V459" s="6">
        <f t="shared" si="45"/>
        <v>8.6880000000000006</v>
      </c>
      <c r="W459" s="6">
        <f t="shared" si="46"/>
        <v>78.191999999999993</v>
      </c>
      <c r="X459" s="3">
        <v>1.56</v>
      </c>
      <c r="Y459" s="5">
        <f t="shared" si="47"/>
        <v>79.751999999999995</v>
      </c>
    </row>
    <row r="460" spans="1:25" x14ac:dyDescent="0.2">
      <c r="A460" t="s">
        <v>1363</v>
      </c>
      <c r="B460" s="1">
        <v>41998</v>
      </c>
      <c r="C460" s="2" t="str">
        <f t="shared" si="42"/>
        <v>2014</v>
      </c>
      <c r="D460" s="2" t="s">
        <v>689</v>
      </c>
      <c r="E460" s="2" t="s">
        <v>82</v>
      </c>
      <c r="F460" s="2" t="s">
        <v>36</v>
      </c>
      <c r="G460" s="2" t="s">
        <v>37</v>
      </c>
      <c r="H460" s="2" t="s">
        <v>29</v>
      </c>
      <c r="I460" s="2" t="s">
        <v>83</v>
      </c>
      <c r="J460" s="2" t="s">
        <v>30</v>
      </c>
      <c r="K460" s="2" t="s">
        <v>186</v>
      </c>
      <c r="L460" s="2" t="s">
        <v>25</v>
      </c>
      <c r="M460" s="2" t="s">
        <v>261</v>
      </c>
      <c r="N460" s="2" t="s">
        <v>27</v>
      </c>
      <c r="O460" s="1">
        <v>42000</v>
      </c>
      <c r="P460" s="3">
        <v>216</v>
      </c>
      <c r="Q460" s="3">
        <v>449.99</v>
      </c>
      <c r="R460" s="3">
        <f t="shared" si="43"/>
        <v>233.99</v>
      </c>
      <c r="S460" s="2">
        <v>10</v>
      </c>
      <c r="T460" s="3">
        <f t="shared" si="44"/>
        <v>4499.8999999999996</v>
      </c>
      <c r="U460" s="4">
        <v>0.01</v>
      </c>
      <c r="V460" s="6">
        <f t="shared" si="45"/>
        <v>44.998999999999995</v>
      </c>
      <c r="W460" s="6">
        <f t="shared" si="46"/>
        <v>4454.9009999999998</v>
      </c>
      <c r="X460" s="3">
        <v>24.49</v>
      </c>
      <c r="Y460" s="5">
        <f t="shared" si="47"/>
        <v>4479.3909999999996</v>
      </c>
    </row>
    <row r="461" spans="1:25" x14ac:dyDescent="0.2">
      <c r="A461" t="s">
        <v>1364</v>
      </c>
      <c r="B461" s="1">
        <v>41999</v>
      </c>
      <c r="C461" s="2" t="str">
        <f t="shared" si="42"/>
        <v>2014</v>
      </c>
      <c r="D461" s="2" t="s">
        <v>635</v>
      </c>
      <c r="E461" s="2" t="s">
        <v>1921</v>
      </c>
      <c r="F461" s="2" t="s">
        <v>19</v>
      </c>
      <c r="G461" s="2" t="s">
        <v>20</v>
      </c>
      <c r="H461" s="2" t="s">
        <v>29</v>
      </c>
      <c r="I461" s="2" t="s">
        <v>22</v>
      </c>
      <c r="J461" s="2" t="s">
        <v>44</v>
      </c>
      <c r="K461" s="2" t="s">
        <v>116</v>
      </c>
      <c r="L461" s="2" t="s">
        <v>32</v>
      </c>
      <c r="M461" s="2" t="s">
        <v>33</v>
      </c>
      <c r="N461" s="2" t="s">
        <v>27</v>
      </c>
      <c r="O461" s="1">
        <v>42002</v>
      </c>
      <c r="P461" s="3">
        <v>1.6</v>
      </c>
      <c r="Q461" s="3">
        <v>2.62</v>
      </c>
      <c r="R461" s="3">
        <f t="shared" si="43"/>
        <v>1.02</v>
      </c>
      <c r="S461" s="2">
        <v>37</v>
      </c>
      <c r="T461" s="3">
        <f t="shared" si="44"/>
        <v>96.94</v>
      </c>
      <c r="U461" s="4">
        <v>0.01</v>
      </c>
      <c r="V461" s="6">
        <f t="shared" si="45"/>
        <v>0.96940000000000004</v>
      </c>
      <c r="W461" s="6">
        <f t="shared" si="46"/>
        <v>95.970600000000005</v>
      </c>
      <c r="X461" s="3">
        <v>0.8</v>
      </c>
      <c r="Y461" s="5">
        <f t="shared" si="47"/>
        <v>96.770600000000002</v>
      </c>
    </row>
    <row r="462" spans="1:25" x14ac:dyDescent="0.2">
      <c r="A462" t="s">
        <v>1365</v>
      </c>
      <c r="B462" s="1">
        <v>41999</v>
      </c>
      <c r="C462" s="2" t="str">
        <f t="shared" si="42"/>
        <v>2014</v>
      </c>
      <c r="D462" s="2" t="s">
        <v>688</v>
      </c>
      <c r="E462" s="2" t="s">
        <v>271</v>
      </c>
      <c r="F462" s="2" t="s">
        <v>36</v>
      </c>
      <c r="G462" s="2" t="s">
        <v>37</v>
      </c>
      <c r="H462" s="2" t="s">
        <v>42</v>
      </c>
      <c r="I462" s="2" t="s">
        <v>102</v>
      </c>
      <c r="J462" s="2" t="s">
        <v>44</v>
      </c>
      <c r="K462" s="2" t="s">
        <v>197</v>
      </c>
      <c r="L462" s="2" t="s">
        <v>32</v>
      </c>
      <c r="M462" s="2" t="s">
        <v>26</v>
      </c>
      <c r="N462" s="2" t="s">
        <v>27</v>
      </c>
      <c r="O462" s="1">
        <v>42002</v>
      </c>
      <c r="P462" s="3">
        <v>3.52</v>
      </c>
      <c r="Q462" s="3">
        <v>5.68</v>
      </c>
      <c r="R462" s="3">
        <f t="shared" si="43"/>
        <v>2.1599999999999997</v>
      </c>
      <c r="S462" s="2">
        <v>42</v>
      </c>
      <c r="T462" s="3">
        <f t="shared" si="44"/>
        <v>238.56</v>
      </c>
      <c r="U462" s="4">
        <v>0.05</v>
      </c>
      <c r="V462" s="6">
        <f t="shared" si="45"/>
        <v>11.928000000000001</v>
      </c>
      <c r="W462" s="6">
        <f t="shared" si="46"/>
        <v>226.63200000000001</v>
      </c>
      <c r="X462" s="3">
        <v>1.39</v>
      </c>
      <c r="Y462" s="5">
        <f t="shared" si="47"/>
        <v>228.02199999999999</v>
      </c>
    </row>
    <row r="463" spans="1:25" x14ac:dyDescent="0.2">
      <c r="A463" t="s">
        <v>1366</v>
      </c>
      <c r="B463" s="1">
        <v>42000</v>
      </c>
      <c r="C463" s="2" t="str">
        <f t="shared" si="42"/>
        <v>2014</v>
      </c>
      <c r="D463" s="2" t="s">
        <v>178</v>
      </c>
      <c r="E463" s="2" t="s">
        <v>179</v>
      </c>
      <c r="F463" s="2" t="s">
        <v>36</v>
      </c>
      <c r="G463" s="2" t="s">
        <v>37</v>
      </c>
      <c r="H463" s="2" t="s">
        <v>42</v>
      </c>
      <c r="I463" s="2" t="s">
        <v>83</v>
      </c>
      <c r="J463" s="2" t="s">
        <v>66</v>
      </c>
      <c r="K463" s="2" t="s">
        <v>47</v>
      </c>
      <c r="L463" s="2" t="s">
        <v>32</v>
      </c>
      <c r="M463" s="2" t="s">
        <v>26</v>
      </c>
      <c r="N463" s="2" t="s">
        <v>89</v>
      </c>
      <c r="O463" s="1">
        <v>42001</v>
      </c>
      <c r="P463" s="3">
        <v>1.59</v>
      </c>
      <c r="Q463" s="3">
        <v>2.61</v>
      </c>
      <c r="R463" s="3">
        <f t="shared" si="43"/>
        <v>1.0199999999999998</v>
      </c>
      <c r="S463" s="2">
        <v>37</v>
      </c>
      <c r="T463" s="3">
        <f t="shared" si="44"/>
        <v>96.57</v>
      </c>
      <c r="U463" s="4">
        <v>0.09</v>
      </c>
      <c r="V463" s="6">
        <f t="shared" si="45"/>
        <v>8.6912999999999982</v>
      </c>
      <c r="W463" s="6">
        <f t="shared" si="46"/>
        <v>87.878699999999995</v>
      </c>
      <c r="X463" s="3">
        <v>0.5</v>
      </c>
      <c r="Y463" s="5">
        <f t="shared" si="47"/>
        <v>88.378699999999995</v>
      </c>
    </row>
    <row r="464" spans="1:25" x14ac:dyDescent="0.2">
      <c r="A464" t="s">
        <v>896</v>
      </c>
      <c r="B464" s="1">
        <v>42000</v>
      </c>
      <c r="C464" s="2" t="str">
        <f t="shared" si="42"/>
        <v>2014</v>
      </c>
      <c r="D464" s="2" t="s">
        <v>264</v>
      </c>
      <c r="E464" s="2" t="s">
        <v>204</v>
      </c>
      <c r="F464" s="2" t="s">
        <v>36</v>
      </c>
      <c r="G464" s="2" t="s">
        <v>37</v>
      </c>
      <c r="H464" s="2" t="s">
        <v>42</v>
      </c>
      <c r="I464" s="2" t="s">
        <v>142</v>
      </c>
      <c r="J464" s="2" t="s">
        <v>44</v>
      </c>
      <c r="K464" s="2" t="s">
        <v>167</v>
      </c>
      <c r="L464" s="2" t="s">
        <v>32</v>
      </c>
      <c r="M464" s="2" t="s">
        <v>26</v>
      </c>
      <c r="N464" s="2" t="s">
        <v>27</v>
      </c>
      <c r="O464" s="1">
        <v>42000</v>
      </c>
      <c r="P464" s="3">
        <v>14.95</v>
      </c>
      <c r="Q464" s="3">
        <v>34.76</v>
      </c>
      <c r="R464" s="3">
        <f t="shared" si="43"/>
        <v>19.809999999999999</v>
      </c>
      <c r="S464" s="2">
        <v>10</v>
      </c>
      <c r="T464" s="3">
        <f t="shared" si="44"/>
        <v>347.59999999999997</v>
      </c>
      <c r="U464" s="4">
        <v>0.03</v>
      </c>
      <c r="V464" s="6">
        <f t="shared" si="45"/>
        <v>10.427999999999999</v>
      </c>
      <c r="W464" s="6">
        <f t="shared" si="46"/>
        <v>337.17199999999997</v>
      </c>
      <c r="X464" s="3">
        <v>8.2200000000000006</v>
      </c>
      <c r="Y464" s="5">
        <f t="shared" si="47"/>
        <v>345.392</v>
      </c>
    </row>
    <row r="465" spans="1:25" x14ac:dyDescent="0.2">
      <c r="A465" t="s">
        <v>897</v>
      </c>
      <c r="B465" s="1">
        <v>42000</v>
      </c>
      <c r="C465" s="2" t="str">
        <f t="shared" si="42"/>
        <v>2014</v>
      </c>
      <c r="D465" s="2" t="s">
        <v>264</v>
      </c>
      <c r="E465" s="2" t="s">
        <v>204</v>
      </c>
      <c r="F465" s="2" t="s">
        <v>36</v>
      </c>
      <c r="G465" s="2" t="s">
        <v>37</v>
      </c>
      <c r="H465" s="2" t="s">
        <v>42</v>
      </c>
      <c r="I465" s="2" t="s">
        <v>142</v>
      </c>
      <c r="J465" s="2" t="s">
        <v>44</v>
      </c>
      <c r="K465" s="2" t="s">
        <v>278</v>
      </c>
      <c r="L465" s="2" t="s">
        <v>32</v>
      </c>
      <c r="M465" s="2" t="s">
        <v>33</v>
      </c>
      <c r="N465" s="2" t="s">
        <v>27</v>
      </c>
      <c r="O465" s="1">
        <v>42002</v>
      </c>
      <c r="P465" s="3">
        <v>2.31</v>
      </c>
      <c r="Q465" s="3">
        <v>3.78</v>
      </c>
      <c r="R465" s="3">
        <f t="shared" si="43"/>
        <v>1.4699999999999998</v>
      </c>
      <c r="S465" s="2">
        <v>41</v>
      </c>
      <c r="T465" s="3">
        <f t="shared" si="44"/>
        <v>154.97999999999999</v>
      </c>
      <c r="U465" s="4">
        <v>0.02</v>
      </c>
      <c r="V465" s="6">
        <f t="shared" si="45"/>
        <v>3.0995999999999997</v>
      </c>
      <c r="W465" s="6">
        <f t="shared" si="46"/>
        <v>151.88039999999998</v>
      </c>
      <c r="X465" s="3">
        <v>0.71</v>
      </c>
      <c r="Y465" s="5">
        <f t="shared" si="47"/>
        <v>152.59039999999999</v>
      </c>
    </row>
    <row r="466" spans="1:25" x14ac:dyDescent="0.2">
      <c r="A466" t="s">
        <v>1367</v>
      </c>
      <c r="B466" s="1">
        <v>42001</v>
      </c>
      <c r="C466" s="2" t="str">
        <f t="shared" si="42"/>
        <v>2014</v>
      </c>
      <c r="D466" s="2" t="s">
        <v>500</v>
      </c>
      <c r="E466" s="2" t="s">
        <v>185</v>
      </c>
      <c r="F466" s="2" t="s">
        <v>36</v>
      </c>
      <c r="G466" s="2" t="s">
        <v>37</v>
      </c>
      <c r="H466" s="2" t="s">
        <v>29</v>
      </c>
      <c r="I466" s="2" t="s">
        <v>153</v>
      </c>
      <c r="J466" s="2" t="s">
        <v>44</v>
      </c>
      <c r="K466" s="2" t="s">
        <v>685</v>
      </c>
      <c r="L466" s="2" t="s">
        <v>32</v>
      </c>
      <c r="M466" s="2" t="s">
        <v>26</v>
      </c>
      <c r="N466" s="2" t="s">
        <v>27</v>
      </c>
      <c r="O466" s="1">
        <v>42003</v>
      </c>
      <c r="P466" s="3">
        <v>7.13</v>
      </c>
      <c r="Q466" s="3">
        <v>20.98</v>
      </c>
      <c r="R466" s="3">
        <f t="shared" si="43"/>
        <v>13.850000000000001</v>
      </c>
      <c r="S466" s="2">
        <v>47</v>
      </c>
      <c r="T466" s="3">
        <f t="shared" si="44"/>
        <v>986.06000000000006</v>
      </c>
      <c r="U466" s="4">
        <v>0.01</v>
      </c>
      <c r="V466" s="6">
        <f t="shared" si="45"/>
        <v>9.8606000000000016</v>
      </c>
      <c r="W466" s="6">
        <f t="shared" si="46"/>
        <v>976.19940000000008</v>
      </c>
      <c r="X466" s="3">
        <v>5.42</v>
      </c>
      <c r="Y466" s="5">
        <f t="shared" si="47"/>
        <v>981.61940000000004</v>
      </c>
    </row>
    <row r="467" spans="1:25" x14ac:dyDescent="0.2">
      <c r="A467" t="s">
        <v>1368</v>
      </c>
      <c r="B467" s="1">
        <v>42001</v>
      </c>
      <c r="C467" s="2" t="str">
        <f t="shared" si="42"/>
        <v>2014</v>
      </c>
      <c r="D467" s="2" t="s">
        <v>686</v>
      </c>
      <c r="E467" s="2" t="s">
        <v>138</v>
      </c>
      <c r="F467" s="2" t="s">
        <v>36</v>
      </c>
      <c r="G467" s="2" t="s">
        <v>37</v>
      </c>
      <c r="H467" s="2" t="s">
        <v>50</v>
      </c>
      <c r="I467" s="2" t="s">
        <v>51</v>
      </c>
      <c r="J467" s="2" t="s">
        <v>52</v>
      </c>
      <c r="K467" s="2" t="s">
        <v>687</v>
      </c>
      <c r="L467" s="2" t="s">
        <v>32</v>
      </c>
      <c r="M467" s="2" t="s">
        <v>26</v>
      </c>
      <c r="N467" s="2" t="s">
        <v>27</v>
      </c>
      <c r="O467" s="1">
        <v>42001</v>
      </c>
      <c r="P467" s="3">
        <v>22.18</v>
      </c>
      <c r="Q467" s="3">
        <v>54.1</v>
      </c>
      <c r="R467" s="3">
        <f t="shared" si="43"/>
        <v>31.92</v>
      </c>
      <c r="S467" s="2">
        <v>5</v>
      </c>
      <c r="T467" s="3">
        <f t="shared" si="44"/>
        <v>270.5</v>
      </c>
      <c r="U467" s="4">
        <v>0.04</v>
      </c>
      <c r="V467" s="6">
        <f t="shared" si="45"/>
        <v>10.82</v>
      </c>
      <c r="W467" s="6">
        <f t="shared" si="46"/>
        <v>259.68</v>
      </c>
      <c r="X467" s="3">
        <v>19.989999999999998</v>
      </c>
      <c r="Y467" s="5">
        <f t="shared" si="47"/>
        <v>279.67</v>
      </c>
    </row>
    <row r="468" spans="1:25" x14ac:dyDescent="0.2">
      <c r="A468" t="s">
        <v>1369</v>
      </c>
      <c r="B468" s="1">
        <v>42003</v>
      </c>
      <c r="C468" s="2" t="str">
        <f t="shared" si="42"/>
        <v>2014</v>
      </c>
      <c r="D468" s="2" t="s">
        <v>561</v>
      </c>
      <c r="E468" s="2" t="s">
        <v>141</v>
      </c>
      <c r="F468" s="2" t="s">
        <v>36</v>
      </c>
      <c r="G468" s="2" t="s">
        <v>37</v>
      </c>
      <c r="H468" s="2" t="s">
        <v>42</v>
      </c>
      <c r="I468" s="2" t="s">
        <v>142</v>
      </c>
      <c r="J468" s="2" t="s">
        <v>52</v>
      </c>
      <c r="K468" s="2" t="s">
        <v>684</v>
      </c>
      <c r="L468" s="2" t="s">
        <v>32</v>
      </c>
      <c r="M468" s="2" t="s">
        <v>26</v>
      </c>
      <c r="N468" s="2" t="s">
        <v>27</v>
      </c>
      <c r="O468" s="1">
        <v>42004</v>
      </c>
      <c r="P468" s="3">
        <v>1.82</v>
      </c>
      <c r="Q468" s="3">
        <v>2.84</v>
      </c>
      <c r="R468" s="3">
        <f t="shared" si="43"/>
        <v>1.0199999999999998</v>
      </c>
      <c r="S468" s="2">
        <v>27</v>
      </c>
      <c r="T468" s="3">
        <f t="shared" si="44"/>
        <v>76.679999999999993</v>
      </c>
      <c r="U468" s="4">
        <v>0.03</v>
      </c>
      <c r="V468" s="6">
        <f t="shared" si="45"/>
        <v>2.3003999999999998</v>
      </c>
      <c r="W468" s="6">
        <f t="shared" si="46"/>
        <v>74.379599999999996</v>
      </c>
      <c r="X468" s="3">
        <v>5.44</v>
      </c>
      <c r="Y468" s="5">
        <f t="shared" si="47"/>
        <v>79.819599999999994</v>
      </c>
    </row>
    <row r="469" spans="1:25" x14ac:dyDescent="0.2">
      <c r="A469" t="s">
        <v>1370</v>
      </c>
      <c r="B469" s="1">
        <v>42005</v>
      </c>
      <c r="C469" s="2" t="str">
        <f t="shared" si="42"/>
        <v>2015</v>
      </c>
      <c r="D469" s="2" t="s">
        <v>517</v>
      </c>
      <c r="E469" s="2" t="s">
        <v>246</v>
      </c>
      <c r="F469" s="2" t="s">
        <v>19</v>
      </c>
      <c r="G469" s="2" t="s">
        <v>20</v>
      </c>
      <c r="H469" s="2" t="s">
        <v>42</v>
      </c>
      <c r="I469" s="2" t="s">
        <v>22</v>
      </c>
      <c r="J469" s="2" t="s">
        <v>52</v>
      </c>
      <c r="K469" s="2" t="s">
        <v>644</v>
      </c>
      <c r="L469" s="2" t="s">
        <v>32</v>
      </c>
      <c r="M469" s="2" t="s">
        <v>58</v>
      </c>
      <c r="N469" s="2" t="s">
        <v>27</v>
      </c>
      <c r="O469" s="1">
        <v>42007</v>
      </c>
      <c r="P469" s="3">
        <v>2.87</v>
      </c>
      <c r="Q469" s="3">
        <v>6.84</v>
      </c>
      <c r="R469" s="3">
        <f t="shared" si="43"/>
        <v>3.9699999999999998</v>
      </c>
      <c r="S469" s="2">
        <v>35</v>
      </c>
      <c r="T469" s="3">
        <f t="shared" si="44"/>
        <v>239.4</v>
      </c>
      <c r="U469" s="4">
        <v>0.01</v>
      </c>
      <c r="V469" s="6">
        <f t="shared" si="45"/>
        <v>2.3940000000000001</v>
      </c>
      <c r="W469" s="6">
        <f t="shared" si="46"/>
        <v>237.006</v>
      </c>
      <c r="X469" s="3">
        <v>4.42</v>
      </c>
      <c r="Y469" s="5">
        <f t="shared" si="47"/>
        <v>241.42599999999999</v>
      </c>
    </row>
    <row r="470" spans="1:25" x14ac:dyDescent="0.2">
      <c r="A470" t="s">
        <v>1371</v>
      </c>
      <c r="B470" s="1">
        <v>42006</v>
      </c>
      <c r="C470" s="2" t="str">
        <f t="shared" si="42"/>
        <v>2015</v>
      </c>
      <c r="D470" s="2" t="s">
        <v>510</v>
      </c>
      <c r="E470" s="2" t="s">
        <v>49</v>
      </c>
      <c r="F470" s="2" t="s">
        <v>36</v>
      </c>
      <c r="G470" s="2" t="s">
        <v>37</v>
      </c>
      <c r="H470" s="2" t="s">
        <v>50</v>
      </c>
      <c r="I470" s="2" t="s">
        <v>51</v>
      </c>
      <c r="J470" s="2" t="s">
        <v>23</v>
      </c>
      <c r="K470" s="2" t="s">
        <v>319</v>
      </c>
      <c r="L470" s="2" t="s">
        <v>25</v>
      </c>
      <c r="M470" s="2" t="s">
        <v>26</v>
      </c>
      <c r="N470" s="2" t="s">
        <v>27</v>
      </c>
      <c r="O470" s="1">
        <v>42008</v>
      </c>
      <c r="P470" s="3">
        <v>19.78</v>
      </c>
      <c r="Q470" s="3">
        <v>45.99</v>
      </c>
      <c r="R470" s="3">
        <f t="shared" si="43"/>
        <v>26.21</v>
      </c>
      <c r="S470" s="2">
        <v>50</v>
      </c>
      <c r="T470" s="3">
        <f t="shared" si="44"/>
        <v>2299.5</v>
      </c>
      <c r="U470" s="4">
        <v>0</v>
      </c>
      <c r="V470" s="6">
        <f t="shared" si="45"/>
        <v>0</v>
      </c>
      <c r="W470" s="6">
        <f t="shared" si="46"/>
        <v>2299.5</v>
      </c>
      <c r="X470" s="3">
        <v>4.99</v>
      </c>
      <c r="Y470" s="5">
        <f t="shared" si="47"/>
        <v>2304.4899999999998</v>
      </c>
    </row>
    <row r="471" spans="1:25" x14ac:dyDescent="0.2">
      <c r="A471" t="s">
        <v>1372</v>
      </c>
      <c r="B471" s="1">
        <v>42006</v>
      </c>
      <c r="C471" s="2" t="str">
        <f t="shared" si="42"/>
        <v>2015</v>
      </c>
      <c r="D471" s="2" t="s">
        <v>106</v>
      </c>
      <c r="E471" s="2" t="s">
        <v>107</v>
      </c>
      <c r="F471" s="2" t="s">
        <v>36</v>
      </c>
      <c r="G471" s="2" t="s">
        <v>37</v>
      </c>
      <c r="H471" s="2" t="s">
        <v>21</v>
      </c>
      <c r="I471" s="2" t="s">
        <v>83</v>
      </c>
      <c r="J471" s="2" t="s">
        <v>30</v>
      </c>
      <c r="K471" s="2" t="s">
        <v>177</v>
      </c>
      <c r="L471" s="2" t="s">
        <v>32</v>
      </c>
      <c r="M471" s="2" t="s">
        <v>33</v>
      </c>
      <c r="N471" s="2" t="s">
        <v>27</v>
      </c>
      <c r="O471" s="1">
        <v>42008</v>
      </c>
      <c r="P471" s="3">
        <v>2.68</v>
      </c>
      <c r="Q471" s="3">
        <v>6.08</v>
      </c>
      <c r="R471" s="3">
        <f t="shared" si="43"/>
        <v>3.4</v>
      </c>
      <c r="S471" s="2">
        <v>30</v>
      </c>
      <c r="T471" s="3">
        <f t="shared" si="44"/>
        <v>182.4</v>
      </c>
      <c r="U471" s="4">
        <v>0.04</v>
      </c>
      <c r="V471" s="6">
        <f t="shared" si="45"/>
        <v>7.2960000000000003</v>
      </c>
      <c r="W471" s="6">
        <f t="shared" si="46"/>
        <v>175.10400000000001</v>
      </c>
      <c r="X471" s="3">
        <v>1.17</v>
      </c>
      <c r="Y471" s="5">
        <f t="shared" si="47"/>
        <v>176.274</v>
      </c>
    </row>
    <row r="472" spans="1:25" x14ac:dyDescent="0.2">
      <c r="A472" t="s">
        <v>1373</v>
      </c>
      <c r="B472" s="1">
        <v>42011</v>
      </c>
      <c r="C472" s="2" t="str">
        <f t="shared" si="42"/>
        <v>2015</v>
      </c>
      <c r="D472" s="2" t="s">
        <v>272</v>
      </c>
      <c r="E472" s="2" t="s">
        <v>1924</v>
      </c>
      <c r="F472" s="2" t="s">
        <v>19</v>
      </c>
      <c r="G472" s="2" t="s">
        <v>20</v>
      </c>
      <c r="H472" s="2" t="s">
        <v>50</v>
      </c>
      <c r="I472" s="2" t="s">
        <v>92</v>
      </c>
      <c r="J472" s="2" t="s">
        <v>30</v>
      </c>
      <c r="K472" s="2" t="s">
        <v>300</v>
      </c>
      <c r="L472" s="2" t="s">
        <v>32</v>
      </c>
      <c r="M472" s="2" t="s">
        <v>26</v>
      </c>
      <c r="N472" s="2" t="s">
        <v>27</v>
      </c>
      <c r="O472" s="1">
        <v>42013</v>
      </c>
      <c r="P472" s="3">
        <v>5.33</v>
      </c>
      <c r="Q472" s="3">
        <v>8.6</v>
      </c>
      <c r="R472" s="3">
        <f t="shared" si="43"/>
        <v>3.2699999999999996</v>
      </c>
      <c r="S472" s="2">
        <v>48</v>
      </c>
      <c r="T472" s="3">
        <f t="shared" si="44"/>
        <v>412.79999999999995</v>
      </c>
      <c r="U472" s="4">
        <v>0.02</v>
      </c>
      <c r="V472" s="6">
        <f t="shared" si="45"/>
        <v>8.2559999999999985</v>
      </c>
      <c r="W472" s="6">
        <f t="shared" si="46"/>
        <v>404.54399999999998</v>
      </c>
      <c r="X472" s="3">
        <v>6.19</v>
      </c>
      <c r="Y472" s="5">
        <f t="shared" si="47"/>
        <v>410.73399999999998</v>
      </c>
    </row>
    <row r="473" spans="1:25" x14ac:dyDescent="0.2">
      <c r="A473" t="s">
        <v>1374</v>
      </c>
      <c r="B473" s="1">
        <v>42011</v>
      </c>
      <c r="C473" s="2" t="str">
        <f t="shared" si="42"/>
        <v>2015</v>
      </c>
      <c r="D473" s="2" t="s">
        <v>683</v>
      </c>
      <c r="E473" s="2" t="s">
        <v>176</v>
      </c>
      <c r="F473" s="2" t="s">
        <v>36</v>
      </c>
      <c r="G473" s="2" t="s">
        <v>37</v>
      </c>
      <c r="H473" s="2" t="s">
        <v>29</v>
      </c>
      <c r="I473" s="2" t="s">
        <v>102</v>
      </c>
      <c r="J473" s="2" t="s">
        <v>52</v>
      </c>
      <c r="K473" s="2" t="s">
        <v>247</v>
      </c>
      <c r="L473" s="2" t="s">
        <v>32</v>
      </c>
      <c r="M473" s="2" t="s">
        <v>26</v>
      </c>
      <c r="N473" s="2" t="s">
        <v>89</v>
      </c>
      <c r="O473" s="1">
        <v>42013</v>
      </c>
      <c r="P473" s="3">
        <v>4.46</v>
      </c>
      <c r="Q473" s="3">
        <v>10.89</v>
      </c>
      <c r="R473" s="3">
        <f t="shared" si="43"/>
        <v>6.4300000000000006</v>
      </c>
      <c r="S473" s="2">
        <v>37</v>
      </c>
      <c r="T473" s="3">
        <f t="shared" si="44"/>
        <v>402.93</v>
      </c>
      <c r="U473" s="4">
        <v>0</v>
      </c>
      <c r="V473" s="6">
        <f t="shared" si="45"/>
        <v>0</v>
      </c>
      <c r="W473" s="6">
        <f t="shared" si="46"/>
        <v>402.93</v>
      </c>
      <c r="X473" s="3">
        <v>4.5</v>
      </c>
      <c r="Y473" s="5">
        <f t="shared" si="47"/>
        <v>407.43</v>
      </c>
    </row>
    <row r="474" spans="1:25" x14ac:dyDescent="0.2">
      <c r="A474" t="s">
        <v>1375</v>
      </c>
      <c r="B474" s="1">
        <v>42013</v>
      </c>
      <c r="C474" s="2" t="str">
        <f t="shared" si="42"/>
        <v>2015</v>
      </c>
      <c r="D474" s="2" t="s">
        <v>682</v>
      </c>
      <c r="E474" s="2" t="s">
        <v>540</v>
      </c>
      <c r="F474" s="2" t="s">
        <v>19</v>
      </c>
      <c r="G474" s="2" t="s">
        <v>20</v>
      </c>
      <c r="H474" s="2" t="s">
        <v>29</v>
      </c>
      <c r="I474" s="2" t="s">
        <v>92</v>
      </c>
      <c r="J474" s="2" t="s">
        <v>44</v>
      </c>
      <c r="K474" s="2" t="s">
        <v>192</v>
      </c>
      <c r="L474" s="2" t="s">
        <v>32</v>
      </c>
      <c r="M474" s="2" t="s">
        <v>33</v>
      </c>
      <c r="N474" s="2" t="s">
        <v>27</v>
      </c>
      <c r="O474" s="1">
        <v>42015</v>
      </c>
      <c r="P474" s="3">
        <v>0.87</v>
      </c>
      <c r="Q474" s="3">
        <v>1.81</v>
      </c>
      <c r="R474" s="3">
        <f t="shared" si="43"/>
        <v>0.94000000000000006</v>
      </c>
      <c r="S474" s="2">
        <v>9</v>
      </c>
      <c r="T474" s="3">
        <f t="shared" si="44"/>
        <v>16.29</v>
      </c>
      <c r="U474" s="4">
        <v>0.09</v>
      </c>
      <c r="V474" s="6">
        <f t="shared" si="45"/>
        <v>1.4661</v>
      </c>
      <c r="W474" s="6">
        <f t="shared" si="46"/>
        <v>14.823899999999998</v>
      </c>
      <c r="X474" s="3">
        <v>0.75</v>
      </c>
      <c r="Y474" s="5">
        <f t="shared" si="47"/>
        <v>15.573899999999998</v>
      </c>
    </row>
    <row r="475" spans="1:25" x14ac:dyDescent="0.2">
      <c r="A475" t="s">
        <v>1376</v>
      </c>
      <c r="B475" s="1">
        <v>42014</v>
      </c>
      <c r="C475" s="2" t="str">
        <f t="shared" si="42"/>
        <v>2015</v>
      </c>
      <c r="D475" s="2" t="s">
        <v>677</v>
      </c>
      <c r="E475" s="2" t="s">
        <v>18</v>
      </c>
      <c r="F475" s="2" t="s">
        <v>19</v>
      </c>
      <c r="G475" s="2" t="s">
        <v>20</v>
      </c>
      <c r="H475" s="2" t="s">
        <v>21</v>
      </c>
      <c r="I475" s="2" t="s">
        <v>22</v>
      </c>
      <c r="J475" s="2" t="s">
        <v>30</v>
      </c>
      <c r="K475" s="2" t="s">
        <v>287</v>
      </c>
      <c r="L475" s="2" t="s">
        <v>32</v>
      </c>
      <c r="M475" s="2" t="s">
        <v>26</v>
      </c>
      <c r="N475" s="2" t="s">
        <v>27</v>
      </c>
      <c r="O475" s="1">
        <v>42016</v>
      </c>
      <c r="P475" s="3">
        <v>13.88</v>
      </c>
      <c r="Q475" s="3">
        <v>22.38</v>
      </c>
      <c r="R475" s="3">
        <f t="shared" si="43"/>
        <v>8.4999999999999982</v>
      </c>
      <c r="S475" s="2">
        <v>50</v>
      </c>
      <c r="T475" s="3">
        <f t="shared" si="44"/>
        <v>1119</v>
      </c>
      <c r="U475" s="4">
        <v>7.0000000000000007E-2</v>
      </c>
      <c r="V475" s="6">
        <f t="shared" si="45"/>
        <v>78.330000000000013</v>
      </c>
      <c r="W475" s="6">
        <f t="shared" si="46"/>
        <v>1040.67</v>
      </c>
      <c r="X475" s="3">
        <v>15.1</v>
      </c>
      <c r="Y475" s="5">
        <f t="shared" si="47"/>
        <v>1055.77</v>
      </c>
    </row>
    <row r="476" spans="1:25" x14ac:dyDescent="0.2">
      <c r="A476" t="s">
        <v>1377</v>
      </c>
      <c r="B476" s="1">
        <v>42014</v>
      </c>
      <c r="C476" s="2" t="str">
        <f t="shared" si="42"/>
        <v>2015</v>
      </c>
      <c r="D476" s="2" t="s">
        <v>681</v>
      </c>
      <c r="E476" s="2" t="s">
        <v>251</v>
      </c>
      <c r="F476" s="2" t="s">
        <v>19</v>
      </c>
      <c r="G476" s="2" t="s">
        <v>20</v>
      </c>
      <c r="H476" s="2" t="s">
        <v>29</v>
      </c>
      <c r="I476" s="2" t="s">
        <v>92</v>
      </c>
      <c r="J476" s="2" t="s">
        <v>23</v>
      </c>
      <c r="K476" s="2" t="s">
        <v>377</v>
      </c>
      <c r="L476" s="2" t="s">
        <v>32</v>
      </c>
      <c r="M476" s="2" t="s">
        <v>33</v>
      </c>
      <c r="N476" s="2" t="s">
        <v>27</v>
      </c>
      <c r="O476" s="1">
        <v>42014</v>
      </c>
      <c r="P476" s="3">
        <v>1.31</v>
      </c>
      <c r="Q476" s="3">
        <v>2.84</v>
      </c>
      <c r="R476" s="3">
        <f t="shared" si="43"/>
        <v>1.5299999999999998</v>
      </c>
      <c r="S476" s="2">
        <v>21</v>
      </c>
      <c r="T476" s="3">
        <f t="shared" si="44"/>
        <v>59.64</v>
      </c>
      <c r="U476" s="4">
        <v>0</v>
      </c>
      <c r="V476" s="6">
        <f t="shared" si="45"/>
        <v>0</v>
      </c>
      <c r="W476" s="6">
        <f t="shared" si="46"/>
        <v>59.64</v>
      </c>
      <c r="X476" s="3">
        <v>0.93</v>
      </c>
      <c r="Y476" s="5">
        <f t="shared" si="47"/>
        <v>60.57</v>
      </c>
    </row>
    <row r="477" spans="1:25" x14ac:dyDescent="0.2">
      <c r="A477" t="s">
        <v>1378</v>
      </c>
      <c r="B477" s="1">
        <v>42015</v>
      </c>
      <c r="C477" s="2" t="str">
        <f t="shared" si="42"/>
        <v>2015</v>
      </c>
      <c r="D477" s="2" t="s">
        <v>679</v>
      </c>
      <c r="E477" s="2" t="s">
        <v>91</v>
      </c>
      <c r="F477" s="2" t="s">
        <v>19</v>
      </c>
      <c r="G477" s="2" t="s">
        <v>20</v>
      </c>
      <c r="H477" s="2" t="s">
        <v>50</v>
      </c>
      <c r="I477" s="2" t="s">
        <v>92</v>
      </c>
      <c r="J477" s="2" t="s">
        <v>52</v>
      </c>
      <c r="K477" s="2" t="s">
        <v>215</v>
      </c>
      <c r="L477" s="2" t="s">
        <v>25</v>
      </c>
      <c r="M477" s="2" t="s">
        <v>58</v>
      </c>
      <c r="N477" s="2" t="s">
        <v>27</v>
      </c>
      <c r="O477" s="1">
        <v>42016</v>
      </c>
      <c r="P477" s="3">
        <v>20.18</v>
      </c>
      <c r="Q477" s="3">
        <v>35.409999999999997</v>
      </c>
      <c r="R477" s="3">
        <f t="shared" si="43"/>
        <v>15.229999999999997</v>
      </c>
      <c r="S477" s="2">
        <v>1</v>
      </c>
      <c r="T477" s="3">
        <f t="shared" si="44"/>
        <v>35.409999999999997</v>
      </c>
      <c r="U477" s="4">
        <v>0</v>
      </c>
      <c r="V477" s="6">
        <f t="shared" si="45"/>
        <v>0</v>
      </c>
      <c r="W477" s="6">
        <f t="shared" si="46"/>
        <v>35.409999999999997</v>
      </c>
      <c r="X477" s="3">
        <v>1.99</v>
      </c>
      <c r="Y477" s="5">
        <f t="shared" si="47"/>
        <v>37.4</v>
      </c>
    </row>
    <row r="478" spans="1:25" x14ac:dyDescent="0.2">
      <c r="A478" t="s">
        <v>1379</v>
      </c>
      <c r="B478" s="1">
        <v>42015</v>
      </c>
      <c r="C478" s="2" t="str">
        <f t="shared" si="42"/>
        <v>2015</v>
      </c>
      <c r="D478" s="2" t="s">
        <v>680</v>
      </c>
      <c r="E478" s="2" t="s">
        <v>119</v>
      </c>
      <c r="F478" s="2" t="s">
        <v>36</v>
      </c>
      <c r="G478" s="2" t="s">
        <v>37</v>
      </c>
      <c r="H478" s="2" t="s">
        <v>21</v>
      </c>
      <c r="I478" s="2" t="s">
        <v>75</v>
      </c>
      <c r="J478" s="2" t="s">
        <v>52</v>
      </c>
      <c r="K478" s="2" t="s">
        <v>223</v>
      </c>
      <c r="L478" s="2" t="s">
        <v>32</v>
      </c>
      <c r="M478" s="2" t="s">
        <v>33</v>
      </c>
      <c r="N478" s="2" t="s">
        <v>27</v>
      </c>
      <c r="O478" s="1">
        <v>42017</v>
      </c>
      <c r="P478" s="3">
        <v>0.9</v>
      </c>
      <c r="Q478" s="3">
        <v>2.1</v>
      </c>
      <c r="R478" s="3">
        <f t="shared" si="43"/>
        <v>1.2000000000000002</v>
      </c>
      <c r="S478" s="2">
        <v>23</v>
      </c>
      <c r="T478" s="3">
        <f t="shared" si="44"/>
        <v>48.300000000000004</v>
      </c>
      <c r="U478" s="4">
        <v>0.06</v>
      </c>
      <c r="V478" s="6">
        <f t="shared" si="45"/>
        <v>2.8980000000000001</v>
      </c>
      <c r="W478" s="6">
        <f t="shared" si="46"/>
        <v>45.402000000000001</v>
      </c>
      <c r="X478" s="3">
        <v>0.7</v>
      </c>
      <c r="Y478" s="5">
        <f t="shared" si="47"/>
        <v>46.102000000000004</v>
      </c>
    </row>
    <row r="479" spans="1:25" x14ac:dyDescent="0.2">
      <c r="A479" t="s">
        <v>1380</v>
      </c>
      <c r="B479" s="1">
        <v>42016</v>
      </c>
      <c r="C479" s="2" t="str">
        <f t="shared" si="42"/>
        <v>2015</v>
      </c>
      <c r="D479" s="2" t="s">
        <v>678</v>
      </c>
      <c r="E479" s="2" t="s">
        <v>204</v>
      </c>
      <c r="F479" s="2" t="s">
        <v>36</v>
      </c>
      <c r="G479" s="2" t="s">
        <v>37</v>
      </c>
      <c r="H479" s="2" t="s">
        <v>50</v>
      </c>
      <c r="I479" s="2" t="s">
        <v>142</v>
      </c>
      <c r="J479" s="2" t="s">
        <v>52</v>
      </c>
      <c r="K479" s="2" t="s">
        <v>197</v>
      </c>
      <c r="L479" s="2" t="s">
        <v>32</v>
      </c>
      <c r="M479" s="2" t="s">
        <v>26</v>
      </c>
      <c r="N479" s="2" t="s">
        <v>27</v>
      </c>
      <c r="O479" s="1">
        <v>42018</v>
      </c>
      <c r="P479" s="3">
        <v>3.52</v>
      </c>
      <c r="Q479" s="3">
        <v>5.68</v>
      </c>
      <c r="R479" s="3">
        <f t="shared" si="43"/>
        <v>2.1599999999999997</v>
      </c>
      <c r="S479" s="2">
        <v>18</v>
      </c>
      <c r="T479" s="3">
        <f t="shared" si="44"/>
        <v>102.24</v>
      </c>
      <c r="U479" s="4">
        <v>0.06</v>
      </c>
      <c r="V479" s="6">
        <f t="shared" si="45"/>
        <v>6.1343999999999994</v>
      </c>
      <c r="W479" s="6">
        <f t="shared" si="46"/>
        <v>96.105599999999995</v>
      </c>
      <c r="X479" s="3">
        <v>1.39</v>
      </c>
      <c r="Y479" s="5">
        <f t="shared" si="47"/>
        <v>97.495599999999996</v>
      </c>
    </row>
    <row r="480" spans="1:25" x14ac:dyDescent="0.2">
      <c r="A480" t="s">
        <v>1381</v>
      </c>
      <c r="B480" s="1">
        <v>42016</v>
      </c>
      <c r="C480" s="2" t="str">
        <f t="shared" si="42"/>
        <v>2015</v>
      </c>
      <c r="D480" s="2" t="s">
        <v>514</v>
      </c>
      <c r="E480" s="2" t="s">
        <v>194</v>
      </c>
      <c r="F480" s="2" t="s">
        <v>36</v>
      </c>
      <c r="G480" s="2" t="s">
        <v>37</v>
      </c>
      <c r="H480" s="2" t="s">
        <v>29</v>
      </c>
      <c r="I480" s="2" t="s">
        <v>51</v>
      </c>
      <c r="J480" s="2" t="s">
        <v>66</v>
      </c>
      <c r="K480" s="2" t="s">
        <v>334</v>
      </c>
      <c r="L480" s="2" t="s">
        <v>32</v>
      </c>
      <c r="M480" s="2" t="s">
        <v>33</v>
      </c>
      <c r="N480" s="2" t="s">
        <v>27</v>
      </c>
      <c r="O480" s="1">
        <v>42017</v>
      </c>
      <c r="P480" s="3">
        <v>2.9</v>
      </c>
      <c r="Q480" s="3">
        <v>4.76</v>
      </c>
      <c r="R480" s="3">
        <f t="shared" si="43"/>
        <v>1.8599999999999999</v>
      </c>
      <c r="S480" s="2">
        <v>42</v>
      </c>
      <c r="T480" s="3">
        <f t="shared" si="44"/>
        <v>199.92</v>
      </c>
      <c r="U480" s="4">
        <v>7.0000000000000007E-2</v>
      </c>
      <c r="V480" s="6">
        <f t="shared" si="45"/>
        <v>13.994400000000001</v>
      </c>
      <c r="W480" s="6">
        <f t="shared" si="46"/>
        <v>185.92559999999997</v>
      </c>
      <c r="X480" s="3">
        <v>0.88</v>
      </c>
      <c r="Y480" s="5">
        <f t="shared" si="47"/>
        <v>186.80559999999997</v>
      </c>
    </row>
    <row r="481" spans="1:25" x14ac:dyDescent="0.2">
      <c r="A481" t="s">
        <v>1382</v>
      </c>
      <c r="B481" s="1">
        <v>42017</v>
      </c>
      <c r="C481" s="2" t="str">
        <f t="shared" si="42"/>
        <v>2015</v>
      </c>
      <c r="D481" s="2" t="s">
        <v>221</v>
      </c>
      <c r="E481" s="2" t="s">
        <v>222</v>
      </c>
      <c r="F481" s="2" t="s">
        <v>19</v>
      </c>
      <c r="G481" s="2" t="s">
        <v>20</v>
      </c>
      <c r="H481" s="2" t="s">
        <v>29</v>
      </c>
      <c r="I481" s="2" t="s">
        <v>92</v>
      </c>
      <c r="J481" s="2" t="s">
        <v>44</v>
      </c>
      <c r="K481" s="2" t="s">
        <v>644</v>
      </c>
      <c r="L481" s="2" t="s">
        <v>32</v>
      </c>
      <c r="M481" s="2" t="s">
        <v>58</v>
      </c>
      <c r="N481" s="2" t="s">
        <v>27</v>
      </c>
      <c r="O481" s="1">
        <v>42018</v>
      </c>
      <c r="P481" s="3">
        <v>2.87</v>
      </c>
      <c r="Q481" s="3">
        <v>6.84</v>
      </c>
      <c r="R481" s="3">
        <f t="shared" si="43"/>
        <v>3.9699999999999998</v>
      </c>
      <c r="S481" s="2">
        <v>26</v>
      </c>
      <c r="T481" s="3">
        <f t="shared" si="44"/>
        <v>177.84</v>
      </c>
      <c r="U481" s="4">
        <v>0.08</v>
      </c>
      <c r="V481" s="6">
        <f t="shared" si="45"/>
        <v>14.2272</v>
      </c>
      <c r="W481" s="6">
        <f t="shared" si="46"/>
        <v>163.61279999999999</v>
      </c>
      <c r="X481" s="3">
        <v>4.42</v>
      </c>
      <c r="Y481" s="5">
        <f t="shared" si="47"/>
        <v>168.03279999999998</v>
      </c>
    </row>
    <row r="482" spans="1:25" x14ac:dyDescent="0.2">
      <c r="A482" t="s">
        <v>1383</v>
      </c>
      <c r="B482" s="1">
        <v>42017</v>
      </c>
      <c r="C482" s="2" t="str">
        <f t="shared" si="42"/>
        <v>2015</v>
      </c>
      <c r="D482" s="2" t="s">
        <v>677</v>
      </c>
      <c r="E482" s="2" t="s">
        <v>18</v>
      </c>
      <c r="F482" s="2" t="s">
        <v>19</v>
      </c>
      <c r="G482" s="2" t="s">
        <v>20</v>
      </c>
      <c r="H482" s="2" t="s">
        <v>21</v>
      </c>
      <c r="I482" s="2" t="s">
        <v>22</v>
      </c>
      <c r="J482" s="2" t="s">
        <v>52</v>
      </c>
      <c r="K482" s="2" t="s">
        <v>223</v>
      </c>
      <c r="L482" s="2" t="s">
        <v>32</v>
      </c>
      <c r="M482" s="2" t="s">
        <v>33</v>
      </c>
      <c r="N482" s="2" t="s">
        <v>27</v>
      </c>
      <c r="O482" s="1">
        <v>42019</v>
      </c>
      <c r="P482" s="3">
        <v>0.9</v>
      </c>
      <c r="Q482" s="3">
        <v>2.1</v>
      </c>
      <c r="R482" s="3">
        <f t="shared" si="43"/>
        <v>1.2000000000000002</v>
      </c>
      <c r="S482" s="2">
        <v>34</v>
      </c>
      <c r="T482" s="3">
        <f t="shared" si="44"/>
        <v>71.400000000000006</v>
      </c>
      <c r="U482" s="4">
        <v>0.02</v>
      </c>
      <c r="V482" s="6">
        <f t="shared" si="45"/>
        <v>1.4280000000000002</v>
      </c>
      <c r="W482" s="6">
        <f t="shared" si="46"/>
        <v>69.972000000000008</v>
      </c>
      <c r="X482" s="3">
        <v>0.7</v>
      </c>
      <c r="Y482" s="5">
        <f t="shared" si="47"/>
        <v>70.672000000000011</v>
      </c>
    </row>
    <row r="483" spans="1:25" x14ac:dyDescent="0.2">
      <c r="A483" t="s">
        <v>1384</v>
      </c>
      <c r="B483" s="1">
        <v>42018</v>
      </c>
      <c r="C483" s="2" t="str">
        <f t="shared" si="42"/>
        <v>2015</v>
      </c>
      <c r="D483" s="2" t="s">
        <v>676</v>
      </c>
      <c r="E483" s="2" t="s">
        <v>465</v>
      </c>
      <c r="F483" s="2" t="s">
        <v>36</v>
      </c>
      <c r="G483" s="2" t="s">
        <v>37</v>
      </c>
      <c r="H483" s="2" t="s">
        <v>50</v>
      </c>
      <c r="I483" s="2" t="s">
        <v>79</v>
      </c>
      <c r="J483" s="2" t="s">
        <v>66</v>
      </c>
      <c r="K483" s="2" t="s">
        <v>287</v>
      </c>
      <c r="L483" s="2" t="s">
        <v>32</v>
      </c>
      <c r="M483" s="2" t="s">
        <v>26</v>
      </c>
      <c r="N483" s="2" t="s">
        <v>27</v>
      </c>
      <c r="O483" s="1">
        <v>42019</v>
      </c>
      <c r="P483" s="3">
        <v>13.88</v>
      </c>
      <c r="Q483" s="3">
        <v>22.38</v>
      </c>
      <c r="R483" s="3">
        <f t="shared" si="43"/>
        <v>8.4999999999999982</v>
      </c>
      <c r="S483" s="2">
        <v>39</v>
      </c>
      <c r="T483" s="3">
        <f t="shared" si="44"/>
        <v>872.81999999999994</v>
      </c>
      <c r="U483" s="4">
        <v>7.0000000000000007E-2</v>
      </c>
      <c r="V483" s="6">
        <f t="shared" si="45"/>
        <v>61.0974</v>
      </c>
      <c r="W483" s="6">
        <f t="shared" si="46"/>
        <v>811.72259999999994</v>
      </c>
      <c r="X483" s="3">
        <v>15.1</v>
      </c>
      <c r="Y483" s="5">
        <f t="shared" si="47"/>
        <v>826.82259999999997</v>
      </c>
    </row>
    <row r="484" spans="1:25" x14ac:dyDescent="0.2">
      <c r="A484" t="s">
        <v>1385</v>
      </c>
      <c r="B484" s="1">
        <v>42019</v>
      </c>
      <c r="C484" s="2" t="str">
        <f t="shared" si="42"/>
        <v>2015</v>
      </c>
      <c r="D484" s="2" t="s">
        <v>675</v>
      </c>
      <c r="E484" s="2" t="s">
        <v>246</v>
      </c>
      <c r="F484" s="2" t="s">
        <v>19</v>
      </c>
      <c r="G484" s="2" t="s">
        <v>20</v>
      </c>
      <c r="H484" s="2" t="s">
        <v>50</v>
      </c>
      <c r="I484" s="2" t="s">
        <v>22</v>
      </c>
      <c r="J484" s="2" t="s">
        <v>66</v>
      </c>
      <c r="K484" s="2" t="s">
        <v>108</v>
      </c>
      <c r="L484" s="2" t="s">
        <v>32</v>
      </c>
      <c r="M484" s="2" t="s">
        <v>26</v>
      </c>
      <c r="N484" s="2" t="s">
        <v>27</v>
      </c>
      <c r="O484" s="1">
        <v>42021</v>
      </c>
      <c r="P484" s="3">
        <v>1.84</v>
      </c>
      <c r="Q484" s="3">
        <v>2.88</v>
      </c>
      <c r="R484" s="3">
        <f t="shared" si="43"/>
        <v>1.0399999999999998</v>
      </c>
      <c r="S484" s="2">
        <v>27</v>
      </c>
      <c r="T484" s="3">
        <f t="shared" si="44"/>
        <v>77.759999999999991</v>
      </c>
      <c r="U484" s="4">
        <v>0.06</v>
      </c>
      <c r="V484" s="6">
        <f t="shared" si="45"/>
        <v>4.6655999999999995</v>
      </c>
      <c r="W484" s="6">
        <f t="shared" si="46"/>
        <v>73.094399999999993</v>
      </c>
      <c r="X484" s="3">
        <v>0.99</v>
      </c>
      <c r="Y484" s="5">
        <f t="shared" si="47"/>
        <v>74.084399999999988</v>
      </c>
    </row>
    <row r="485" spans="1:25" x14ac:dyDescent="0.2">
      <c r="A485" t="s">
        <v>1386</v>
      </c>
      <c r="B485" s="1">
        <v>42020</v>
      </c>
      <c r="C485" s="2" t="str">
        <f t="shared" si="42"/>
        <v>2015</v>
      </c>
      <c r="D485" s="2" t="s">
        <v>633</v>
      </c>
      <c r="E485" s="2" t="s">
        <v>199</v>
      </c>
      <c r="F485" s="2" t="s">
        <v>19</v>
      </c>
      <c r="G485" s="2" t="s">
        <v>20</v>
      </c>
      <c r="H485" s="2" t="s">
        <v>50</v>
      </c>
      <c r="I485" s="2" t="s">
        <v>92</v>
      </c>
      <c r="J485" s="2" t="s">
        <v>44</v>
      </c>
      <c r="K485" s="2" t="s">
        <v>536</v>
      </c>
      <c r="L485" s="2" t="s">
        <v>25</v>
      </c>
      <c r="M485" s="2" t="s">
        <v>62</v>
      </c>
      <c r="N485" s="2" t="s">
        <v>63</v>
      </c>
      <c r="O485" s="1">
        <v>42021</v>
      </c>
      <c r="P485" s="3">
        <v>315.61</v>
      </c>
      <c r="Q485" s="3">
        <v>500.97</v>
      </c>
      <c r="R485" s="3">
        <f t="shared" si="43"/>
        <v>185.36</v>
      </c>
      <c r="S485" s="2">
        <v>37</v>
      </c>
      <c r="T485" s="3">
        <f t="shared" si="44"/>
        <v>18535.89</v>
      </c>
      <c r="U485" s="4">
        <v>0</v>
      </c>
      <c r="V485" s="6">
        <f t="shared" si="45"/>
        <v>0</v>
      </c>
      <c r="W485" s="6">
        <f t="shared" si="46"/>
        <v>18535.89</v>
      </c>
      <c r="X485" s="3">
        <v>69.3</v>
      </c>
      <c r="Y485" s="5">
        <f t="shared" si="47"/>
        <v>18605.189999999999</v>
      </c>
    </row>
    <row r="486" spans="1:25" x14ac:dyDescent="0.2">
      <c r="A486" t="s">
        <v>1387</v>
      </c>
      <c r="B486" s="1">
        <v>42021</v>
      </c>
      <c r="C486" s="2" t="str">
        <f t="shared" si="42"/>
        <v>2015</v>
      </c>
      <c r="D486" s="2" t="s">
        <v>268</v>
      </c>
      <c r="E486" s="2" t="s">
        <v>269</v>
      </c>
      <c r="F486" s="2" t="s">
        <v>36</v>
      </c>
      <c r="G486" s="2" t="s">
        <v>37</v>
      </c>
      <c r="H486" s="2" t="s">
        <v>21</v>
      </c>
      <c r="I486" s="2" t="s">
        <v>43</v>
      </c>
      <c r="J486" s="2" t="s">
        <v>30</v>
      </c>
      <c r="K486" s="2" t="s">
        <v>375</v>
      </c>
      <c r="L486" s="2" t="s">
        <v>32</v>
      </c>
      <c r="M486" s="2" t="s">
        <v>26</v>
      </c>
      <c r="N486" s="2" t="s">
        <v>89</v>
      </c>
      <c r="O486" s="1">
        <v>42023</v>
      </c>
      <c r="P486" s="3">
        <v>99.39</v>
      </c>
      <c r="Q486" s="3">
        <v>162.93</v>
      </c>
      <c r="R486" s="3">
        <f t="shared" si="43"/>
        <v>63.540000000000006</v>
      </c>
      <c r="S486" s="2">
        <v>48</v>
      </c>
      <c r="T486" s="3">
        <f t="shared" si="44"/>
        <v>7820.64</v>
      </c>
      <c r="U486" s="4">
        <v>0.04</v>
      </c>
      <c r="V486" s="6">
        <f t="shared" si="45"/>
        <v>312.82560000000001</v>
      </c>
      <c r="W486" s="6">
        <f t="shared" si="46"/>
        <v>7507.8144000000002</v>
      </c>
      <c r="X486" s="3">
        <v>19.989999999999998</v>
      </c>
      <c r="Y486" s="5">
        <f t="shared" si="47"/>
        <v>7527.8044</v>
      </c>
    </row>
    <row r="487" spans="1:25" x14ac:dyDescent="0.2">
      <c r="A487" t="s">
        <v>898</v>
      </c>
      <c r="B487" s="1">
        <v>42024</v>
      </c>
      <c r="C487" s="2" t="str">
        <f t="shared" si="42"/>
        <v>2015</v>
      </c>
      <c r="D487" s="2" t="s">
        <v>203</v>
      </c>
      <c r="E487" s="2" t="s">
        <v>204</v>
      </c>
      <c r="F487" s="2" t="s">
        <v>36</v>
      </c>
      <c r="G487" s="2" t="s">
        <v>37</v>
      </c>
      <c r="H487" s="2" t="s">
        <v>29</v>
      </c>
      <c r="I487" s="2" t="s">
        <v>142</v>
      </c>
      <c r="J487" s="2" t="s">
        <v>52</v>
      </c>
      <c r="K487" s="2" t="s">
        <v>674</v>
      </c>
      <c r="L487" s="2" t="s">
        <v>32</v>
      </c>
      <c r="M487" s="2" t="s">
        <v>33</v>
      </c>
      <c r="N487" s="2" t="s">
        <v>27</v>
      </c>
      <c r="O487" s="1">
        <v>42025</v>
      </c>
      <c r="P487" s="3">
        <v>4.4800000000000004</v>
      </c>
      <c r="Q487" s="3">
        <v>8.14</v>
      </c>
      <c r="R487" s="3">
        <f t="shared" si="43"/>
        <v>3.66</v>
      </c>
      <c r="S487" s="2">
        <v>23</v>
      </c>
      <c r="T487" s="3">
        <f t="shared" si="44"/>
        <v>187.22000000000003</v>
      </c>
      <c r="U487" s="4">
        <v>7.0000000000000007E-2</v>
      </c>
      <c r="V487" s="6">
        <f t="shared" si="45"/>
        <v>13.105400000000003</v>
      </c>
      <c r="W487" s="6">
        <f t="shared" si="46"/>
        <v>174.11460000000002</v>
      </c>
      <c r="X487" s="3">
        <v>3.12</v>
      </c>
      <c r="Y487" s="5">
        <f t="shared" si="47"/>
        <v>177.23460000000003</v>
      </c>
    </row>
    <row r="488" spans="1:25" x14ac:dyDescent="0.2">
      <c r="A488" t="s">
        <v>899</v>
      </c>
      <c r="B488" s="1">
        <v>42024</v>
      </c>
      <c r="C488" s="2" t="str">
        <f t="shared" si="42"/>
        <v>2015</v>
      </c>
      <c r="D488" s="2" t="s">
        <v>203</v>
      </c>
      <c r="E488" s="2" t="s">
        <v>204</v>
      </c>
      <c r="F488" s="2" t="s">
        <v>36</v>
      </c>
      <c r="G488" s="2" t="s">
        <v>37</v>
      </c>
      <c r="H488" s="2" t="s">
        <v>29</v>
      </c>
      <c r="I488" s="2" t="s">
        <v>142</v>
      </c>
      <c r="J488" s="2" t="s">
        <v>52</v>
      </c>
      <c r="K488" s="2" t="s">
        <v>120</v>
      </c>
      <c r="L488" s="2" t="s">
        <v>32</v>
      </c>
      <c r="M488" s="2" t="s">
        <v>26</v>
      </c>
      <c r="N488" s="2" t="s">
        <v>27</v>
      </c>
      <c r="O488" s="1">
        <v>42025</v>
      </c>
      <c r="P488" s="3">
        <v>1.18</v>
      </c>
      <c r="Q488" s="3">
        <v>1.88</v>
      </c>
      <c r="R488" s="3">
        <f t="shared" si="43"/>
        <v>0.7</v>
      </c>
      <c r="S488" s="2">
        <v>33</v>
      </c>
      <c r="T488" s="3">
        <f t="shared" si="44"/>
        <v>62.04</v>
      </c>
      <c r="U488" s="4">
        <v>0.05</v>
      </c>
      <c r="V488" s="6">
        <f t="shared" si="45"/>
        <v>3.1020000000000003</v>
      </c>
      <c r="W488" s="6">
        <f t="shared" si="46"/>
        <v>58.938000000000002</v>
      </c>
      <c r="X488" s="3">
        <v>1.49</v>
      </c>
      <c r="Y488" s="5">
        <f t="shared" si="47"/>
        <v>60.428000000000004</v>
      </c>
    </row>
    <row r="489" spans="1:25" x14ac:dyDescent="0.2">
      <c r="A489" t="s">
        <v>1388</v>
      </c>
      <c r="B489" s="1">
        <v>42025</v>
      </c>
      <c r="C489" s="2" t="str">
        <f t="shared" si="42"/>
        <v>2015</v>
      </c>
      <c r="D489" s="2" t="s">
        <v>673</v>
      </c>
      <c r="E489" s="2" t="s">
        <v>271</v>
      </c>
      <c r="F489" s="2" t="s">
        <v>36</v>
      </c>
      <c r="G489" s="2" t="s">
        <v>37</v>
      </c>
      <c r="H489" s="2" t="s">
        <v>42</v>
      </c>
      <c r="I489" s="2" t="s">
        <v>102</v>
      </c>
      <c r="J489" s="2" t="s">
        <v>44</v>
      </c>
      <c r="K489" s="2" t="s">
        <v>332</v>
      </c>
      <c r="L489" s="2" t="s">
        <v>32</v>
      </c>
      <c r="M489" s="2" t="s">
        <v>26</v>
      </c>
      <c r="N489" s="2" t="s">
        <v>27</v>
      </c>
      <c r="O489" s="1">
        <v>42027</v>
      </c>
      <c r="P489" s="3">
        <v>2.25</v>
      </c>
      <c r="Q489" s="3">
        <v>3.69</v>
      </c>
      <c r="R489" s="3">
        <f t="shared" si="43"/>
        <v>1.44</v>
      </c>
      <c r="S489" s="2">
        <v>13</v>
      </c>
      <c r="T489" s="3">
        <f t="shared" si="44"/>
        <v>47.97</v>
      </c>
      <c r="U489" s="4">
        <v>0.05</v>
      </c>
      <c r="V489" s="6">
        <f t="shared" si="45"/>
        <v>2.3984999999999999</v>
      </c>
      <c r="W489" s="6">
        <f t="shared" si="46"/>
        <v>45.5715</v>
      </c>
      <c r="X489" s="3">
        <v>2.5</v>
      </c>
      <c r="Y489" s="5">
        <f t="shared" si="47"/>
        <v>48.0715</v>
      </c>
    </row>
    <row r="490" spans="1:25" x14ac:dyDescent="0.2">
      <c r="A490" t="s">
        <v>900</v>
      </c>
      <c r="B490" s="1">
        <v>42026</v>
      </c>
      <c r="C490" s="2" t="str">
        <f t="shared" si="42"/>
        <v>2015</v>
      </c>
      <c r="D490" s="2" t="s">
        <v>385</v>
      </c>
      <c r="E490" s="2" t="s">
        <v>1931</v>
      </c>
      <c r="F490" s="2" t="s">
        <v>1881</v>
      </c>
      <c r="G490" s="2" t="s">
        <v>1882</v>
      </c>
      <c r="H490" s="2" t="s">
        <v>50</v>
      </c>
      <c r="I490" s="2" t="s">
        <v>153</v>
      </c>
      <c r="J490" s="2" t="s">
        <v>66</v>
      </c>
      <c r="K490" s="2" t="s">
        <v>84</v>
      </c>
      <c r="L490" s="2" t="s">
        <v>25</v>
      </c>
      <c r="M490" s="2" t="s">
        <v>85</v>
      </c>
      <c r="N490" s="2" t="s">
        <v>27</v>
      </c>
      <c r="O490" s="1">
        <v>42027</v>
      </c>
      <c r="P490" s="3">
        <v>8.82</v>
      </c>
      <c r="Q490" s="3">
        <v>20.99</v>
      </c>
      <c r="R490" s="3">
        <f t="shared" si="43"/>
        <v>12.169999999999998</v>
      </c>
      <c r="S490" s="2">
        <v>3</v>
      </c>
      <c r="T490" s="3">
        <f t="shared" si="44"/>
        <v>62.97</v>
      </c>
      <c r="U490" s="4">
        <v>0.01</v>
      </c>
      <c r="V490" s="6">
        <f t="shared" si="45"/>
        <v>0.62970000000000004</v>
      </c>
      <c r="W490" s="6">
        <f t="shared" si="46"/>
        <v>62.340299999999999</v>
      </c>
      <c r="X490" s="3">
        <v>4.8099999999999996</v>
      </c>
      <c r="Y490" s="5">
        <f t="shared" si="47"/>
        <v>67.150300000000001</v>
      </c>
    </row>
    <row r="491" spans="1:25" x14ac:dyDescent="0.2">
      <c r="A491" t="s">
        <v>901</v>
      </c>
      <c r="B491" s="1">
        <v>42026</v>
      </c>
      <c r="C491" s="2" t="str">
        <f t="shared" si="42"/>
        <v>2015</v>
      </c>
      <c r="D491" s="2" t="s">
        <v>385</v>
      </c>
      <c r="E491" s="2" t="s">
        <v>1931</v>
      </c>
      <c r="F491" s="2" t="s">
        <v>1881</v>
      </c>
      <c r="G491" s="2" t="s">
        <v>1882</v>
      </c>
      <c r="H491" s="2" t="s">
        <v>50</v>
      </c>
      <c r="I491" s="2" t="s">
        <v>153</v>
      </c>
      <c r="J491" s="2" t="s">
        <v>66</v>
      </c>
      <c r="K491" s="2" t="s">
        <v>287</v>
      </c>
      <c r="L491" s="2" t="s">
        <v>32</v>
      </c>
      <c r="M491" s="2" t="s">
        <v>26</v>
      </c>
      <c r="N491" s="2" t="s">
        <v>89</v>
      </c>
      <c r="O491" s="1">
        <v>42026</v>
      </c>
      <c r="P491" s="3">
        <v>13.88</v>
      </c>
      <c r="Q491" s="3">
        <v>22.38</v>
      </c>
      <c r="R491" s="3">
        <f t="shared" si="43"/>
        <v>8.4999999999999982</v>
      </c>
      <c r="S491" s="2">
        <v>42</v>
      </c>
      <c r="T491" s="3">
        <f t="shared" si="44"/>
        <v>939.95999999999992</v>
      </c>
      <c r="U491" s="4">
        <v>7.0000000000000007E-2</v>
      </c>
      <c r="V491" s="6">
        <f t="shared" si="45"/>
        <v>65.797200000000004</v>
      </c>
      <c r="W491" s="6">
        <f t="shared" si="46"/>
        <v>874.16279999999995</v>
      </c>
      <c r="X491" s="3">
        <v>15.1</v>
      </c>
      <c r="Y491" s="5">
        <f t="shared" si="47"/>
        <v>889.26279999999997</v>
      </c>
    </row>
    <row r="492" spans="1:25" x14ac:dyDescent="0.2">
      <c r="A492" t="s">
        <v>901</v>
      </c>
      <c r="B492" s="1">
        <v>42026</v>
      </c>
      <c r="C492" s="2" t="str">
        <f t="shared" si="42"/>
        <v>2015</v>
      </c>
      <c r="D492" s="2" t="s">
        <v>385</v>
      </c>
      <c r="E492" s="2" t="s">
        <v>1931</v>
      </c>
      <c r="F492" s="2" t="s">
        <v>1881</v>
      </c>
      <c r="G492" s="2" t="s">
        <v>1882</v>
      </c>
      <c r="H492" s="2" t="s">
        <v>50</v>
      </c>
      <c r="I492" s="2" t="s">
        <v>153</v>
      </c>
      <c r="J492" s="2" t="s">
        <v>66</v>
      </c>
      <c r="K492" s="2" t="s">
        <v>24</v>
      </c>
      <c r="L492" s="2" t="s">
        <v>25</v>
      </c>
      <c r="M492" s="2" t="s">
        <v>26</v>
      </c>
      <c r="N492" s="2" t="s">
        <v>27</v>
      </c>
      <c r="O492" s="1">
        <v>42028</v>
      </c>
      <c r="P492" s="3">
        <v>6.39</v>
      </c>
      <c r="Q492" s="3">
        <v>19.98</v>
      </c>
      <c r="R492" s="3">
        <f t="shared" si="43"/>
        <v>13.59</v>
      </c>
      <c r="S492" s="2">
        <v>45</v>
      </c>
      <c r="T492" s="3">
        <f t="shared" si="44"/>
        <v>899.1</v>
      </c>
      <c r="U492" s="4">
        <v>0.06</v>
      </c>
      <c r="V492" s="6">
        <f t="shared" si="45"/>
        <v>53.945999999999998</v>
      </c>
      <c r="W492" s="6">
        <f t="shared" si="46"/>
        <v>845.154</v>
      </c>
      <c r="X492" s="3">
        <v>4</v>
      </c>
      <c r="Y492" s="5">
        <f t="shared" si="47"/>
        <v>849.154</v>
      </c>
    </row>
    <row r="493" spans="1:25" x14ac:dyDescent="0.2">
      <c r="A493" t="s">
        <v>1389</v>
      </c>
      <c r="B493" s="1">
        <v>42027</v>
      </c>
      <c r="C493" s="2" t="str">
        <f t="shared" si="42"/>
        <v>2015</v>
      </c>
      <c r="D493" s="2" t="s">
        <v>384</v>
      </c>
      <c r="E493" s="2" t="s">
        <v>172</v>
      </c>
      <c r="F493" s="2" t="s">
        <v>36</v>
      </c>
      <c r="G493" s="2" t="s">
        <v>37</v>
      </c>
      <c r="H493" s="2" t="s">
        <v>29</v>
      </c>
      <c r="I493" s="2" t="s">
        <v>75</v>
      </c>
      <c r="J493" s="2" t="s">
        <v>52</v>
      </c>
      <c r="K493" s="2" t="s">
        <v>480</v>
      </c>
      <c r="L493" s="2" t="s">
        <v>32</v>
      </c>
      <c r="M493" s="2" t="s">
        <v>33</v>
      </c>
      <c r="N493" s="2" t="s">
        <v>27</v>
      </c>
      <c r="O493" s="1">
        <v>42029</v>
      </c>
      <c r="P493" s="3">
        <v>2.41</v>
      </c>
      <c r="Q493" s="3">
        <v>3.71</v>
      </c>
      <c r="R493" s="3">
        <f t="shared" si="43"/>
        <v>1.2999999999999998</v>
      </c>
      <c r="S493" s="2">
        <v>14</v>
      </c>
      <c r="T493" s="3">
        <f t="shared" si="44"/>
        <v>51.94</v>
      </c>
      <c r="U493" s="4">
        <v>0.09</v>
      </c>
      <c r="V493" s="6">
        <f t="shared" si="45"/>
        <v>4.6745999999999999</v>
      </c>
      <c r="W493" s="6">
        <f t="shared" si="46"/>
        <v>47.2654</v>
      </c>
      <c r="X493" s="3">
        <v>1.93</v>
      </c>
      <c r="Y493" s="5">
        <f t="shared" si="47"/>
        <v>49.195399999999999</v>
      </c>
    </row>
    <row r="494" spans="1:25" x14ac:dyDescent="0.2">
      <c r="A494" t="s">
        <v>1390</v>
      </c>
      <c r="B494" s="1">
        <v>42030</v>
      </c>
      <c r="C494" s="2" t="str">
        <f t="shared" si="42"/>
        <v>2015</v>
      </c>
      <c r="D494" s="2" t="s">
        <v>422</v>
      </c>
      <c r="E494" s="2" t="s">
        <v>185</v>
      </c>
      <c r="F494" s="2" t="s">
        <v>36</v>
      </c>
      <c r="G494" s="2" t="s">
        <v>37</v>
      </c>
      <c r="H494" s="2" t="s">
        <v>29</v>
      </c>
      <c r="I494" s="2" t="s">
        <v>153</v>
      </c>
      <c r="J494" s="2" t="s">
        <v>52</v>
      </c>
      <c r="K494" s="2" t="s">
        <v>97</v>
      </c>
      <c r="L494" s="2" t="s">
        <v>32</v>
      </c>
      <c r="M494" s="2" t="s">
        <v>33</v>
      </c>
      <c r="N494" s="2" t="s">
        <v>27</v>
      </c>
      <c r="O494" s="1">
        <v>42032</v>
      </c>
      <c r="P494" s="3">
        <v>0.71</v>
      </c>
      <c r="Q494" s="3">
        <v>1.1399999999999999</v>
      </c>
      <c r="R494" s="3">
        <f t="shared" si="43"/>
        <v>0.42999999999999994</v>
      </c>
      <c r="S494" s="2">
        <v>42</v>
      </c>
      <c r="T494" s="3">
        <f t="shared" si="44"/>
        <v>47.879999999999995</v>
      </c>
      <c r="U494" s="4">
        <v>0.06</v>
      </c>
      <c r="V494" s="6">
        <f t="shared" si="45"/>
        <v>2.8727999999999998</v>
      </c>
      <c r="W494" s="6">
        <f t="shared" si="46"/>
        <v>45.007199999999997</v>
      </c>
      <c r="X494" s="3">
        <v>0.7</v>
      </c>
      <c r="Y494" s="5">
        <f t="shared" si="47"/>
        <v>45.7072</v>
      </c>
    </row>
    <row r="495" spans="1:25" x14ac:dyDescent="0.2">
      <c r="A495" t="s">
        <v>1391</v>
      </c>
      <c r="B495" s="1">
        <v>42032</v>
      </c>
      <c r="C495" s="2" t="str">
        <f t="shared" si="42"/>
        <v>2015</v>
      </c>
      <c r="D495" s="2" t="s">
        <v>282</v>
      </c>
      <c r="E495" s="2" t="s">
        <v>60</v>
      </c>
      <c r="F495" s="2" t="s">
        <v>36</v>
      </c>
      <c r="G495" s="2" t="s">
        <v>37</v>
      </c>
      <c r="H495" s="2" t="s">
        <v>42</v>
      </c>
      <c r="I495" s="2" t="s">
        <v>56</v>
      </c>
      <c r="J495" s="2" t="s">
        <v>30</v>
      </c>
      <c r="K495" s="2" t="s">
        <v>337</v>
      </c>
      <c r="L495" s="2" t="s">
        <v>32</v>
      </c>
      <c r="M495" s="2" t="s">
        <v>26</v>
      </c>
      <c r="N495" s="2" t="s">
        <v>27</v>
      </c>
      <c r="O495" s="1">
        <v>42033</v>
      </c>
      <c r="P495" s="3">
        <v>2.29</v>
      </c>
      <c r="Q495" s="3">
        <v>3.69</v>
      </c>
      <c r="R495" s="3">
        <f t="shared" si="43"/>
        <v>1.4</v>
      </c>
      <c r="S495" s="2">
        <v>4</v>
      </c>
      <c r="T495" s="3">
        <f t="shared" si="44"/>
        <v>14.76</v>
      </c>
      <c r="U495" s="4">
        <v>0.01</v>
      </c>
      <c r="V495" s="6">
        <f t="shared" si="45"/>
        <v>0.14760000000000001</v>
      </c>
      <c r="W495" s="6">
        <f t="shared" si="46"/>
        <v>14.612399999999999</v>
      </c>
      <c r="X495" s="3">
        <v>0.5</v>
      </c>
      <c r="Y495" s="5">
        <f t="shared" si="47"/>
        <v>15.112399999999999</v>
      </c>
    </row>
    <row r="496" spans="1:25" x14ac:dyDescent="0.2">
      <c r="A496" t="s">
        <v>1392</v>
      </c>
      <c r="B496" s="1">
        <v>42034</v>
      </c>
      <c r="C496" s="2" t="str">
        <f t="shared" si="42"/>
        <v>2015</v>
      </c>
      <c r="D496" s="2" t="s">
        <v>671</v>
      </c>
      <c r="E496" s="2" t="s">
        <v>672</v>
      </c>
      <c r="F496" s="2" t="s">
        <v>36</v>
      </c>
      <c r="G496" s="2" t="s">
        <v>37</v>
      </c>
      <c r="H496" s="2" t="s">
        <v>50</v>
      </c>
      <c r="I496" s="2" t="s">
        <v>56</v>
      </c>
      <c r="J496" s="2" t="s">
        <v>52</v>
      </c>
      <c r="K496" s="2" t="s">
        <v>117</v>
      </c>
      <c r="L496" s="2" t="s">
        <v>25</v>
      </c>
      <c r="M496" s="2" t="s">
        <v>26</v>
      </c>
      <c r="N496" s="2" t="s">
        <v>27</v>
      </c>
      <c r="O496" s="1">
        <v>42035</v>
      </c>
      <c r="P496" s="3">
        <v>32.020000000000003</v>
      </c>
      <c r="Q496" s="3">
        <v>152.47999999999999</v>
      </c>
      <c r="R496" s="3">
        <f t="shared" si="43"/>
        <v>120.45999999999998</v>
      </c>
      <c r="S496" s="2">
        <v>21</v>
      </c>
      <c r="T496" s="3">
        <f t="shared" si="44"/>
        <v>3202.08</v>
      </c>
      <c r="U496" s="4">
        <v>0.03</v>
      </c>
      <c r="V496" s="6">
        <f t="shared" si="45"/>
        <v>96.062399999999997</v>
      </c>
      <c r="W496" s="6">
        <f t="shared" si="46"/>
        <v>3106.0176000000001</v>
      </c>
      <c r="X496" s="3">
        <v>4</v>
      </c>
      <c r="Y496" s="5">
        <f t="shared" si="47"/>
        <v>3110.0176000000001</v>
      </c>
    </row>
    <row r="497" spans="1:25" x14ac:dyDescent="0.2">
      <c r="A497" t="s">
        <v>1393</v>
      </c>
      <c r="B497" s="1">
        <v>42035</v>
      </c>
      <c r="C497" s="2" t="str">
        <f t="shared" si="42"/>
        <v>2015</v>
      </c>
      <c r="D497" s="2" t="s">
        <v>670</v>
      </c>
      <c r="E497" s="2" t="s">
        <v>213</v>
      </c>
      <c r="F497" s="2" t="s">
        <v>36</v>
      </c>
      <c r="G497" s="2" t="s">
        <v>37</v>
      </c>
      <c r="H497" s="2" t="s">
        <v>50</v>
      </c>
      <c r="I497" s="2" t="s">
        <v>79</v>
      </c>
      <c r="J497" s="2" t="s">
        <v>44</v>
      </c>
      <c r="K497" s="2" t="s">
        <v>186</v>
      </c>
      <c r="L497" s="2" t="s">
        <v>25</v>
      </c>
      <c r="M497" s="2" t="s">
        <v>62</v>
      </c>
      <c r="N497" s="2" t="s">
        <v>63</v>
      </c>
      <c r="O497" s="1">
        <v>42037</v>
      </c>
      <c r="P497" s="3">
        <v>278.99</v>
      </c>
      <c r="Q497" s="3">
        <v>449.99</v>
      </c>
      <c r="R497" s="3">
        <f t="shared" si="43"/>
        <v>171</v>
      </c>
      <c r="S497" s="2">
        <v>25</v>
      </c>
      <c r="T497" s="3">
        <f t="shared" si="44"/>
        <v>11249.75</v>
      </c>
      <c r="U497" s="4">
        <v>0.01</v>
      </c>
      <c r="V497" s="6">
        <f t="shared" si="45"/>
        <v>112.4975</v>
      </c>
      <c r="W497" s="6">
        <f t="shared" si="46"/>
        <v>11137.252500000001</v>
      </c>
      <c r="X497" s="3">
        <v>49</v>
      </c>
      <c r="Y497" s="5">
        <f t="shared" si="47"/>
        <v>11186.252500000001</v>
      </c>
    </row>
    <row r="498" spans="1:25" x14ac:dyDescent="0.2">
      <c r="A498" t="s">
        <v>1394</v>
      </c>
      <c r="B498" s="1">
        <v>42036</v>
      </c>
      <c r="C498" s="2" t="str">
        <f t="shared" si="42"/>
        <v>2015</v>
      </c>
      <c r="D498" s="2" t="s">
        <v>667</v>
      </c>
      <c r="E498" s="2" t="s">
        <v>465</v>
      </c>
      <c r="F498" s="2" t="s">
        <v>36</v>
      </c>
      <c r="G498" s="2" t="s">
        <v>37</v>
      </c>
      <c r="H498" s="2" t="s">
        <v>21</v>
      </c>
      <c r="I498" s="2" t="s">
        <v>79</v>
      </c>
      <c r="J498" s="2" t="s">
        <v>44</v>
      </c>
      <c r="K498" s="2" t="s">
        <v>260</v>
      </c>
      <c r="L498" s="2" t="s">
        <v>150</v>
      </c>
      <c r="M498" s="2" t="s">
        <v>261</v>
      </c>
      <c r="N498" s="2" t="s">
        <v>27</v>
      </c>
      <c r="O498" s="1">
        <v>42038</v>
      </c>
      <c r="P498" s="3">
        <v>56.16</v>
      </c>
      <c r="Q498" s="3">
        <v>136.97999999999999</v>
      </c>
      <c r="R498" s="3">
        <f t="shared" si="43"/>
        <v>80.819999999999993</v>
      </c>
      <c r="S498" s="2">
        <v>2</v>
      </c>
      <c r="T498" s="3">
        <f t="shared" si="44"/>
        <v>273.95999999999998</v>
      </c>
      <c r="U498" s="4">
        <v>0.08</v>
      </c>
      <c r="V498" s="6">
        <f t="shared" si="45"/>
        <v>21.916799999999999</v>
      </c>
      <c r="W498" s="6">
        <f t="shared" si="46"/>
        <v>252.04319999999998</v>
      </c>
      <c r="X498" s="3">
        <v>24.49</v>
      </c>
      <c r="Y498" s="5">
        <f t="shared" si="47"/>
        <v>276.53319999999997</v>
      </c>
    </row>
    <row r="499" spans="1:25" x14ac:dyDescent="0.2">
      <c r="A499" t="s">
        <v>1395</v>
      </c>
      <c r="B499" s="1">
        <v>42036</v>
      </c>
      <c r="C499" s="2" t="str">
        <f t="shared" si="42"/>
        <v>2015</v>
      </c>
      <c r="D499" s="2" t="s">
        <v>668</v>
      </c>
      <c r="E499" s="2" t="s">
        <v>1895</v>
      </c>
      <c r="F499" s="2" t="s">
        <v>1881</v>
      </c>
      <c r="G499" s="2" t="s">
        <v>1882</v>
      </c>
      <c r="H499" s="2" t="s">
        <v>29</v>
      </c>
      <c r="I499" s="2" t="s">
        <v>153</v>
      </c>
      <c r="J499" s="2" t="s">
        <v>66</v>
      </c>
      <c r="K499" s="2" t="s">
        <v>669</v>
      </c>
      <c r="L499" s="2" t="s">
        <v>32</v>
      </c>
      <c r="M499" s="2" t="s">
        <v>26</v>
      </c>
      <c r="N499" s="2" t="s">
        <v>27</v>
      </c>
      <c r="O499" s="1">
        <v>42038</v>
      </c>
      <c r="P499" s="3">
        <v>18.38</v>
      </c>
      <c r="Q499" s="3">
        <v>29.17</v>
      </c>
      <c r="R499" s="3">
        <f t="shared" si="43"/>
        <v>10.790000000000003</v>
      </c>
      <c r="S499" s="2">
        <v>43</v>
      </c>
      <c r="T499" s="3">
        <f t="shared" si="44"/>
        <v>1254.3100000000002</v>
      </c>
      <c r="U499" s="4">
        <v>0.05</v>
      </c>
      <c r="V499" s="6">
        <f t="shared" si="45"/>
        <v>62.715500000000013</v>
      </c>
      <c r="W499" s="6">
        <f t="shared" si="46"/>
        <v>1191.5945000000002</v>
      </c>
      <c r="X499" s="3">
        <v>6.27</v>
      </c>
      <c r="Y499" s="5">
        <f t="shared" si="47"/>
        <v>1197.8645000000001</v>
      </c>
    </row>
    <row r="500" spans="1:25" x14ac:dyDescent="0.2">
      <c r="A500" t="s">
        <v>1396</v>
      </c>
      <c r="B500" s="1">
        <v>42038</v>
      </c>
      <c r="C500" s="2" t="str">
        <f t="shared" si="42"/>
        <v>2015</v>
      </c>
      <c r="D500" s="2" t="s">
        <v>664</v>
      </c>
      <c r="E500" s="2" t="s">
        <v>35</v>
      </c>
      <c r="F500" s="2" t="s">
        <v>36</v>
      </c>
      <c r="G500" s="2" t="s">
        <v>37</v>
      </c>
      <c r="H500" s="2" t="s">
        <v>42</v>
      </c>
      <c r="I500" s="2" t="s">
        <v>38</v>
      </c>
      <c r="J500" s="2" t="s">
        <v>44</v>
      </c>
      <c r="K500" s="2" t="s">
        <v>84</v>
      </c>
      <c r="L500" s="2" t="s">
        <v>25</v>
      </c>
      <c r="M500" s="2" t="s">
        <v>85</v>
      </c>
      <c r="N500" s="2" t="s">
        <v>27</v>
      </c>
      <c r="O500" s="1">
        <v>42041</v>
      </c>
      <c r="P500" s="3">
        <v>8.82</v>
      </c>
      <c r="Q500" s="3">
        <v>20.99</v>
      </c>
      <c r="R500" s="3">
        <f t="shared" si="43"/>
        <v>12.169999999999998</v>
      </c>
      <c r="S500" s="2">
        <v>23</v>
      </c>
      <c r="T500" s="3">
        <f t="shared" si="44"/>
        <v>482.77</v>
      </c>
      <c r="U500" s="4">
        <v>0.1</v>
      </c>
      <c r="V500" s="6">
        <f t="shared" si="45"/>
        <v>48.277000000000001</v>
      </c>
      <c r="W500" s="6">
        <f t="shared" si="46"/>
        <v>434.49299999999999</v>
      </c>
      <c r="X500" s="3">
        <v>4.8099999999999996</v>
      </c>
      <c r="Y500" s="5">
        <f t="shared" si="47"/>
        <v>439.303</v>
      </c>
    </row>
    <row r="501" spans="1:25" x14ac:dyDescent="0.2">
      <c r="A501" t="s">
        <v>1397</v>
      </c>
      <c r="B501" s="1">
        <v>42038</v>
      </c>
      <c r="C501" s="2" t="str">
        <f t="shared" si="42"/>
        <v>2015</v>
      </c>
      <c r="D501" s="2" t="s">
        <v>665</v>
      </c>
      <c r="E501" s="2" t="s">
        <v>666</v>
      </c>
      <c r="F501" s="2" t="s">
        <v>36</v>
      </c>
      <c r="G501" s="2" t="s">
        <v>37</v>
      </c>
      <c r="H501" s="2" t="s">
        <v>21</v>
      </c>
      <c r="I501" s="2" t="s">
        <v>38</v>
      </c>
      <c r="J501" s="2" t="s">
        <v>30</v>
      </c>
      <c r="K501" s="2" t="s">
        <v>630</v>
      </c>
      <c r="L501" s="2" t="s">
        <v>32</v>
      </c>
      <c r="M501" s="2" t="s">
        <v>33</v>
      </c>
      <c r="N501" s="2" t="s">
        <v>89</v>
      </c>
      <c r="O501" s="1">
        <v>42038</v>
      </c>
      <c r="P501" s="3">
        <v>1.76</v>
      </c>
      <c r="Q501" s="3">
        <v>3.38</v>
      </c>
      <c r="R501" s="3">
        <f t="shared" si="43"/>
        <v>1.6199999999999999</v>
      </c>
      <c r="S501" s="2">
        <v>5</v>
      </c>
      <c r="T501" s="3">
        <f t="shared" si="44"/>
        <v>16.899999999999999</v>
      </c>
      <c r="U501" s="4">
        <v>0.08</v>
      </c>
      <c r="V501" s="6">
        <f t="shared" si="45"/>
        <v>1.3519999999999999</v>
      </c>
      <c r="W501" s="6">
        <f t="shared" si="46"/>
        <v>15.547999999999998</v>
      </c>
      <c r="X501" s="3">
        <v>0.85</v>
      </c>
      <c r="Y501" s="5">
        <f t="shared" si="47"/>
        <v>16.398</v>
      </c>
    </row>
    <row r="502" spans="1:25" x14ac:dyDescent="0.2">
      <c r="A502" t="s">
        <v>1398</v>
      </c>
      <c r="B502" s="1">
        <v>42038</v>
      </c>
      <c r="C502" s="2" t="str">
        <f t="shared" si="42"/>
        <v>2015</v>
      </c>
      <c r="D502" s="2" t="s">
        <v>639</v>
      </c>
      <c r="E502" s="2" t="s">
        <v>101</v>
      </c>
      <c r="F502" s="2" t="s">
        <v>36</v>
      </c>
      <c r="G502" s="2" t="s">
        <v>37</v>
      </c>
      <c r="H502" s="2" t="s">
        <v>50</v>
      </c>
      <c r="I502" s="2" t="s">
        <v>102</v>
      </c>
      <c r="J502" s="2" t="s">
        <v>23</v>
      </c>
      <c r="K502" s="2" t="s">
        <v>295</v>
      </c>
      <c r="L502" s="2" t="s">
        <v>32</v>
      </c>
      <c r="M502" s="2" t="s">
        <v>58</v>
      </c>
      <c r="N502" s="2" t="s">
        <v>27</v>
      </c>
      <c r="O502" s="1">
        <v>42065</v>
      </c>
      <c r="P502" s="3">
        <v>4.79</v>
      </c>
      <c r="Q502" s="3">
        <v>11.97</v>
      </c>
      <c r="R502" s="3">
        <f t="shared" si="43"/>
        <v>7.1800000000000006</v>
      </c>
      <c r="S502" s="2">
        <v>17</v>
      </c>
      <c r="T502" s="3">
        <f t="shared" si="44"/>
        <v>203.49</v>
      </c>
      <c r="U502" s="4">
        <v>0.03</v>
      </c>
      <c r="V502" s="6">
        <f t="shared" si="45"/>
        <v>6.1047000000000002</v>
      </c>
      <c r="W502" s="6">
        <f t="shared" si="46"/>
        <v>197.3853</v>
      </c>
      <c r="X502" s="3">
        <v>5.81</v>
      </c>
      <c r="Y502" s="5">
        <f t="shared" si="47"/>
        <v>203.1953</v>
      </c>
    </row>
    <row r="503" spans="1:25" x14ac:dyDescent="0.2">
      <c r="A503" t="s">
        <v>1399</v>
      </c>
      <c r="B503" s="1">
        <v>42039</v>
      </c>
      <c r="C503" s="2" t="str">
        <f t="shared" si="42"/>
        <v>2015</v>
      </c>
      <c r="D503" s="2" t="s">
        <v>160</v>
      </c>
      <c r="E503" s="2" t="s">
        <v>161</v>
      </c>
      <c r="F503" s="2" t="s">
        <v>36</v>
      </c>
      <c r="G503" s="2" t="s">
        <v>37</v>
      </c>
      <c r="H503" s="2" t="s">
        <v>21</v>
      </c>
      <c r="I503" s="2" t="s">
        <v>51</v>
      </c>
      <c r="J503" s="2" t="s">
        <v>30</v>
      </c>
      <c r="K503" s="2" t="s">
        <v>365</v>
      </c>
      <c r="L503" s="2" t="s">
        <v>32</v>
      </c>
      <c r="M503" s="2" t="s">
        <v>33</v>
      </c>
      <c r="N503" s="2" t="s">
        <v>27</v>
      </c>
      <c r="O503" s="1">
        <v>42041</v>
      </c>
      <c r="P503" s="3">
        <v>21.56</v>
      </c>
      <c r="Q503" s="3">
        <v>36.549999999999997</v>
      </c>
      <c r="R503" s="3">
        <f t="shared" si="43"/>
        <v>14.989999999999998</v>
      </c>
      <c r="S503" s="2">
        <v>34</v>
      </c>
      <c r="T503" s="3">
        <f t="shared" si="44"/>
        <v>1242.6999999999998</v>
      </c>
      <c r="U503" s="4">
        <v>0.03</v>
      </c>
      <c r="V503" s="6">
        <f t="shared" si="45"/>
        <v>37.280999999999992</v>
      </c>
      <c r="W503" s="6">
        <f t="shared" si="46"/>
        <v>1205.4189999999999</v>
      </c>
      <c r="X503" s="3">
        <v>13.89</v>
      </c>
      <c r="Y503" s="5">
        <f t="shared" si="47"/>
        <v>1219.309</v>
      </c>
    </row>
    <row r="504" spans="1:25" x14ac:dyDescent="0.2">
      <c r="A504" t="s">
        <v>1400</v>
      </c>
      <c r="B504" s="1">
        <v>42039</v>
      </c>
      <c r="C504" s="2" t="str">
        <f t="shared" si="42"/>
        <v>2015</v>
      </c>
      <c r="D504" s="2" t="s">
        <v>663</v>
      </c>
      <c r="E504" s="2" t="s">
        <v>74</v>
      </c>
      <c r="F504" s="2" t="s">
        <v>36</v>
      </c>
      <c r="G504" s="2" t="s">
        <v>37</v>
      </c>
      <c r="H504" s="2" t="s">
        <v>42</v>
      </c>
      <c r="I504" s="2" t="s">
        <v>75</v>
      </c>
      <c r="J504" s="2" t="s">
        <v>66</v>
      </c>
      <c r="K504" s="2" t="s">
        <v>278</v>
      </c>
      <c r="L504" s="2" t="s">
        <v>32</v>
      </c>
      <c r="M504" s="2" t="s">
        <v>33</v>
      </c>
      <c r="N504" s="2" t="s">
        <v>27</v>
      </c>
      <c r="O504" s="1">
        <v>42041</v>
      </c>
      <c r="P504" s="3">
        <v>2.31</v>
      </c>
      <c r="Q504" s="3">
        <v>3.78</v>
      </c>
      <c r="R504" s="3">
        <f t="shared" si="43"/>
        <v>1.4699999999999998</v>
      </c>
      <c r="S504" s="2">
        <v>34</v>
      </c>
      <c r="T504" s="3">
        <f t="shared" si="44"/>
        <v>128.51999999999998</v>
      </c>
      <c r="U504" s="4">
        <v>0.03</v>
      </c>
      <c r="V504" s="6">
        <f t="shared" si="45"/>
        <v>3.8555999999999995</v>
      </c>
      <c r="W504" s="6">
        <f t="shared" si="46"/>
        <v>124.66439999999999</v>
      </c>
      <c r="X504" s="3">
        <v>0.71</v>
      </c>
      <c r="Y504" s="5">
        <f t="shared" si="47"/>
        <v>125.37439999999998</v>
      </c>
    </row>
    <row r="505" spans="1:25" x14ac:dyDescent="0.2">
      <c r="A505" t="s">
        <v>1401</v>
      </c>
      <c r="B505" s="1">
        <v>42042</v>
      </c>
      <c r="C505" s="2" t="str">
        <f t="shared" si="42"/>
        <v>2015</v>
      </c>
      <c r="D505" s="2" t="s">
        <v>648</v>
      </c>
      <c r="E505" s="2" t="s">
        <v>649</v>
      </c>
      <c r="F505" s="2" t="s">
        <v>36</v>
      </c>
      <c r="G505" s="2" t="s">
        <v>37</v>
      </c>
      <c r="H505" s="2" t="s">
        <v>42</v>
      </c>
      <c r="I505" s="2" t="s">
        <v>83</v>
      </c>
      <c r="J505" s="2" t="s">
        <v>30</v>
      </c>
      <c r="K505" s="2" t="s">
        <v>111</v>
      </c>
      <c r="L505" s="2" t="s">
        <v>25</v>
      </c>
      <c r="M505" s="2" t="s">
        <v>26</v>
      </c>
      <c r="N505" s="2" t="s">
        <v>27</v>
      </c>
      <c r="O505" s="1">
        <v>42053</v>
      </c>
      <c r="P505" s="3">
        <v>60.59</v>
      </c>
      <c r="Q505" s="3">
        <v>100.98</v>
      </c>
      <c r="R505" s="3">
        <f t="shared" si="43"/>
        <v>40.39</v>
      </c>
      <c r="S505" s="2">
        <v>13</v>
      </c>
      <c r="T505" s="3">
        <f t="shared" si="44"/>
        <v>1312.74</v>
      </c>
      <c r="U505" s="4">
        <v>0.04</v>
      </c>
      <c r="V505" s="6">
        <f t="shared" si="45"/>
        <v>52.509599999999999</v>
      </c>
      <c r="W505" s="6">
        <f t="shared" si="46"/>
        <v>1260.2303999999999</v>
      </c>
      <c r="X505" s="3">
        <v>7.18</v>
      </c>
      <c r="Y505" s="5">
        <f t="shared" si="47"/>
        <v>1267.4104</v>
      </c>
    </row>
    <row r="506" spans="1:25" x14ac:dyDescent="0.2">
      <c r="A506" t="s">
        <v>1402</v>
      </c>
      <c r="B506" s="1">
        <v>42043</v>
      </c>
      <c r="C506" s="2" t="str">
        <f t="shared" si="42"/>
        <v>2015</v>
      </c>
      <c r="D506" s="2" t="s">
        <v>662</v>
      </c>
      <c r="E506" s="2" t="s">
        <v>251</v>
      </c>
      <c r="F506" s="2" t="s">
        <v>19</v>
      </c>
      <c r="G506" s="2" t="s">
        <v>20</v>
      </c>
      <c r="H506" s="2" t="s">
        <v>42</v>
      </c>
      <c r="I506" s="2" t="s">
        <v>92</v>
      </c>
      <c r="J506" s="2" t="s">
        <v>30</v>
      </c>
      <c r="K506" s="2" t="s">
        <v>375</v>
      </c>
      <c r="L506" s="2" t="s">
        <v>32</v>
      </c>
      <c r="M506" s="2" t="s">
        <v>26</v>
      </c>
      <c r="N506" s="2" t="s">
        <v>27</v>
      </c>
      <c r="O506" s="1">
        <v>42045</v>
      </c>
      <c r="P506" s="3">
        <v>99.39</v>
      </c>
      <c r="Q506" s="3">
        <v>162.93</v>
      </c>
      <c r="R506" s="3">
        <f t="shared" si="43"/>
        <v>63.540000000000006</v>
      </c>
      <c r="S506" s="2">
        <v>39</v>
      </c>
      <c r="T506" s="3">
        <f t="shared" si="44"/>
        <v>6354.27</v>
      </c>
      <c r="U506" s="4">
        <v>0.03</v>
      </c>
      <c r="V506" s="6">
        <f t="shared" si="45"/>
        <v>190.62810000000002</v>
      </c>
      <c r="W506" s="6">
        <f t="shared" si="46"/>
        <v>6163.6419000000005</v>
      </c>
      <c r="X506" s="3">
        <v>19.989999999999998</v>
      </c>
      <c r="Y506" s="5">
        <f t="shared" si="47"/>
        <v>6183.6319000000003</v>
      </c>
    </row>
    <row r="507" spans="1:25" x14ac:dyDescent="0.2">
      <c r="A507" t="s">
        <v>1403</v>
      </c>
      <c r="B507" s="1">
        <v>42044</v>
      </c>
      <c r="C507" s="2" t="str">
        <f t="shared" si="42"/>
        <v>2015</v>
      </c>
      <c r="D507" s="2" t="s">
        <v>458</v>
      </c>
      <c r="E507" s="2" t="s">
        <v>152</v>
      </c>
      <c r="F507" s="2" t="s">
        <v>36</v>
      </c>
      <c r="G507" s="2" t="s">
        <v>37</v>
      </c>
      <c r="H507" s="2" t="s">
        <v>29</v>
      </c>
      <c r="I507" s="2" t="s">
        <v>153</v>
      </c>
      <c r="J507" s="2" t="s">
        <v>23</v>
      </c>
      <c r="K507" s="2" t="s">
        <v>316</v>
      </c>
      <c r="L507" s="2" t="s">
        <v>32</v>
      </c>
      <c r="M507" s="2" t="s">
        <v>33</v>
      </c>
      <c r="N507" s="2" t="s">
        <v>89</v>
      </c>
      <c r="O507" s="1">
        <v>42051</v>
      </c>
      <c r="P507" s="3">
        <v>3.32</v>
      </c>
      <c r="Q507" s="3">
        <v>5.18</v>
      </c>
      <c r="R507" s="3">
        <f t="shared" si="43"/>
        <v>1.8599999999999999</v>
      </c>
      <c r="S507" s="2">
        <v>11</v>
      </c>
      <c r="T507" s="3">
        <f t="shared" si="44"/>
        <v>56.98</v>
      </c>
      <c r="U507" s="4">
        <v>0.06</v>
      </c>
      <c r="V507" s="6">
        <f t="shared" si="45"/>
        <v>3.4187999999999996</v>
      </c>
      <c r="W507" s="6">
        <f t="shared" si="46"/>
        <v>53.561199999999999</v>
      </c>
      <c r="X507" s="3">
        <v>2.04</v>
      </c>
      <c r="Y507" s="5">
        <f t="shared" si="47"/>
        <v>55.601199999999999</v>
      </c>
    </row>
    <row r="508" spans="1:25" x14ac:dyDescent="0.2">
      <c r="A508" t="s">
        <v>1404</v>
      </c>
      <c r="B508" s="1">
        <v>42047</v>
      </c>
      <c r="C508" s="2" t="str">
        <f t="shared" si="42"/>
        <v>2015</v>
      </c>
      <c r="D508" s="2" t="s">
        <v>409</v>
      </c>
      <c r="E508" s="2" t="s">
        <v>258</v>
      </c>
      <c r="F508" s="2" t="s">
        <v>36</v>
      </c>
      <c r="G508" s="2" t="s">
        <v>37</v>
      </c>
      <c r="H508" s="2" t="s">
        <v>50</v>
      </c>
      <c r="I508" s="2" t="s">
        <v>102</v>
      </c>
      <c r="J508" s="2" t="s">
        <v>23</v>
      </c>
      <c r="K508" s="2" t="s">
        <v>88</v>
      </c>
      <c r="L508" s="2" t="s">
        <v>32</v>
      </c>
      <c r="M508" s="2" t="s">
        <v>58</v>
      </c>
      <c r="N508" s="2" t="s">
        <v>27</v>
      </c>
      <c r="O508" s="1">
        <v>42047</v>
      </c>
      <c r="P508" s="3">
        <v>5.19</v>
      </c>
      <c r="Q508" s="3">
        <v>12.98</v>
      </c>
      <c r="R508" s="3">
        <f t="shared" si="43"/>
        <v>7.79</v>
      </c>
      <c r="S508" s="2">
        <v>50</v>
      </c>
      <c r="T508" s="3">
        <f t="shared" si="44"/>
        <v>649</v>
      </c>
      <c r="U508" s="4">
        <v>0.08</v>
      </c>
      <c r="V508" s="6">
        <f t="shared" si="45"/>
        <v>51.92</v>
      </c>
      <c r="W508" s="6">
        <f t="shared" si="46"/>
        <v>597.08000000000004</v>
      </c>
      <c r="X508" s="3">
        <v>3.14</v>
      </c>
      <c r="Y508" s="5">
        <f t="shared" si="47"/>
        <v>600.22</v>
      </c>
    </row>
    <row r="509" spans="1:25" x14ac:dyDescent="0.2">
      <c r="A509" t="s">
        <v>1405</v>
      </c>
      <c r="B509" s="1">
        <v>42047</v>
      </c>
      <c r="C509" s="2" t="str">
        <f t="shared" si="42"/>
        <v>2015</v>
      </c>
      <c r="D509" s="2" t="s">
        <v>151</v>
      </c>
      <c r="E509" s="2" t="s">
        <v>152</v>
      </c>
      <c r="F509" s="2" t="s">
        <v>36</v>
      </c>
      <c r="G509" s="2" t="s">
        <v>37</v>
      </c>
      <c r="H509" s="2" t="s">
        <v>21</v>
      </c>
      <c r="I509" s="2" t="s">
        <v>153</v>
      </c>
      <c r="J509" s="2" t="s">
        <v>52</v>
      </c>
      <c r="K509" s="2" t="s">
        <v>70</v>
      </c>
      <c r="L509" s="2" t="s">
        <v>25</v>
      </c>
      <c r="M509" s="2" t="s">
        <v>26</v>
      </c>
      <c r="N509" s="2" t="s">
        <v>27</v>
      </c>
      <c r="O509" s="1">
        <v>42048</v>
      </c>
      <c r="P509" s="3">
        <v>156.5</v>
      </c>
      <c r="Q509" s="3">
        <v>300.97000000000003</v>
      </c>
      <c r="R509" s="3">
        <f t="shared" si="43"/>
        <v>144.47000000000003</v>
      </c>
      <c r="S509" s="2">
        <v>41</v>
      </c>
      <c r="T509" s="3">
        <f t="shared" si="44"/>
        <v>12339.77</v>
      </c>
      <c r="U509" s="4">
        <v>0.1</v>
      </c>
      <c r="V509" s="6">
        <f t="shared" si="45"/>
        <v>1233.9770000000001</v>
      </c>
      <c r="W509" s="6">
        <f t="shared" si="46"/>
        <v>11105.793</v>
      </c>
      <c r="X509" s="3">
        <v>7.18</v>
      </c>
      <c r="Y509" s="5">
        <f t="shared" si="47"/>
        <v>11112.973</v>
      </c>
    </row>
    <row r="510" spans="1:25" x14ac:dyDescent="0.2">
      <c r="A510" t="s">
        <v>1406</v>
      </c>
      <c r="B510" s="1">
        <v>42049</v>
      </c>
      <c r="C510" s="2" t="str">
        <f t="shared" si="42"/>
        <v>2015</v>
      </c>
      <c r="D510" s="2" t="s">
        <v>661</v>
      </c>
      <c r="E510" s="2" t="s">
        <v>82</v>
      </c>
      <c r="F510" s="2" t="s">
        <v>36</v>
      </c>
      <c r="G510" s="2" t="s">
        <v>37</v>
      </c>
      <c r="H510" s="2" t="s">
        <v>29</v>
      </c>
      <c r="I510" s="2" t="s">
        <v>83</v>
      </c>
      <c r="J510" s="2" t="s">
        <v>30</v>
      </c>
      <c r="K510" s="2" t="s">
        <v>80</v>
      </c>
      <c r="L510" s="2" t="s">
        <v>32</v>
      </c>
      <c r="M510" s="2" t="s">
        <v>26</v>
      </c>
      <c r="N510" s="2" t="s">
        <v>89</v>
      </c>
      <c r="O510" s="1">
        <v>42050</v>
      </c>
      <c r="P510" s="3">
        <v>4.59</v>
      </c>
      <c r="Q510" s="3">
        <v>7.28</v>
      </c>
      <c r="R510" s="3">
        <f t="shared" si="43"/>
        <v>2.6900000000000004</v>
      </c>
      <c r="S510" s="2">
        <v>5</v>
      </c>
      <c r="T510" s="3">
        <f t="shared" si="44"/>
        <v>36.4</v>
      </c>
      <c r="U510" s="4">
        <v>0.05</v>
      </c>
      <c r="V510" s="6">
        <f t="shared" si="45"/>
        <v>1.82</v>
      </c>
      <c r="W510" s="6">
        <f t="shared" si="46"/>
        <v>34.58</v>
      </c>
      <c r="X510" s="3">
        <v>11.15</v>
      </c>
      <c r="Y510" s="5">
        <f t="shared" si="47"/>
        <v>45.73</v>
      </c>
    </row>
    <row r="511" spans="1:25" x14ac:dyDescent="0.2">
      <c r="A511" s="12" t="s">
        <v>1407</v>
      </c>
      <c r="B511" s="1">
        <v>42050</v>
      </c>
      <c r="C511" s="2" t="str">
        <f t="shared" si="42"/>
        <v>2015</v>
      </c>
      <c r="D511" s="2" t="s">
        <v>321</v>
      </c>
      <c r="E511" s="2" t="s">
        <v>1894</v>
      </c>
      <c r="F511" s="2" t="s">
        <v>1881</v>
      </c>
      <c r="G511" s="2" t="s">
        <v>1882</v>
      </c>
      <c r="H511" s="2" t="s">
        <v>21</v>
      </c>
      <c r="I511" s="2" t="s">
        <v>124</v>
      </c>
      <c r="J511" s="2" t="s">
        <v>30</v>
      </c>
      <c r="K511" s="2" t="s">
        <v>475</v>
      </c>
      <c r="L511" s="2" t="s">
        <v>32</v>
      </c>
      <c r="M511" s="2" t="s">
        <v>26</v>
      </c>
      <c r="N511" s="2" t="s">
        <v>27</v>
      </c>
      <c r="O511" s="1">
        <v>42051</v>
      </c>
      <c r="P511" s="3">
        <v>1.19</v>
      </c>
      <c r="Q511" s="3">
        <v>1.98</v>
      </c>
      <c r="R511" s="3">
        <f t="shared" si="43"/>
        <v>0.79</v>
      </c>
      <c r="S511" s="2">
        <v>3</v>
      </c>
      <c r="T511" s="3">
        <f t="shared" si="44"/>
        <v>5.9399999999999995</v>
      </c>
      <c r="U511" s="4">
        <v>0.05</v>
      </c>
      <c r="V511" s="6">
        <f t="shared" si="45"/>
        <v>0.29699999999999999</v>
      </c>
      <c r="W511" s="6">
        <f t="shared" si="46"/>
        <v>5.6429999999999998</v>
      </c>
      <c r="X511" s="3">
        <v>4.7699999999999996</v>
      </c>
      <c r="Y511" s="5">
        <f t="shared" si="47"/>
        <v>10.413</v>
      </c>
    </row>
    <row r="512" spans="1:25" x14ac:dyDescent="0.2">
      <c r="A512" t="s">
        <v>1935</v>
      </c>
      <c r="B512" s="1">
        <v>42052</v>
      </c>
      <c r="C512" s="2" t="str">
        <f t="shared" si="42"/>
        <v>2015</v>
      </c>
      <c r="D512" s="2" t="s">
        <v>118</v>
      </c>
      <c r="E512" s="2" t="s">
        <v>119</v>
      </c>
      <c r="F512" s="2" t="s">
        <v>36</v>
      </c>
      <c r="G512" s="2" t="s">
        <v>37</v>
      </c>
      <c r="H512" s="2" t="s">
        <v>50</v>
      </c>
      <c r="I512" s="2" t="s">
        <v>75</v>
      </c>
      <c r="J512" s="2" t="s">
        <v>30</v>
      </c>
      <c r="K512" s="2" t="s">
        <v>295</v>
      </c>
      <c r="L512" s="2" t="s">
        <v>32</v>
      </c>
      <c r="M512" s="2" t="s">
        <v>58</v>
      </c>
      <c r="N512" s="2" t="s">
        <v>27</v>
      </c>
      <c r="O512" s="1">
        <v>42054</v>
      </c>
      <c r="P512" s="3">
        <v>4.79</v>
      </c>
      <c r="Q512" s="3">
        <v>11.97</v>
      </c>
      <c r="R512" s="3">
        <f t="shared" si="43"/>
        <v>7.1800000000000006</v>
      </c>
      <c r="S512" s="2">
        <v>30</v>
      </c>
      <c r="T512" s="3">
        <f t="shared" si="44"/>
        <v>359.1</v>
      </c>
      <c r="U512" s="4">
        <v>0.08</v>
      </c>
      <c r="V512" s="6">
        <f t="shared" si="45"/>
        <v>28.728000000000002</v>
      </c>
      <c r="W512" s="6">
        <f t="shared" si="46"/>
        <v>330.37200000000001</v>
      </c>
      <c r="X512" s="3">
        <v>5.81</v>
      </c>
      <c r="Y512" s="5">
        <f t="shared" si="47"/>
        <v>336.18200000000002</v>
      </c>
    </row>
    <row r="513" spans="1:25" x14ac:dyDescent="0.2">
      <c r="A513" t="s">
        <v>1408</v>
      </c>
      <c r="B513" s="1">
        <v>42053</v>
      </c>
      <c r="C513" s="2" t="str">
        <f t="shared" si="42"/>
        <v>2015</v>
      </c>
      <c r="D513" s="2" t="s">
        <v>73</v>
      </c>
      <c r="E513" s="2" t="s">
        <v>74</v>
      </c>
      <c r="F513" s="2" t="s">
        <v>36</v>
      </c>
      <c r="G513" s="2" t="s">
        <v>37</v>
      </c>
      <c r="H513" s="2" t="s">
        <v>50</v>
      </c>
      <c r="I513" s="2" t="s">
        <v>75</v>
      </c>
      <c r="J513" s="2" t="s">
        <v>44</v>
      </c>
      <c r="K513" s="2" t="s">
        <v>173</v>
      </c>
      <c r="L513" s="2" t="s">
        <v>32</v>
      </c>
      <c r="M513" s="2" t="s">
        <v>26</v>
      </c>
      <c r="N513" s="2" t="s">
        <v>27</v>
      </c>
      <c r="O513" s="1">
        <v>42055</v>
      </c>
      <c r="P513" s="3">
        <v>1.84</v>
      </c>
      <c r="Q513" s="3">
        <v>2.88</v>
      </c>
      <c r="R513" s="3">
        <f t="shared" si="43"/>
        <v>1.0399999999999998</v>
      </c>
      <c r="S513" s="2">
        <v>22</v>
      </c>
      <c r="T513" s="3">
        <f t="shared" si="44"/>
        <v>63.36</v>
      </c>
      <c r="U513" s="4">
        <v>0.1</v>
      </c>
      <c r="V513" s="6">
        <f t="shared" si="45"/>
        <v>6.3360000000000003</v>
      </c>
      <c r="W513" s="6">
        <f t="shared" si="46"/>
        <v>57.024000000000001</v>
      </c>
      <c r="X513" s="3">
        <v>1.49</v>
      </c>
      <c r="Y513" s="5">
        <f t="shared" si="47"/>
        <v>58.514000000000003</v>
      </c>
    </row>
    <row r="514" spans="1:25" x14ac:dyDescent="0.2">
      <c r="A514" t="s">
        <v>902</v>
      </c>
      <c r="B514" s="1">
        <v>42053</v>
      </c>
      <c r="C514" s="2" t="str">
        <f t="shared" si="42"/>
        <v>2015</v>
      </c>
      <c r="D514" s="2" t="s">
        <v>660</v>
      </c>
      <c r="E514" s="2" t="s">
        <v>400</v>
      </c>
      <c r="F514" s="2" t="s">
        <v>19</v>
      </c>
      <c r="G514" s="2" t="s">
        <v>20</v>
      </c>
      <c r="H514" s="2" t="s">
        <v>21</v>
      </c>
      <c r="I514" s="2" t="s">
        <v>22</v>
      </c>
      <c r="J514" s="2" t="s">
        <v>44</v>
      </c>
      <c r="K514" s="2" t="s">
        <v>634</v>
      </c>
      <c r="L514" s="2" t="s">
        <v>32</v>
      </c>
      <c r="M514" s="2" t="s">
        <v>26</v>
      </c>
      <c r="N514" s="2" t="s">
        <v>27</v>
      </c>
      <c r="O514" s="1">
        <v>42056</v>
      </c>
      <c r="P514" s="3">
        <v>3.37</v>
      </c>
      <c r="Q514" s="3">
        <v>5.53</v>
      </c>
      <c r="R514" s="3">
        <f t="shared" si="43"/>
        <v>2.16</v>
      </c>
      <c r="S514" s="2">
        <v>12</v>
      </c>
      <c r="T514" s="3">
        <f t="shared" si="44"/>
        <v>66.36</v>
      </c>
      <c r="U514" s="4">
        <v>0.06</v>
      </c>
      <c r="V514" s="6">
        <f t="shared" si="45"/>
        <v>3.9815999999999998</v>
      </c>
      <c r="W514" s="6">
        <f t="shared" si="46"/>
        <v>62.378399999999999</v>
      </c>
      <c r="X514" s="3">
        <v>6.98</v>
      </c>
      <c r="Y514" s="5">
        <f t="shared" si="47"/>
        <v>69.358400000000003</v>
      </c>
    </row>
    <row r="515" spans="1:25" x14ac:dyDescent="0.2">
      <c r="A515" t="s">
        <v>903</v>
      </c>
      <c r="B515" s="1">
        <v>42053</v>
      </c>
      <c r="C515" s="2" t="str">
        <f t="shared" si="42"/>
        <v>2015</v>
      </c>
      <c r="D515" s="2" t="s">
        <v>660</v>
      </c>
      <c r="E515" s="2" t="s">
        <v>400</v>
      </c>
      <c r="F515" s="2" t="s">
        <v>19</v>
      </c>
      <c r="G515" s="2" t="s">
        <v>20</v>
      </c>
      <c r="H515" s="2" t="s">
        <v>21</v>
      </c>
      <c r="I515" s="2" t="s">
        <v>22</v>
      </c>
      <c r="J515" s="2" t="s">
        <v>44</v>
      </c>
      <c r="K515" s="2" t="s">
        <v>76</v>
      </c>
      <c r="L515" s="2" t="s">
        <v>32</v>
      </c>
      <c r="M515" s="2" t="s">
        <v>33</v>
      </c>
      <c r="N515" s="2" t="s">
        <v>27</v>
      </c>
      <c r="O515" s="1">
        <v>42054</v>
      </c>
      <c r="P515" s="3">
        <v>2.16</v>
      </c>
      <c r="Q515" s="3">
        <v>3.85</v>
      </c>
      <c r="R515" s="3">
        <f t="shared" si="43"/>
        <v>1.69</v>
      </c>
      <c r="S515" s="2">
        <v>12</v>
      </c>
      <c r="T515" s="3">
        <f t="shared" si="44"/>
        <v>46.2</v>
      </c>
      <c r="U515" s="4">
        <v>0.1</v>
      </c>
      <c r="V515" s="6">
        <f t="shared" si="45"/>
        <v>4.62</v>
      </c>
      <c r="W515" s="6">
        <f t="shared" si="46"/>
        <v>41.580000000000005</v>
      </c>
      <c r="X515" s="3">
        <v>0.7</v>
      </c>
      <c r="Y515" s="5">
        <f t="shared" si="47"/>
        <v>42.280000000000008</v>
      </c>
    </row>
    <row r="516" spans="1:25" x14ac:dyDescent="0.2">
      <c r="A516" s="12" t="s">
        <v>1936</v>
      </c>
      <c r="B516" s="1">
        <v>42058</v>
      </c>
      <c r="C516" s="2" t="str">
        <f t="shared" si="42"/>
        <v>2015</v>
      </c>
      <c r="D516" s="2" t="s">
        <v>658</v>
      </c>
      <c r="E516" s="2" t="s">
        <v>368</v>
      </c>
      <c r="F516" s="2" t="s">
        <v>36</v>
      </c>
      <c r="G516" s="2" t="s">
        <v>37</v>
      </c>
      <c r="H516" s="2" t="s">
        <v>21</v>
      </c>
      <c r="I516" s="2" t="s">
        <v>96</v>
      </c>
      <c r="J516" s="2" t="s">
        <v>66</v>
      </c>
      <c r="K516" s="2" t="s">
        <v>659</v>
      </c>
      <c r="L516" s="2" t="s">
        <v>32</v>
      </c>
      <c r="M516" s="2" t="s">
        <v>26</v>
      </c>
      <c r="N516" s="2" t="s">
        <v>27</v>
      </c>
      <c r="O516" s="1">
        <v>42061</v>
      </c>
      <c r="P516" s="3">
        <v>4.8899999999999997</v>
      </c>
      <c r="Q516" s="3">
        <v>7.64</v>
      </c>
      <c r="R516" s="3">
        <f t="shared" si="43"/>
        <v>2.75</v>
      </c>
      <c r="S516" s="2">
        <v>32</v>
      </c>
      <c r="T516" s="3">
        <f t="shared" si="44"/>
        <v>244.48</v>
      </c>
      <c r="U516" s="4">
        <v>0.06</v>
      </c>
      <c r="V516" s="6">
        <f t="shared" si="45"/>
        <v>14.668799999999999</v>
      </c>
      <c r="W516" s="6">
        <f t="shared" si="46"/>
        <v>229.81119999999999</v>
      </c>
      <c r="X516" s="3">
        <v>1.39</v>
      </c>
      <c r="Y516" s="5">
        <f t="shared" si="47"/>
        <v>231.20119999999997</v>
      </c>
    </row>
    <row r="517" spans="1:25" x14ac:dyDescent="0.2">
      <c r="A517" t="s">
        <v>1409</v>
      </c>
      <c r="B517" s="1">
        <v>42059</v>
      </c>
      <c r="C517" s="2" t="str">
        <f t="shared" si="42"/>
        <v>2015</v>
      </c>
      <c r="D517" s="2" t="s">
        <v>279</v>
      </c>
      <c r="E517" s="2" t="s">
        <v>1892</v>
      </c>
      <c r="F517" s="2" t="s">
        <v>1881</v>
      </c>
      <c r="G517" s="2" t="s">
        <v>1882</v>
      </c>
      <c r="H517" s="2" t="s">
        <v>50</v>
      </c>
      <c r="I517" s="2" t="s">
        <v>51</v>
      </c>
      <c r="J517" s="2" t="s">
        <v>30</v>
      </c>
      <c r="K517" s="2" t="s">
        <v>192</v>
      </c>
      <c r="L517" s="2" t="s">
        <v>32</v>
      </c>
      <c r="M517" s="2" t="s">
        <v>33</v>
      </c>
      <c r="N517" s="2" t="s">
        <v>27</v>
      </c>
      <c r="O517" s="1">
        <v>42060</v>
      </c>
      <c r="P517" s="3">
        <v>0.87</v>
      </c>
      <c r="Q517" s="3">
        <v>1.81</v>
      </c>
      <c r="R517" s="3">
        <f t="shared" si="43"/>
        <v>0.94000000000000006</v>
      </c>
      <c r="S517" s="2">
        <v>41</v>
      </c>
      <c r="T517" s="3">
        <f t="shared" si="44"/>
        <v>74.210000000000008</v>
      </c>
      <c r="U517" s="4">
        <v>0.03</v>
      </c>
      <c r="V517" s="6">
        <f t="shared" si="45"/>
        <v>2.2263000000000002</v>
      </c>
      <c r="W517" s="6">
        <f t="shared" si="46"/>
        <v>71.983700000000013</v>
      </c>
      <c r="X517" s="3">
        <v>0.75</v>
      </c>
      <c r="Y517" s="5">
        <f t="shared" si="47"/>
        <v>72.733700000000013</v>
      </c>
    </row>
    <row r="518" spans="1:25" x14ac:dyDescent="0.2">
      <c r="A518" t="s">
        <v>1410</v>
      </c>
      <c r="B518" s="1">
        <v>42059</v>
      </c>
      <c r="C518" s="2" t="str">
        <f t="shared" ref="C518:C581" si="48">TEXT(B518,"yyyy")</f>
        <v>2015</v>
      </c>
      <c r="D518" s="2" t="s">
        <v>657</v>
      </c>
      <c r="E518" s="2" t="s">
        <v>1917</v>
      </c>
      <c r="F518" s="2" t="s">
        <v>19</v>
      </c>
      <c r="G518" s="2" t="s">
        <v>20</v>
      </c>
      <c r="H518" s="2" t="s">
        <v>42</v>
      </c>
      <c r="I518" s="2" t="s">
        <v>22</v>
      </c>
      <c r="J518" s="2" t="s">
        <v>66</v>
      </c>
      <c r="K518" s="2" t="s">
        <v>337</v>
      </c>
      <c r="L518" s="2" t="s">
        <v>32</v>
      </c>
      <c r="M518" s="2" t="s">
        <v>26</v>
      </c>
      <c r="N518" s="2" t="s">
        <v>27</v>
      </c>
      <c r="O518" s="1">
        <v>42059</v>
      </c>
      <c r="P518" s="3">
        <v>2.29</v>
      </c>
      <c r="Q518" s="3">
        <v>3.69</v>
      </c>
      <c r="R518" s="3">
        <f t="shared" ref="R518:R581" si="49">Q518-P518</f>
        <v>1.4</v>
      </c>
      <c r="S518" s="2">
        <v>12</v>
      </c>
      <c r="T518" s="3">
        <f t="shared" ref="T518:T581" si="50">Q518*S518</f>
        <v>44.28</v>
      </c>
      <c r="U518" s="4">
        <v>0.02</v>
      </c>
      <c r="V518" s="6">
        <f t="shared" ref="V518:V581" si="51">T518*U518</f>
        <v>0.88560000000000005</v>
      </c>
      <c r="W518" s="6">
        <f t="shared" ref="W518:W581" si="52">T518-V518</f>
        <v>43.394400000000005</v>
      </c>
      <c r="X518" s="3">
        <v>0.5</v>
      </c>
      <c r="Y518" s="5">
        <f t="shared" ref="Y518:Y581" si="53">W518+X518</f>
        <v>43.894400000000005</v>
      </c>
    </row>
    <row r="519" spans="1:25" x14ac:dyDescent="0.2">
      <c r="A519" t="s">
        <v>1411</v>
      </c>
      <c r="B519" s="1">
        <v>42062</v>
      </c>
      <c r="C519" s="2" t="str">
        <f t="shared" si="48"/>
        <v>2015</v>
      </c>
      <c r="D519" s="2" t="s">
        <v>655</v>
      </c>
      <c r="E519" s="2" t="s">
        <v>656</v>
      </c>
      <c r="F519" s="2" t="s">
        <v>36</v>
      </c>
      <c r="G519" s="2" t="s">
        <v>37</v>
      </c>
      <c r="H519" s="2" t="s">
        <v>29</v>
      </c>
      <c r="I519" s="2" t="s">
        <v>153</v>
      </c>
      <c r="J519" s="2" t="s">
        <v>44</v>
      </c>
      <c r="K519" s="2" t="s">
        <v>108</v>
      </c>
      <c r="L519" s="2" t="s">
        <v>32</v>
      </c>
      <c r="M519" s="2" t="s">
        <v>26</v>
      </c>
      <c r="N519" s="2" t="s">
        <v>89</v>
      </c>
      <c r="O519" s="1">
        <v>42063</v>
      </c>
      <c r="P519" s="3">
        <v>1.84</v>
      </c>
      <c r="Q519" s="3">
        <v>2.88</v>
      </c>
      <c r="R519" s="3">
        <f t="shared" si="49"/>
        <v>1.0399999999999998</v>
      </c>
      <c r="S519" s="2">
        <v>9</v>
      </c>
      <c r="T519" s="3">
        <f t="shared" si="50"/>
        <v>25.919999999999998</v>
      </c>
      <c r="U519" s="4">
        <v>0</v>
      </c>
      <c r="V519" s="6">
        <f t="shared" si="51"/>
        <v>0</v>
      </c>
      <c r="W519" s="6">
        <f t="shared" si="52"/>
        <v>25.919999999999998</v>
      </c>
      <c r="X519" s="3">
        <v>0.99</v>
      </c>
      <c r="Y519" s="5">
        <f t="shared" si="53"/>
        <v>26.909999999999997</v>
      </c>
    </row>
    <row r="520" spans="1:25" x14ac:dyDescent="0.2">
      <c r="A520" t="s">
        <v>1412</v>
      </c>
      <c r="B520" s="1">
        <v>42064</v>
      </c>
      <c r="C520" s="2" t="str">
        <f t="shared" si="48"/>
        <v>2015</v>
      </c>
      <c r="D520" s="2" t="s">
        <v>654</v>
      </c>
      <c r="E520" s="2" t="s">
        <v>1918</v>
      </c>
      <c r="F520" s="2" t="s">
        <v>36</v>
      </c>
      <c r="G520" s="2" t="s">
        <v>37</v>
      </c>
      <c r="H520" s="2" t="s">
        <v>29</v>
      </c>
      <c r="I520" s="2" t="s">
        <v>83</v>
      </c>
      <c r="J520" s="2" t="s">
        <v>23</v>
      </c>
      <c r="K520" s="2" t="s">
        <v>128</v>
      </c>
      <c r="L520" s="2" t="s">
        <v>25</v>
      </c>
      <c r="M520" s="2" t="s">
        <v>26</v>
      </c>
      <c r="N520" s="2" t="s">
        <v>27</v>
      </c>
      <c r="O520" s="1">
        <v>42064</v>
      </c>
      <c r="P520" s="3">
        <v>10.07</v>
      </c>
      <c r="Q520" s="3">
        <v>15.98</v>
      </c>
      <c r="R520" s="3">
        <f t="shared" si="49"/>
        <v>5.91</v>
      </c>
      <c r="S520" s="2">
        <v>26</v>
      </c>
      <c r="T520" s="3">
        <f t="shared" si="50"/>
        <v>415.48</v>
      </c>
      <c r="U520" s="4">
        <v>0.01</v>
      </c>
      <c r="V520" s="6">
        <f t="shared" si="51"/>
        <v>4.1547999999999998</v>
      </c>
      <c r="W520" s="6">
        <f t="shared" si="52"/>
        <v>411.3252</v>
      </c>
      <c r="X520" s="3">
        <v>4</v>
      </c>
      <c r="Y520" s="5">
        <f t="shared" si="53"/>
        <v>415.3252</v>
      </c>
    </row>
    <row r="521" spans="1:25" x14ac:dyDescent="0.2">
      <c r="A521" t="s">
        <v>1413</v>
      </c>
      <c r="B521" s="1">
        <v>42065</v>
      </c>
      <c r="C521" s="2" t="str">
        <f t="shared" si="48"/>
        <v>2015</v>
      </c>
      <c r="D521" s="2" t="s">
        <v>653</v>
      </c>
      <c r="E521" s="2" t="s">
        <v>286</v>
      </c>
      <c r="F521" s="2" t="s">
        <v>36</v>
      </c>
      <c r="G521" s="2" t="s">
        <v>37</v>
      </c>
      <c r="H521" s="2" t="s">
        <v>50</v>
      </c>
      <c r="I521" s="2" t="s">
        <v>102</v>
      </c>
      <c r="J521" s="2" t="s">
        <v>30</v>
      </c>
      <c r="K521" s="2" t="s">
        <v>67</v>
      </c>
      <c r="L521" s="2" t="s">
        <v>32</v>
      </c>
      <c r="M521" s="2" t="s">
        <v>26</v>
      </c>
      <c r="N521" s="2" t="s">
        <v>89</v>
      </c>
      <c r="O521" s="1">
        <v>42066</v>
      </c>
      <c r="P521" s="3">
        <v>3.99</v>
      </c>
      <c r="Q521" s="3">
        <v>6.23</v>
      </c>
      <c r="R521" s="3">
        <f t="shared" si="49"/>
        <v>2.2400000000000002</v>
      </c>
      <c r="S521" s="2">
        <v>4</v>
      </c>
      <c r="T521" s="3">
        <f t="shared" si="50"/>
        <v>24.92</v>
      </c>
      <c r="U521" s="4">
        <v>0.1</v>
      </c>
      <c r="V521" s="6">
        <f t="shared" si="51"/>
        <v>2.4920000000000004</v>
      </c>
      <c r="W521" s="6">
        <f t="shared" si="52"/>
        <v>22.428000000000001</v>
      </c>
      <c r="X521" s="3">
        <v>6.97</v>
      </c>
      <c r="Y521" s="5">
        <f t="shared" si="53"/>
        <v>29.398</v>
      </c>
    </row>
    <row r="522" spans="1:25" x14ac:dyDescent="0.2">
      <c r="A522" t="s">
        <v>1414</v>
      </c>
      <c r="B522" s="1">
        <v>42065</v>
      </c>
      <c r="C522" s="2" t="str">
        <f t="shared" si="48"/>
        <v>2015</v>
      </c>
      <c r="D522" s="2" t="s">
        <v>420</v>
      </c>
      <c r="E522" s="2" t="s">
        <v>249</v>
      </c>
      <c r="F522" s="2" t="s">
        <v>19</v>
      </c>
      <c r="G522" s="2" t="s">
        <v>20</v>
      </c>
      <c r="H522" s="2" t="s">
        <v>29</v>
      </c>
      <c r="I522" s="2" t="s">
        <v>92</v>
      </c>
      <c r="J522" s="2" t="s">
        <v>66</v>
      </c>
      <c r="K522" s="2" t="s">
        <v>236</v>
      </c>
      <c r="L522" s="2" t="s">
        <v>32</v>
      </c>
      <c r="M522" s="2" t="s">
        <v>33</v>
      </c>
      <c r="N522" s="2" t="s">
        <v>27</v>
      </c>
      <c r="O522" s="1">
        <v>42067</v>
      </c>
      <c r="P522" s="3">
        <v>1.3</v>
      </c>
      <c r="Q522" s="3">
        <v>2.88</v>
      </c>
      <c r="R522" s="3">
        <f t="shared" si="49"/>
        <v>1.5799999999999998</v>
      </c>
      <c r="S522" s="2">
        <v>43</v>
      </c>
      <c r="T522" s="3">
        <f t="shared" si="50"/>
        <v>123.83999999999999</v>
      </c>
      <c r="U522" s="4">
        <v>0.1</v>
      </c>
      <c r="V522" s="6">
        <f t="shared" si="51"/>
        <v>12.384</v>
      </c>
      <c r="W522" s="6">
        <f t="shared" si="52"/>
        <v>111.45599999999999</v>
      </c>
      <c r="X522" s="3">
        <v>1.01</v>
      </c>
      <c r="Y522" s="5">
        <f t="shared" si="53"/>
        <v>112.46599999999999</v>
      </c>
    </row>
    <row r="523" spans="1:25" x14ac:dyDescent="0.2">
      <c r="A523" t="s">
        <v>1415</v>
      </c>
      <c r="B523" s="1">
        <v>42066</v>
      </c>
      <c r="C523" s="2" t="str">
        <f t="shared" si="48"/>
        <v>2015</v>
      </c>
      <c r="D523" s="2" t="s">
        <v>257</v>
      </c>
      <c r="E523" s="2" t="s">
        <v>258</v>
      </c>
      <c r="F523" s="2" t="s">
        <v>36</v>
      </c>
      <c r="G523" s="2" t="s">
        <v>37</v>
      </c>
      <c r="H523" s="2" t="s">
        <v>21</v>
      </c>
      <c r="I523" s="2" t="s">
        <v>102</v>
      </c>
      <c r="J523" s="2" t="s">
        <v>44</v>
      </c>
      <c r="K523" s="2" t="s">
        <v>468</v>
      </c>
      <c r="L523" s="2" t="s">
        <v>32</v>
      </c>
      <c r="M523" s="2" t="s">
        <v>33</v>
      </c>
      <c r="N523" s="2" t="s">
        <v>27</v>
      </c>
      <c r="O523" s="1">
        <v>42067</v>
      </c>
      <c r="P523" s="3">
        <v>5.22</v>
      </c>
      <c r="Q523" s="3">
        <v>9.85</v>
      </c>
      <c r="R523" s="3">
        <f t="shared" si="49"/>
        <v>4.63</v>
      </c>
      <c r="S523" s="2">
        <v>41</v>
      </c>
      <c r="T523" s="3">
        <f t="shared" si="50"/>
        <v>403.84999999999997</v>
      </c>
      <c r="U523" s="4">
        <v>0.05</v>
      </c>
      <c r="V523" s="6">
        <f t="shared" si="51"/>
        <v>20.192499999999999</v>
      </c>
      <c r="W523" s="6">
        <f t="shared" si="52"/>
        <v>383.65749999999997</v>
      </c>
      <c r="X523" s="3">
        <v>4.82</v>
      </c>
      <c r="Y523" s="5">
        <f t="shared" si="53"/>
        <v>388.47749999999996</v>
      </c>
    </row>
    <row r="524" spans="1:25" x14ac:dyDescent="0.2">
      <c r="A524" t="s">
        <v>1416</v>
      </c>
      <c r="B524" s="1">
        <v>42067</v>
      </c>
      <c r="C524" s="2" t="str">
        <f t="shared" si="48"/>
        <v>2015</v>
      </c>
      <c r="D524" s="2" t="s">
        <v>652</v>
      </c>
      <c r="E524" s="2" t="s">
        <v>148</v>
      </c>
      <c r="F524" s="2" t="s">
        <v>36</v>
      </c>
      <c r="G524" s="2" t="s">
        <v>37</v>
      </c>
      <c r="H524" s="2" t="s">
        <v>50</v>
      </c>
      <c r="I524" s="2" t="s">
        <v>83</v>
      </c>
      <c r="J524" s="2" t="s">
        <v>44</v>
      </c>
      <c r="K524" s="2" t="s">
        <v>76</v>
      </c>
      <c r="L524" s="2" t="s">
        <v>32</v>
      </c>
      <c r="M524" s="2" t="s">
        <v>33</v>
      </c>
      <c r="N524" s="2" t="s">
        <v>27</v>
      </c>
      <c r="O524" s="1">
        <v>42069</v>
      </c>
      <c r="P524" s="3">
        <v>2.16</v>
      </c>
      <c r="Q524" s="3">
        <v>3.85</v>
      </c>
      <c r="R524" s="3">
        <f t="shared" si="49"/>
        <v>1.69</v>
      </c>
      <c r="S524" s="2">
        <v>4</v>
      </c>
      <c r="T524" s="3">
        <f t="shared" si="50"/>
        <v>15.4</v>
      </c>
      <c r="U524" s="4">
        <v>0.09</v>
      </c>
      <c r="V524" s="6">
        <f t="shared" si="51"/>
        <v>1.3859999999999999</v>
      </c>
      <c r="W524" s="6">
        <f t="shared" si="52"/>
        <v>14.014000000000001</v>
      </c>
      <c r="X524" s="3">
        <v>0.7</v>
      </c>
      <c r="Y524" s="5">
        <f t="shared" si="53"/>
        <v>14.714</v>
      </c>
    </row>
    <row r="525" spans="1:25" x14ac:dyDescent="0.2">
      <c r="A525" t="s">
        <v>1417</v>
      </c>
      <c r="B525" s="1">
        <v>42069</v>
      </c>
      <c r="C525" s="2" t="str">
        <f t="shared" si="48"/>
        <v>2015</v>
      </c>
      <c r="D525" s="2" t="s">
        <v>651</v>
      </c>
      <c r="E525" s="2" t="s">
        <v>69</v>
      </c>
      <c r="F525" s="2" t="s">
        <v>19</v>
      </c>
      <c r="G525" s="2" t="s">
        <v>20</v>
      </c>
      <c r="H525" s="2" t="s">
        <v>42</v>
      </c>
      <c r="I525" s="2" t="s">
        <v>22</v>
      </c>
      <c r="J525" s="2" t="s">
        <v>44</v>
      </c>
      <c r="K525" s="2" t="s">
        <v>300</v>
      </c>
      <c r="L525" s="2" t="s">
        <v>32</v>
      </c>
      <c r="M525" s="2" t="s">
        <v>26</v>
      </c>
      <c r="N525" s="2" t="s">
        <v>27</v>
      </c>
      <c r="O525" s="1">
        <v>42070</v>
      </c>
      <c r="P525" s="3">
        <v>5.33</v>
      </c>
      <c r="Q525" s="3">
        <v>8.6</v>
      </c>
      <c r="R525" s="3">
        <f t="shared" si="49"/>
        <v>3.2699999999999996</v>
      </c>
      <c r="S525" s="2">
        <v>2</v>
      </c>
      <c r="T525" s="3">
        <f t="shared" si="50"/>
        <v>17.2</v>
      </c>
      <c r="U525" s="4">
        <v>0.05</v>
      </c>
      <c r="V525" s="6">
        <f t="shared" si="51"/>
        <v>0.86</v>
      </c>
      <c r="W525" s="6">
        <f t="shared" si="52"/>
        <v>16.34</v>
      </c>
      <c r="X525" s="3">
        <v>6.19</v>
      </c>
      <c r="Y525" s="5">
        <f t="shared" si="53"/>
        <v>22.53</v>
      </c>
    </row>
    <row r="526" spans="1:25" x14ac:dyDescent="0.2">
      <c r="A526" t="s">
        <v>1418</v>
      </c>
      <c r="B526" s="1">
        <v>42074</v>
      </c>
      <c r="C526" s="2" t="str">
        <f t="shared" si="48"/>
        <v>2015</v>
      </c>
      <c r="D526" s="2" t="s">
        <v>650</v>
      </c>
      <c r="E526" s="2" t="s">
        <v>1919</v>
      </c>
      <c r="F526" s="2" t="s">
        <v>36</v>
      </c>
      <c r="G526" s="2" t="s">
        <v>37</v>
      </c>
      <c r="H526" s="2" t="s">
        <v>42</v>
      </c>
      <c r="I526" s="2" t="s">
        <v>51</v>
      </c>
      <c r="J526" s="2" t="s">
        <v>44</v>
      </c>
      <c r="K526" s="2" t="s">
        <v>53</v>
      </c>
      <c r="L526" s="2" t="s">
        <v>32</v>
      </c>
      <c r="M526" s="2" t="s">
        <v>33</v>
      </c>
      <c r="N526" s="2" t="s">
        <v>27</v>
      </c>
      <c r="O526" s="1">
        <v>42075</v>
      </c>
      <c r="P526" s="3">
        <v>3.75</v>
      </c>
      <c r="Q526" s="3">
        <v>7.08</v>
      </c>
      <c r="R526" s="3">
        <f t="shared" si="49"/>
        <v>3.33</v>
      </c>
      <c r="S526" s="2">
        <v>12</v>
      </c>
      <c r="T526" s="3">
        <f t="shared" si="50"/>
        <v>84.960000000000008</v>
      </c>
      <c r="U526" s="4">
        <v>0.1</v>
      </c>
      <c r="V526" s="6">
        <f t="shared" si="51"/>
        <v>8.4960000000000004</v>
      </c>
      <c r="W526" s="6">
        <f t="shared" si="52"/>
        <v>76.464000000000013</v>
      </c>
      <c r="X526" s="3">
        <v>2.35</v>
      </c>
      <c r="Y526" s="5">
        <f t="shared" si="53"/>
        <v>78.814000000000007</v>
      </c>
    </row>
    <row r="527" spans="1:25" x14ac:dyDescent="0.2">
      <c r="A527" t="s">
        <v>1419</v>
      </c>
      <c r="B527" s="1">
        <v>42075</v>
      </c>
      <c r="C527" s="2" t="str">
        <f t="shared" si="48"/>
        <v>2015</v>
      </c>
      <c r="D527" s="2" t="s">
        <v>360</v>
      </c>
      <c r="E527" s="2" t="s">
        <v>266</v>
      </c>
      <c r="F527" s="2" t="s">
        <v>36</v>
      </c>
      <c r="G527" s="2" t="s">
        <v>37</v>
      </c>
      <c r="H527" s="2" t="s">
        <v>21</v>
      </c>
      <c r="I527" s="2" t="s">
        <v>153</v>
      </c>
      <c r="J527" s="2" t="s">
        <v>66</v>
      </c>
      <c r="K527" s="2" t="s">
        <v>180</v>
      </c>
      <c r="L527" s="2" t="s">
        <v>32</v>
      </c>
      <c r="M527" s="2" t="s">
        <v>26</v>
      </c>
      <c r="N527" s="2" t="s">
        <v>27</v>
      </c>
      <c r="O527" s="1">
        <v>42076</v>
      </c>
      <c r="P527" s="3">
        <v>1.94</v>
      </c>
      <c r="Q527" s="3">
        <v>3.08</v>
      </c>
      <c r="R527" s="3">
        <f t="shared" si="49"/>
        <v>1.1400000000000001</v>
      </c>
      <c r="S527" s="2">
        <v>4</v>
      </c>
      <c r="T527" s="3">
        <f t="shared" si="50"/>
        <v>12.32</v>
      </c>
      <c r="U527" s="4">
        <v>0.03</v>
      </c>
      <c r="V527" s="6">
        <f t="shared" si="51"/>
        <v>0.36959999999999998</v>
      </c>
      <c r="W527" s="6">
        <f t="shared" si="52"/>
        <v>11.9504</v>
      </c>
      <c r="X527" s="3">
        <v>0.99</v>
      </c>
      <c r="Y527" s="5">
        <f t="shared" si="53"/>
        <v>12.9404</v>
      </c>
    </row>
    <row r="528" spans="1:25" x14ac:dyDescent="0.2">
      <c r="A528" t="s">
        <v>1420</v>
      </c>
      <c r="B528" s="1">
        <v>42078</v>
      </c>
      <c r="C528" s="2" t="str">
        <f t="shared" si="48"/>
        <v>2015</v>
      </c>
      <c r="D528" s="2" t="s">
        <v>648</v>
      </c>
      <c r="E528" s="2" t="s">
        <v>649</v>
      </c>
      <c r="F528" s="2" t="s">
        <v>36</v>
      </c>
      <c r="G528" s="2" t="s">
        <v>37</v>
      </c>
      <c r="H528" s="2" t="s">
        <v>29</v>
      </c>
      <c r="I528" s="2" t="s">
        <v>83</v>
      </c>
      <c r="J528" s="2" t="s">
        <v>44</v>
      </c>
      <c r="K528" s="2" t="s">
        <v>405</v>
      </c>
      <c r="L528" s="2" t="s">
        <v>32</v>
      </c>
      <c r="M528" s="2" t="s">
        <v>26</v>
      </c>
      <c r="N528" s="2" t="s">
        <v>27</v>
      </c>
      <c r="O528" s="1">
        <v>42080</v>
      </c>
      <c r="P528" s="3">
        <v>2.1800000000000002</v>
      </c>
      <c r="Q528" s="3">
        <v>3.52</v>
      </c>
      <c r="R528" s="3">
        <f t="shared" si="49"/>
        <v>1.3399999999999999</v>
      </c>
      <c r="S528" s="2">
        <v>49</v>
      </c>
      <c r="T528" s="3">
        <f t="shared" si="50"/>
        <v>172.48</v>
      </c>
      <c r="U528" s="4">
        <v>0.08</v>
      </c>
      <c r="V528" s="6">
        <f t="shared" si="51"/>
        <v>13.798399999999999</v>
      </c>
      <c r="W528" s="6">
        <f t="shared" si="52"/>
        <v>158.6816</v>
      </c>
      <c r="X528" s="3">
        <v>6.83</v>
      </c>
      <c r="Y528" s="5">
        <f t="shared" si="53"/>
        <v>165.51160000000002</v>
      </c>
    </row>
    <row r="529" spans="1:25" x14ac:dyDescent="0.2">
      <c r="A529" t="s">
        <v>1421</v>
      </c>
      <c r="B529" s="1">
        <v>42079</v>
      </c>
      <c r="C529" s="2" t="str">
        <f t="shared" si="48"/>
        <v>2015</v>
      </c>
      <c r="D529" s="2" t="s">
        <v>579</v>
      </c>
      <c r="E529" s="2" t="s">
        <v>580</v>
      </c>
      <c r="F529" s="2" t="s">
        <v>36</v>
      </c>
      <c r="G529" s="2" t="s">
        <v>37</v>
      </c>
      <c r="H529" s="2" t="s">
        <v>21</v>
      </c>
      <c r="I529" s="2" t="s">
        <v>43</v>
      </c>
      <c r="J529" s="2" t="s">
        <v>52</v>
      </c>
      <c r="K529" s="2" t="s">
        <v>536</v>
      </c>
      <c r="L529" s="2" t="s">
        <v>25</v>
      </c>
      <c r="M529" s="2" t="s">
        <v>62</v>
      </c>
      <c r="N529" s="2" t="s">
        <v>63</v>
      </c>
      <c r="O529" s="1">
        <v>42080</v>
      </c>
      <c r="P529" s="3">
        <v>315.61</v>
      </c>
      <c r="Q529" s="3">
        <v>500.97</v>
      </c>
      <c r="R529" s="3">
        <f t="shared" si="49"/>
        <v>185.36</v>
      </c>
      <c r="S529" s="2">
        <v>3</v>
      </c>
      <c r="T529" s="3">
        <f t="shared" si="50"/>
        <v>1502.91</v>
      </c>
      <c r="U529" s="4">
        <v>0.06</v>
      </c>
      <c r="V529" s="6">
        <f t="shared" si="51"/>
        <v>90.174599999999998</v>
      </c>
      <c r="W529" s="6">
        <f t="shared" si="52"/>
        <v>1412.7354</v>
      </c>
      <c r="X529" s="3">
        <v>69.3</v>
      </c>
      <c r="Y529" s="5">
        <f t="shared" si="53"/>
        <v>1482.0354</v>
      </c>
    </row>
    <row r="530" spans="1:25" x14ac:dyDescent="0.2">
      <c r="A530" t="s">
        <v>1422</v>
      </c>
      <c r="B530" s="1">
        <v>42079</v>
      </c>
      <c r="C530" s="2" t="str">
        <f t="shared" si="48"/>
        <v>2015</v>
      </c>
      <c r="D530" s="2" t="s">
        <v>68</v>
      </c>
      <c r="E530" s="2" t="s">
        <v>69</v>
      </c>
      <c r="F530" s="2" t="s">
        <v>19</v>
      </c>
      <c r="G530" s="2" t="s">
        <v>20</v>
      </c>
      <c r="H530" s="2" t="s">
        <v>42</v>
      </c>
      <c r="I530" s="2" t="s">
        <v>22</v>
      </c>
      <c r="J530" s="2" t="s">
        <v>44</v>
      </c>
      <c r="K530" s="2" t="s">
        <v>167</v>
      </c>
      <c r="L530" s="2" t="s">
        <v>32</v>
      </c>
      <c r="M530" s="2" t="s">
        <v>26</v>
      </c>
      <c r="N530" s="2" t="s">
        <v>27</v>
      </c>
      <c r="O530" s="1">
        <v>42079</v>
      </c>
      <c r="P530" s="3">
        <v>14.95</v>
      </c>
      <c r="Q530" s="3">
        <v>34.76</v>
      </c>
      <c r="R530" s="3">
        <f t="shared" si="49"/>
        <v>19.809999999999999</v>
      </c>
      <c r="S530" s="2">
        <v>43</v>
      </c>
      <c r="T530" s="3">
        <f t="shared" si="50"/>
        <v>1494.6799999999998</v>
      </c>
      <c r="U530" s="4">
        <v>0</v>
      </c>
      <c r="V530" s="6">
        <f t="shared" si="51"/>
        <v>0</v>
      </c>
      <c r="W530" s="6">
        <f t="shared" si="52"/>
        <v>1494.6799999999998</v>
      </c>
      <c r="X530" s="3">
        <v>8.2200000000000006</v>
      </c>
      <c r="Y530" s="5">
        <f t="shared" si="53"/>
        <v>1502.8999999999999</v>
      </c>
    </row>
    <row r="531" spans="1:25" x14ac:dyDescent="0.2">
      <c r="A531" t="s">
        <v>1423</v>
      </c>
      <c r="B531" s="1">
        <v>42080</v>
      </c>
      <c r="C531" s="2" t="str">
        <f t="shared" si="48"/>
        <v>2015</v>
      </c>
      <c r="D531" s="2" t="s">
        <v>647</v>
      </c>
      <c r="E531" s="2" t="s">
        <v>69</v>
      </c>
      <c r="F531" s="2" t="s">
        <v>19</v>
      </c>
      <c r="G531" s="2" t="s">
        <v>20</v>
      </c>
      <c r="H531" s="2" t="s">
        <v>29</v>
      </c>
      <c r="I531" s="2" t="s">
        <v>22</v>
      </c>
      <c r="J531" s="2" t="s">
        <v>30</v>
      </c>
      <c r="K531" s="2" t="s">
        <v>449</v>
      </c>
      <c r="L531" s="2" t="s">
        <v>32</v>
      </c>
      <c r="M531" s="2" t="s">
        <v>26</v>
      </c>
      <c r="N531" s="2" t="s">
        <v>27</v>
      </c>
      <c r="O531" s="1">
        <v>42080</v>
      </c>
      <c r="P531" s="3">
        <v>12.39</v>
      </c>
      <c r="Q531" s="3">
        <v>19.98</v>
      </c>
      <c r="R531" s="3">
        <f t="shared" si="49"/>
        <v>7.59</v>
      </c>
      <c r="S531" s="2">
        <v>32</v>
      </c>
      <c r="T531" s="3">
        <f t="shared" si="50"/>
        <v>639.36</v>
      </c>
      <c r="U531" s="4">
        <v>0.05</v>
      </c>
      <c r="V531" s="6">
        <f t="shared" si="51"/>
        <v>31.968000000000004</v>
      </c>
      <c r="W531" s="6">
        <f t="shared" si="52"/>
        <v>607.39200000000005</v>
      </c>
      <c r="X531" s="3">
        <v>5.77</v>
      </c>
      <c r="Y531" s="5">
        <f t="shared" si="53"/>
        <v>613.16200000000003</v>
      </c>
    </row>
    <row r="532" spans="1:25" x14ac:dyDescent="0.2">
      <c r="A532" t="s">
        <v>1424</v>
      </c>
      <c r="B532" s="1">
        <v>42081</v>
      </c>
      <c r="C532" s="2" t="str">
        <f t="shared" si="48"/>
        <v>2015</v>
      </c>
      <c r="D532" s="2" t="s">
        <v>504</v>
      </c>
      <c r="E532" s="2" t="s">
        <v>271</v>
      </c>
      <c r="F532" s="2" t="s">
        <v>36</v>
      </c>
      <c r="G532" s="2" t="s">
        <v>37</v>
      </c>
      <c r="H532" s="2" t="s">
        <v>50</v>
      </c>
      <c r="I532" s="2" t="s">
        <v>102</v>
      </c>
      <c r="J532" s="2" t="s">
        <v>66</v>
      </c>
      <c r="K532" s="2" t="s">
        <v>644</v>
      </c>
      <c r="L532" s="2" t="s">
        <v>32</v>
      </c>
      <c r="M532" s="2" t="s">
        <v>58</v>
      </c>
      <c r="N532" s="2" t="s">
        <v>27</v>
      </c>
      <c r="O532" s="1">
        <v>42084</v>
      </c>
      <c r="P532" s="3">
        <v>2.87</v>
      </c>
      <c r="Q532" s="3">
        <v>6.84</v>
      </c>
      <c r="R532" s="3">
        <f t="shared" si="49"/>
        <v>3.9699999999999998</v>
      </c>
      <c r="S532" s="2">
        <v>35</v>
      </c>
      <c r="T532" s="3">
        <f t="shared" si="50"/>
        <v>239.4</v>
      </c>
      <c r="U532" s="4">
        <v>0.02</v>
      </c>
      <c r="V532" s="6">
        <f t="shared" si="51"/>
        <v>4.7880000000000003</v>
      </c>
      <c r="W532" s="6">
        <f t="shared" si="52"/>
        <v>234.61199999999999</v>
      </c>
      <c r="X532" s="3">
        <v>4.42</v>
      </c>
      <c r="Y532" s="5">
        <f t="shared" si="53"/>
        <v>239.03199999999998</v>
      </c>
    </row>
    <row r="533" spans="1:25" x14ac:dyDescent="0.2">
      <c r="A533" t="s">
        <v>1425</v>
      </c>
      <c r="B533" s="1">
        <v>42083</v>
      </c>
      <c r="C533" s="2" t="str">
        <f t="shared" si="48"/>
        <v>2015</v>
      </c>
      <c r="D533" s="2" t="s">
        <v>612</v>
      </c>
      <c r="E533" s="2" t="s">
        <v>69</v>
      </c>
      <c r="F533" s="2" t="s">
        <v>19</v>
      </c>
      <c r="G533" s="2" t="s">
        <v>20</v>
      </c>
      <c r="H533" s="2" t="s">
        <v>42</v>
      </c>
      <c r="I533" s="2" t="s">
        <v>22</v>
      </c>
      <c r="J533" s="2" t="s">
        <v>66</v>
      </c>
      <c r="K533" s="2" t="s">
        <v>643</v>
      </c>
      <c r="L533" s="2" t="s">
        <v>25</v>
      </c>
      <c r="M533" s="2" t="s">
        <v>26</v>
      </c>
      <c r="N533" s="2" t="s">
        <v>89</v>
      </c>
      <c r="O533" s="1">
        <v>42084</v>
      </c>
      <c r="P533" s="3">
        <v>6.4</v>
      </c>
      <c r="Q533" s="3">
        <v>29.1</v>
      </c>
      <c r="R533" s="3">
        <f t="shared" si="49"/>
        <v>22.700000000000003</v>
      </c>
      <c r="S533" s="2">
        <v>50</v>
      </c>
      <c r="T533" s="3">
        <f t="shared" si="50"/>
        <v>1455</v>
      </c>
      <c r="U533" s="4">
        <v>0.09</v>
      </c>
      <c r="V533" s="6">
        <f t="shared" si="51"/>
        <v>130.94999999999999</v>
      </c>
      <c r="W533" s="6">
        <f t="shared" si="52"/>
        <v>1324.05</v>
      </c>
      <c r="X533" s="3">
        <v>4</v>
      </c>
      <c r="Y533" s="5">
        <f t="shared" si="53"/>
        <v>1328.05</v>
      </c>
    </row>
    <row r="534" spans="1:25" x14ac:dyDescent="0.2">
      <c r="A534" s="12" t="s">
        <v>1937</v>
      </c>
      <c r="B534" s="1">
        <v>42084</v>
      </c>
      <c r="C534" s="2" t="str">
        <f t="shared" si="48"/>
        <v>2015</v>
      </c>
      <c r="D534" s="2" t="s">
        <v>392</v>
      </c>
      <c r="E534" s="2" t="s">
        <v>1902</v>
      </c>
      <c r="F534" s="2" t="s">
        <v>1881</v>
      </c>
      <c r="G534" s="2" t="s">
        <v>1882</v>
      </c>
      <c r="H534" s="2" t="s">
        <v>42</v>
      </c>
      <c r="I534" s="2" t="s">
        <v>51</v>
      </c>
      <c r="J534" s="2" t="s">
        <v>23</v>
      </c>
      <c r="K534" s="2" t="s">
        <v>149</v>
      </c>
      <c r="L534" s="2" t="s">
        <v>150</v>
      </c>
      <c r="M534" s="2" t="s">
        <v>58</v>
      </c>
      <c r="N534" s="2" t="s">
        <v>27</v>
      </c>
      <c r="O534" s="1">
        <v>42091</v>
      </c>
      <c r="P534" s="3">
        <v>5.5</v>
      </c>
      <c r="Q534" s="3">
        <v>12.22</v>
      </c>
      <c r="R534" s="3">
        <f t="shared" si="49"/>
        <v>6.7200000000000006</v>
      </c>
      <c r="S534" s="2">
        <v>5</v>
      </c>
      <c r="T534" s="3">
        <f t="shared" si="50"/>
        <v>61.1</v>
      </c>
      <c r="U534" s="4">
        <v>0.04</v>
      </c>
      <c r="V534" s="6">
        <f t="shared" si="51"/>
        <v>2.444</v>
      </c>
      <c r="W534" s="6">
        <f t="shared" si="52"/>
        <v>58.655999999999999</v>
      </c>
      <c r="X534" s="3">
        <v>2.85</v>
      </c>
      <c r="Y534" s="5">
        <f t="shared" si="53"/>
        <v>61.506</v>
      </c>
    </row>
    <row r="535" spans="1:25" x14ac:dyDescent="0.2">
      <c r="A535" t="s">
        <v>1426</v>
      </c>
      <c r="B535" s="1">
        <v>42084</v>
      </c>
      <c r="C535" s="2" t="str">
        <f t="shared" si="48"/>
        <v>2015</v>
      </c>
      <c r="D535" s="2" t="s">
        <v>198</v>
      </c>
      <c r="E535" s="2" t="s">
        <v>199</v>
      </c>
      <c r="F535" s="2" t="s">
        <v>19</v>
      </c>
      <c r="G535" s="2" t="s">
        <v>20</v>
      </c>
      <c r="H535" s="2" t="s">
        <v>42</v>
      </c>
      <c r="I535" s="2" t="s">
        <v>92</v>
      </c>
      <c r="J535" s="2" t="s">
        <v>66</v>
      </c>
      <c r="K535" s="2" t="s">
        <v>53</v>
      </c>
      <c r="L535" s="2" t="s">
        <v>32</v>
      </c>
      <c r="M535" s="2" t="s">
        <v>33</v>
      </c>
      <c r="N535" s="2" t="s">
        <v>27</v>
      </c>
      <c r="O535" s="1">
        <v>42085</v>
      </c>
      <c r="P535" s="3">
        <v>3.75</v>
      </c>
      <c r="Q535" s="3">
        <v>7.08</v>
      </c>
      <c r="R535" s="3">
        <f t="shared" si="49"/>
        <v>3.33</v>
      </c>
      <c r="S535" s="2">
        <v>31</v>
      </c>
      <c r="T535" s="3">
        <f t="shared" si="50"/>
        <v>219.48</v>
      </c>
      <c r="U535" s="4">
        <v>0.01</v>
      </c>
      <c r="V535" s="6">
        <f t="shared" si="51"/>
        <v>2.1947999999999999</v>
      </c>
      <c r="W535" s="6">
        <f t="shared" si="52"/>
        <v>217.2852</v>
      </c>
      <c r="X535" s="3">
        <v>2.35</v>
      </c>
      <c r="Y535" s="5">
        <f t="shared" si="53"/>
        <v>219.6352</v>
      </c>
    </row>
    <row r="536" spans="1:25" x14ac:dyDescent="0.2">
      <c r="A536" t="s">
        <v>1427</v>
      </c>
      <c r="B536" s="1">
        <v>42085</v>
      </c>
      <c r="C536" s="2" t="str">
        <f t="shared" si="48"/>
        <v>2015</v>
      </c>
      <c r="D536" s="2" t="s">
        <v>642</v>
      </c>
      <c r="E536" s="2" t="s">
        <v>65</v>
      </c>
      <c r="F536" s="2" t="s">
        <v>36</v>
      </c>
      <c r="G536" s="2" t="s">
        <v>37</v>
      </c>
      <c r="H536" s="2" t="s">
        <v>21</v>
      </c>
      <c r="I536" s="2" t="s">
        <v>43</v>
      </c>
      <c r="J536" s="2" t="s">
        <v>44</v>
      </c>
      <c r="K536" s="2" t="s">
        <v>80</v>
      </c>
      <c r="L536" s="2" t="s">
        <v>32</v>
      </c>
      <c r="M536" s="2" t="s">
        <v>26</v>
      </c>
      <c r="N536" s="2" t="s">
        <v>89</v>
      </c>
      <c r="O536" s="1">
        <v>42086</v>
      </c>
      <c r="P536" s="3">
        <v>4.59</v>
      </c>
      <c r="Q536" s="3">
        <v>7.28</v>
      </c>
      <c r="R536" s="3">
        <f t="shared" si="49"/>
        <v>2.6900000000000004</v>
      </c>
      <c r="S536" s="2">
        <v>40</v>
      </c>
      <c r="T536" s="3">
        <f t="shared" si="50"/>
        <v>291.2</v>
      </c>
      <c r="U536" s="4">
        <v>0.04</v>
      </c>
      <c r="V536" s="6">
        <f t="shared" si="51"/>
        <v>11.648</v>
      </c>
      <c r="W536" s="6">
        <f t="shared" si="52"/>
        <v>279.55199999999996</v>
      </c>
      <c r="X536" s="3">
        <v>11.15</v>
      </c>
      <c r="Y536" s="5">
        <f t="shared" si="53"/>
        <v>290.70199999999994</v>
      </c>
    </row>
    <row r="537" spans="1:25" x14ac:dyDescent="0.2">
      <c r="A537" t="s">
        <v>1428</v>
      </c>
      <c r="B537" s="1">
        <v>42087</v>
      </c>
      <c r="C537" s="2" t="str">
        <f t="shared" si="48"/>
        <v>2015</v>
      </c>
      <c r="D537" s="2" t="s">
        <v>361</v>
      </c>
      <c r="E537" s="2" t="s">
        <v>1923</v>
      </c>
      <c r="F537" s="2" t="s">
        <v>36</v>
      </c>
      <c r="G537" s="2" t="s">
        <v>37</v>
      </c>
      <c r="H537" s="2" t="s">
        <v>50</v>
      </c>
      <c r="I537" s="2" t="s">
        <v>79</v>
      </c>
      <c r="J537" s="2" t="s">
        <v>30</v>
      </c>
      <c r="K537" s="2" t="s">
        <v>634</v>
      </c>
      <c r="L537" s="2" t="s">
        <v>32</v>
      </c>
      <c r="M537" s="2" t="s">
        <v>26</v>
      </c>
      <c r="N537" s="2" t="s">
        <v>27</v>
      </c>
      <c r="O537" s="1">
        <v>42089</v>
      </c>
      <c r="P537" s="3">
        <v>3.37</v>
      </c>
      <c r="Q537" s="3">
        <v>5.53</v>
      </c>
      <c r="R537" s="3">
        <f t="shared" si="49"/>
        <v>2.16</v>
      </c>
      <c r="S537" s="2">
        <v>23</v>
      </c>
      <c r="T537" s="3">
        <f t="shared" si="50"/>
        <v>127.19000000000001</v>
      </c>
      <c r="U537" s="4">
        <v>0.1</v>
      </c>
      <c r="V537" s="6">
        <f t="shared" si="51"/>
        <v>12.719000000000001</v>
      </c>
      <c r="W537" s="6">
        <f t="shared" si="52"/>
        <v>114.471</v>
      </c>
      <c r="X537" s="3">
        <v>6.98</v>
      </c>
      <c r="Y537" s="5">
        <f t="shared" si="53"/>
        <v>121.45100000000001</v>
      </c>
    </row>
    <row r="538" spans="1:25" x14ac:dyDescent="0.2">
      <c r="A538" t="s">
        <v>1429</v>
      </c>
      <c r="B538" s="1">
        <v>42087</v>
      </c>
      <c r="C538" s="2" t="str">
        <f t="shared" si="48"/>
        <v>2015</v>
      </c>
      <c r="D538" s="2" t="s">
        <v>539</v>
      </c>
      <c r="E538" s="2" t="s">
        <v>540</v>
      </c>
      <c r="F538" s="2" t="s">
        <v>19</v>
      </c>
      <c r="G538" s="2" t="s">
        <v>20</v>
      </c>
      <c r="H538" s="2" t="s">
        <v>50</v>
      </c>
      <c r="I538" s="2" t="s">
        <v>92</v>
      </c>
      <c r="J538" s="2" t="s">
        <v>66</v>
      </c>
      <c r="K538" s="2" t="s">
        <v>197</v>
      </c>
      <c r="L538" s="2" t="s">
        <v>32</v>
      </c>
      <c r="M538" s="2" t="s">
        <v>26</v>
      </c>
      <c r="N538" s="2" t="s">
        <v>27</v>
      </c>
      <c r="O538" s="1">
        <v>42088</v>
      </c>
      <c r="P538" s="3">
        <v>3.52</v>
      </c>
      <c r="Q538" s="3">
        <v>5.68</v>
      </c>
      <c r="R538" s="3">
        <f t="shared" si="49"/>
        <v>2.1599999999999997</v>
      </c>
      <c r="S538" s="2">
        <v>8</v>
      </c>
      <c r="T538" s="3">
        <f t="shared" si="50"/>
        <v>45.44</v>
      </c>
      <c r="U538" s="4">
        <v>0.02</v>
      </c>
      <c r="V538" s="6">
        <f t="shared" si="51"/>
        <v>0.90879999999999994</v>
      </c>
      <c r="W538" s="6">
        <f t="shared" si="52"/>
        <v>44.531199999999998</v>
      </c>
      <c r="X538" s="3">
        <v>1.39</v>
      </c>
      <c r="Y538" s="5">
        <f t="shared" si="53"/>
        <v>45.921199999999999</v>
      </c>
    </row>
    <row r="539" spans="1:25" x14ac:dyDescent="0.2">
      <c r="A539" t="s">
        <v>1430</v>
      </c>
      <c r="B539" s="1">
        <v>42088</v>
      </c>
      <c r="C539" s="2" t="str">
        <f t="shared" si="48"/>
        <v>2015</v>
      </c>
      <c r="D539" s="2" t="s">
        <v>472</v>
      </c>
      <c r="E539" s="2" t="s">
        <v>199</v>
      </c>
      <c r="F539" s="2" t="s">
        <v>19</v>
      </c>
      <c r="G539" s="2" t="s">
        <v>20</v>
      </c>
      <c r="H539" s="2" t="s">
        <v>21</v>
      </c>
      <c r="I539" s="2" t="s">
        <v>92</v>
      </c>
      <c r="J539" s="2" t="s">
        <v>52</v>
      </c>
      <c r="K539" s="2" t="s">
        <v>84</v>
      </c>
      <c r="L539" s="2" t="s">
        <v>25</v>
      </c>
      <c r="M539" s="2" t="s">
        <v>85</v>
      </c>
      <c r="N539" s="2" t="s">
        <v>27</v>
      </c>
      <c r="O539" s="1">
        <v>42090</v>
      </c>
      <c r="P539" s="3">
        <v>8.82</v>
      </c>
      <c r="Q539" s="3">
        <v>20.99</v>
      </c>
      <c r="R539" s="3">
        <f t="shared" si="49"/>
        <v>12.169999999999998</v>
      </c>
      <c r="S539" s="2">
        <v>45</v>
      </c>
      <c r="T539" s="3">
        <f t="shared" si="50"/>
        <v>944.55</v>
      </c>
      <c r="U539" s="4">
        <v>0.03</v>
      </c>
      <c r="V539" s="6">
        <f t="shared" si="51"/>
        <v>28.336499999999997</v>
      </c>
      <c r="W539" s="6">
        <f t="shared" si="52"/>
        <v>916.21349999999995</v>
      </c>
      <c r="X539" s="3">
        <v>4.8099999999999996</v>
      </c>
      <c r="Y539" s="5">
        <f t="shared" si="53"/>
        <v>921.0234999999999</v>
      </c>
    </row>
    <row r="540" spans="1:25" x14ac:dyDescent="0.2">
      <c r="A540" t="s">
        <v>1431</v>
      </c>
      <c r="B540" s="1">
        <v>42088</v>
      </c>
      <c r="C540" s="2" t="str">
        <f t="shared" si="48"/>
        <v>2015</v>
      </c>
      <c r="D540" s="2" t="s">
        <v>504</v>
      </c>
      <c r="E540" s="2" t="s">
        <v>271</v>
      </c>
      <c r="F540" s="2" t="s">
        <v>36</v>
      </c>
      <c r="G540" s="2" t="s">
        <v>37</v>
      </c>
      <c r="H540" s="2" t="s">
        <v>50</v>
      </c>
      <c r="I540" s="2" t="s">
        <v>102</v>
      </c>
      <c r="J540" s="2" t="s">
        <v>52</v>
      </c>
      <c r="K540" s="2" t="s">
        <v>125</v>
      </c>
      <c r="L540" s="2" t="s">
        <v>32</v>
      </c>
      <c r="M540" s="2" t="s">
        <v>33</v>
      </c>
      <c r="N540" s="2" t="s">
        <v>89</v>
      </c>
      <c r="O540" s="1">
        <v>42090</v>
      </c>
      <c r="P540" s="3">
        <v>1.53</v>
      </c>
      <c r="Q540" s="3">
        <v>2.78</v>
      </c>
      <c r="R540" s="3">
        <f t="shared" si="49"/>
        <v>1.2499999999999998</v>
      </c>
      <c r="S540" s="2">
        <v>34</v>
      </c>
      <c r="T540" s="3">
        <f t="shared" si="50"/>
        <v>94.52</v>
      </c>
      <c r="U540" s="4">
        <v>0</v>
      </c>
      <c r="V540" s="6">
        <f t="shared" si="51"/>
        <v>0</v>
      </c>
      <c r="W540" s="6">
        <f t="shared" si="52"/>
        <v>94.52</v>
      </c>
      <c r="X540" s="3">
        <v>1.34</v>
      </c>
      <c r="Y540" s="5">
        <f t="shared" si="53"/>
        <v>95.86</v>
      </c>
    </row>
    <row r="541" spans="1:25" x14ac:dyDescent="0.2">
      <c r="A541" t="s">
        <v>1432</v>
      </c>
      <c r="B541" s="1">
        <v>42093</v>
      </c>
      <c r="C541" s="2" t="str">
        <f t="shared" si="48"/>
        <v>2015</v>
      </c>
      <c r="D541" s="2" t="s">
        <v>288</v>
      </c>
      <c r="E541" s="2" t="s">
        <v>46</v>
      </c>
      <c r="F541" s="2" t="s">
        <v>19</v>
      </c>
      <c r="G541" s="2" t="s">
        <v>20</v>
      </c>
      <c r="H541" s="2" t="s">
        <v>42</v>
      </c>
      <c r="I541" s="2" t="s">
        <v>22</v>
      </c>
      <c r="J541" s="2" t="s">
        <v>30</v>
      </c>
      <c r="K541" s="2" t="s">
        <v>174</v>
      </c>
      <c r="L541" s="2" t="s">
        <v>25</v>
      </c>
      <c r="M541" s="2" t="s">
        <v>26</v>
      </c>
      <c r="N541" s="2" t="s">
        <v>27</v>
      </c>
      <c r="O541" s="1">
        <v>42095</v>
      </c>
      <c r="P541" s="3">
        <v>54.52</v>
      </c>
      <c r="Q541" s="3">
        <v>100.97</v>
      </c>
      <c r="R541" s="3">
        <f t="shared" si="49"/>
        <v>46.449999999999996</v>
      </c>
      <c r="S541" s="2">
        <v>13</v>
      </c>
      <c r="T541" s="3">
        <f t="shared" si="50"/>
        <v>1312.61</v>
      </c>
      <c r="U541" s="4">
        <v>0.06</v>
      </c>
      <c r="V541" s="6">
        <f t="shared" si="51"/>
        <v>78.756599999999992</v>
      </c>
      <c r="W541" s="6">
        <f t="shared" si="52"/>
        <v>1233.8534</v>
      </c>
      <c r="X541" s="3">
        <v>7.18</v>
      </c>
      <c r="Y541" s="5">
        <f t="shared" si="53"/>
        <v>1241.0334</v>
      </c>
    </row>
    <row r="542" spans="1:25" x14ac:dyDescent="0.2">
      <c r="A542" t="s">
        <v>1433</v>
      </c>
      <c r="B542" s="1">
        <v>42098</v>
      </c>
      <c r="C542" s="2" t="str">
        <f t="shared" si="48"/>
        <v>2015</v>
      </c>
      <c r="D542" s="2" t="s">
        <v>233</v>
      </c>
      <c r="E542" s="2" t="s">
        <v>1900</v>
      </c>
      <c r="F542" s="2" t="s">
        <v>1881</v>
      </c>
      <c r="G542" s="2" t="s">
        <v>1882</v>
      </c>
      <c r="H542" s="2" t="s">
        <v>21</v>
      </c>
      <c r="I542" s="2" t="s">
        <v>43</v>
      </c>
      <c r="J542" s="2" t="s">
        <v>30</v>
      </c>
      <c r="K542" s="2" t="s">
        <v>61</v>
      </c>
      <c r="L542" s="2" t="s">
        <v>25</v>
      </c>
      <c r="M542" s="2" t="s">
        <v>62</v>
      </c>
      <c r="N542" s="2" t="s">
        <v>63</v>
      </c>
      <c r="O542" s="1">
        <v>42099</v>
      </c>
      <c r="P542" s="3">
        <v>75</v>
      </c>
      <c r="Q542" s="3">
        <v>120.97</v>
      </c>
      <c r="R542" s="3">
        <f t="shared" si="49"/>
        <v>45.97</v>
      </c>
      <c r="S542" s="2">
        <v>38</v>
      </c>
      <c r="T542" s="3">
        <f t="shared" si="50"/>
        <v>4596.8599999999997</v>
      </c>
      <c r="U542" s="4">
        <v>0.09</v>
      </c>
      <c r="V542" s="6">
        <f t="shared" si="51"/>
        <v>413.71739999999994</v>
      </c>
      <c r="W542" s="6">
        <f t="shared" si="52"/>
        <v>4183.1426000000001</v>
      </c>
      <c r="X542" s="3">
        <v>26.3</v>
      </c>
      <c r="Y542" s="5">
        <f t="shared" si="53"/>
        <v>4209.4426000000003</v>
      </c>
    </row>
    <row r="543" spans="1:25" x14ac:dyDescent="0.2">
      <c r="A543" t="s">
        <v>1434</v>
      </c>
      <c r="B543" s="1">
        <v>42098</v>
      </c>
      <c r="C543" s="2" t="str">
        <f t="shared" si="48"/>
        <v>2015</v>
      </c>
      <c r="D543" s="2" t="s">
        <v>201</v>
      </c>
      <c r="E543" s="2" t="s">
        <v>202</v>
      </c>
      <c r="F543" s="2" t="s">
        <v>19</v>
      </c>
      <c r="G543" s="2" t="s">
        <v>20</v>
      </c>
      <c r="H543" s="2" t="s">
        <v>42</v>
      </c>
      <c r="I543" s="2" t="s">
        <v>22</v>
      </c>
      <c r="J543" s="2" t="s">
        <v>44</v>
      </c>
      <c r="K543" s="2" t="s">
        <v>252</v>
      </c>
      <c r="L543" s="2" t="s">
        <v>32</v>
      </c>
      <c r="M543" s="2" t="s">
        <v>33</v>
      </c>
      <c r="N543" s="2" t="s">
        <v>27</v>
      </c>
      <c r="O543" s="1">
        <v>42099</v>
      </c>
      <c r="P543" s="3">
        <v>2.59</v>
      </c>
      <c r="Q543" s="3">
        <v>3.98</v>
      </c>
      <c r="R543" s="3">
        <f t="shared" si="49"/>
        <v>1.3900000000000001</v>
      </c>
      <c r="S543" s="2">
        <v>2</v>
      </c>
      <c r="T543" s="3">
        <f t="shared" si="50"/>
        <v>7.96</v>
      </c>
      <c r="U543" s="4">
        <v>0.04</v>
      </c>
      <c r="V543" s="6">
        <f t="shared" si="51"/>
        <v>0.31840000000000002</v>
      </c>
      <c r="W543" s="6">
        <f t="shared" si="52"/>
        <v>7.6416000000000004</v>
      </c>
      <c r="X543" s="3">
        <v>2.97</v>
      </c>
      <c r="Y543" s="5">
        <f t="shared" si="53"/>
        <v>10.611600000000001</v>
      </c>
    </row>
    <row r="544" spans="1:25" x14ac:dyDescent="0.2">
      <c r="A544" t="s">
        <v>1435</v>
      </c>
      <c r="B544" s="1">
        <v>42102</v>
      </c>
      <c r="C544" s="2" t="str">
        <f t="shared" si="48"/>
        <v>2015</v>
      </c>
      <c r="D544" s="2" t="s">
        <v>219</v>
      </c>
      <c r="E544" s="2" t="s">
        <v>1891</v>
      </c>
      <c r="F544" s="2" t="s">
        <v>1881</v>
      </c>
      <c r="G544" s="2" t="s">
        <v>1882</v>
      </c>
      <c r="H544" s="2" t="s">
        <v>21</v>
      </c>
      <c r="I544" s="2" t="s">
        <v>124</v>
      </c>
      <c r="J544" s="2" t="s">
        <v>66</v>
      </c>
      <c r="K544" s="2" t="s">
        <v>634</v>
      </c>
      <c r="L544" s="2" t="s">
        <v>32</v>
      </c>
      <c r="M544" s="2" t="s">
        <v>26</v>
      </c>
      <c r="N544" s="2" t="s">
        <v>27</v>
      </c>
      <c r="O544" s="1">
        <v>42103</v>
      </c>
      <c r="P544" s="3">
        <v>3.37</v>
      </c>
      <c r="Q544" s="3">
        <v>5.53</v>
      </c>
      <c r="R544" s="3">
        <f t="shared" si="49"/>
        <v>2.16</v>
      </c>
      <c r="S544" s="2">
        <v>9</v>
      </c>
      <c r="T544" s="3">
        <f t="shared" si="50"/>
        <v>49.77</v>
      </c>
      <c r="U544" s="4">
        <v>0.09</v>
      </c>
      <c r="V544" s="6">
        <f t="shared" si="51"/>
        <v>4.4793000000000003</v>
      </c>
      <c r="W544" s="6">
        <f t="shared" si="52"/>
        <v>45.290700000000001</v>
      </c>
      <c r="X544" s="3">
        <v>6.98</v>
      </c>
      <c r="Y544" s="5">
        <f t="shared" si="53"/>
        <v>52.270700000000005</v>
      </c>
    </row>
    <row r="545" spans="1:25" x14ac:dyDescent="0.2">
      <c r="A545" t="s">
        <v>1436</v>
      </c>
      <c r="B545" s="1">
        <v>42102</v>
      </c>
      <c r="C545" s="2" t="str">
        <f t="shared" si="48"/>
        <v>2015</v>
      </c>
      <c r="D545" s="2" t="s">
        <v>641</v>
      </c>
      <c r="E545" s="2" t="s">
        <v>615</v>
      </c>
      <c r="F545" s="2" t="s">
        <v>36</v>
      </c>
      <c r="G545" s="2" t="s">
        <v>37</v>
      </c>
      <c r="H545" s="2" t="s">
        <v>42</v>
      </c>
      <c r="I545" s="2" t="s">
        <v>153</v>
      </c>
      <c r="J545" s="2" t="s">
        <v>52</v>
      </c>
      <c r="K545" s="2" t="s">
        <v>297</v>
      </c>
      <c r="L545" s="2" t="s">
        <v>32</v>
      </c>
      <c r="M545" s="2" t="s">
        <v>33</v>
      </c>
      <c r="N545" s="2" t="s">
        <v>27</v>
      </c>
      <c r="O545" s="1">
        <v>42103</v>
      </c>
      <c r="P545" s="3">
        <v>3.48</v>
      </c>
      <c r="Q545" s="3">
        <v>5.43</v>
      </c>
      <c r="R545" s="3">
        <f t="shared" si="49"/>
        <v>1.9499999999999997</v>
      </c>
      <c r="S545" s="2">
        <v>13</v>
      </c>
      <c r="T545" s="3">
        <f t="shared" si="50"/>
        <v>70.59</v>
      </c>
      <c r="U545" s="4">
        <v>0.02</v>
      </c>
      <c r="V545" s="6">
        <f t="shared" si="51"/>
        <v>1.4118000000000002</v>
      </c>
      <c r="W545" s="6">
        <f t="shared" si="52"/>
        <v>69.178200000000004</v>
      </c>
      <c r="X545" s="3">
        <v>0.95</v>
      </c>
      <c r="Y545" s="5">
        <f t="shared" si="53"/>
        <v>70.128200000000007</v>
      </c>
    </row>
    <row r="546" spans="1:25" x14ac:dyDescent="0.2">
      <c r="A546" t="s">
        <v>1437</v>
      </c>
      <c r="B546" s="1">
        <v>42104</v>
      </c>
      <c r="C546" s="2" t="str">
        <f t="shared" si="48"/>
        <v>2015</v>
      </c>
      <c r="D546" s="2" t="s">
        <v>638</v>
      </c>
      <c r="E546" s="2" t="s">
        <v>172</v>
      </c>
      <c r="F546" s="2" t="s">
        <v>36</v>
      </c>
      <c r="G546" s="2" t="s">
        <v>37</v>
      </c>
      <c r="H546" s="2" t="s">
        <v>29</v>
      </c>
      <c r="I546" s="2" t="s">
        <v>75</v>
      </c>
      <c r="J546" s="2" t="s">
        <v>44</v>
      </c>
      <c r="K546" s="2" t="s">
        <v>556</v>
      </c>
      <c r="L546" s="2" t="s">
        <v>32</v>
      </c>
      <c r="M546" s="2" t="s">
        <v>26</v>
      </c>
      <c r="N546" s="2" t="s">
        <v>27</v>
      </c>
      <c r="O546" s="1">
        <v>42107</v>
      </c>
      <c r="P546" s="3">
        <v>3.53</v>
      </c>
      <c r="Q546" s="3">
        <v>8.6199999999999992</v>
      </c>
      <c r="R546" s="3">
        <f t="shared" si="49"/>
        <v>5.09</v>
      </c>
      <c r="S546" s="2">
        <v>50</v>
      </c>
      <c r="T546" s="3">
        <f t="shared" si="50"/>
        <v>430.99999999999994</v>
      </c>
      <c r="U546" s="4">
        <v>7.0000000000000007E-2</v>
      </c>
      <c r="V546" s="6">
        <f t="shared" si="51"/>
        <v>30.169999999999998</v>
      </c>
      <c r="W546" s="6">
        <f t="shared" si="52"/>
        <v>400.82999999999993</v>
      </c>
      <c r="X546" s="3">
        <v>4.5</v>
      </c>
      <c r="Y546" s="5">
        <f t="shared" si="53"/>
        <v>405.32999999999993</v>
      </c>
    </row>
    <row r="547" spans="1:25" x14ac:dyDescent="0.2">
      <c r="A547" t="s">
        <v>1438</v>
      </c>
      <c r="B547" s="1">
        <v>42104</v>
      </c>
      <c r="C547" s="2" t="str">
        <f t="shared" si="48"/>
        <v>2015</v>
      </c>
      <c r="D547" s="2" t="s">
        <v>640</v>
      </c>
      <c r="E547" s="2" t="s">
        <v>204</v>
      </c>
      <c r="F547" s="2" t="s">
        <v>36</v>
      </c>
      <c r="G547" s="2" t="s">
        <v>37</v>
      </c>
      <c r="H547" s="2" t="s">
        <v>50</v>
      </c>
      <c r="I547" s="2" t="s">
        <v>142</v>
      </c>
      <c r="J547" s="2" t="s">
        <v>66</v>
      </c>
      <c r="K547" s="2" t="s">
        <v>125</v>
      </c>
      <c r="L547" s="2" t="s">
        <v>32</v>
      </c>
      <c r="M547" s="2" t="s">
        <v>33</v>
      </c>
      <c r="N547" s="2" t="s">
        <v>27</v>
      </c>
      <c r="O547" s="1">
        <v>42105</v>
      </c>
      <c r="P547" s="3">
        <v>1.53</v>
      </c>
      <c r="Q547" s="3">
        <v>2.78</v>
      </c>
      <c r="R547" s="3">
        <f t="shared" si="49"/>
        <v>1.2499999999999998</v>
      </c>
      <c r="S547" s="2">
        <v>19</v>
      </c>
      <c r="T547" s="3">
        <f t="shared" si="50"/>
        <v>52.819999999999993</v>
      </c>
      <c r="U547" s="4">
        <v>0.06</v>
      </c>
      <c r="V547" s="6">
        <f t="shared" si="51"/>
        <v>3.1691999999999996</v>
      </c>
      <c r="W547" s="6">
        <f t="shared" si="52"/>
        <v>49.650799999999997</v>
      </c>
      <c r="X547" s="3">
        <v>1.34</v>
      </c>
      <c r="Y547" s="5">
        <f t="shared" si="53"/>
        <v>50.9908</v>
      </c>
    </row>
    <row r="548" spans="1:25" x14ac:dyDescent="0.2">
      <c r="A548" t="s">
        <v>1439</v>
      </c>
      <c r="B548" s="1">
        <v>42105</v>
      </c>
      <c r="C548" s="2" t="str">
        <f t="shared" si="48"/>
        <v>2015</v>
      </c>
      <c r="D548" s="2" t="s">
        <v>171</v>
      </c>
      <c r="E548" s="2" t="s">
        <v>1919</v>
      </c>
      <c r="F548" s="2" t="s">
        <v>1881</v>
      </c>
      <c r="G548" s="2" t="s">
        <v>1882</v>
      </c>
      <c r="H548" s="2" t="s">
        <v>42</v>
      </c>
      <c r="I548" s="2" t="s">
        <v>75</v>
      </c>
      <c r="J548" s="2" t="s">
        <v>30</v>
      </c>
      <c r="K548" s="2" t="s">
        <v>128</v>
      </c>
      <c r="L548" s="2" t="s">
        <v>25</v>
      </c>
      <c r="M548" s="2" t="s">
        <v>26</v>
      </c>
      <c r="N548" s="2" t="s">
        <v>27</v>
      </c>
      <c r="O548" s="1">
        <v>42106</v>
      </c>
      <c r="P548" s="3">
        <v>10.07</v>
      </c>
      <c r="Q548" s="3">
        <v>15.98</v>
      </c>
      <c r="R548" s="3">
        <f t="shared" si="49"/>
        <v>5.91</v>
      </c>
      <c r="S548" s="2">
        <v>40</v>
      </c>
      <c r="T548" s="3">
        <f t="shared" si="50"/>
        <v>639.20000000000005</v>
      </c>
      <c r="U548" s="4">
        <v>0.01</v>
      </c>
      <c r="V548" s="6">
        <f t="shared" si="51"/>
        <v>6.3920000000000003</v>
      </c>
      <c r="W548" s="6">
        <f t="shared" si="52"/>
        <v>632.80799999999999</v>
      </c>
      <c r="X548" s="3">
        <v>4</v>
      </c>
      <c r="Y548" s="5">
        <f t="shared" si="53"/>
        <v>636.80799999999999</v>
      </c>
    </row>
    <row r="549" spans="1:25" x14ac:dyDescent="0.2">
      <c r="A549" t="s">
        <v>1440</v>
      </c>
      <c r="B549" s="1">
        <v>42107</v>
      </c>
      <c r="C549" s="2" t="str">
        <f t="shared" si="48"/>
        <v>2015</v>
      </c>
      <c r="D549" s="2" t="s">
        <v>637</v>
      </c>
      <c r="E549" s="2" t="s">
        <v>349</v>
      </c>
      <c r="F549" s="2" t="s">
        <v>36</v>
      </c>
      <c r="G549" s="2" t="s">
        <v>37</v>
      </c>
      <c r="H549" s="2" t="s">
        <v>50</v>
      </c>
      <c r="I549" s="2" t="s">
        <v>96</v>
      </c>
      <c r="J549" s="2" t="s">
        <v>44</v>
      </c>
      <c r="K549" s="2" t="s">
        <v>76</v>
      </c>
      <c r="L549" s="2" t="s">
        <v>32</v>
      </c>
      <c r="M549" s="2" t="s">
        <v>33</v>
      </c>
      <c r="N549" s="2" t="s">
        <v>27</v>
      </c>
      <c r="O549" s="1">
        <v>42108</v>
      </c>
      <c r="P549" s="3">
        <v>2.16</v>
      </c>
      <c r="Q549" s="3">
        <v>3.85</v>
      </c>
      <c r="R549" s="3">
        <f t="shared" si="49"/>
        <v>1.69</v>
      </c>
      <c r="S549" s="2">
        <v>42</v>
      </c>
      <c r="T549" s="3">
        <f t="shared" si="50"/>
        <v>161.70000000000002</v>
      </c>
      <c r="U549" s="4">
        <v>0.01</v>
      </c>
      <c r="V549" s="6">
        <f t="shared" si="51"/>
        <v>1.6170000000000002</v>
      </c>
      <c r="W549" s="6">
        <f t="shared" si="52"/>
        <v>160.08300000000003</v>
      </c>
      <c r="X549" s="3">
        <v>0.7</v>
      </c>
      <c r="Y549" s="5">
        <f t="shared" si="53"/>
        <v>160.78300000000002</v>
      </c>
    </row>
    <row r="550" spans="1:25" x14ac:dyDescent="0.2">
      <c r="A550" t="s">
        <v>1441</v>
      </c>
      <c r="B550" s="1">
        <v>42112</v>
      </c>
      <c r="C550" s="2" t="str">
        <f t="shared" si="48"/>
        <v>2015</v>
      </c>
      <c r="D550" s="2" t="s">
        <v>633</v>
      </c>
      <c r="E550" s="2" t="s">
        <v>199</v>
      </c>
      <c r="F550" s="2" t="s">
        <v>19</v>
      </c>
      <c r="G550" s="2" t="s">
        <v>20</v>
      </c>
      <c r="H550" s="2" t="s">
        <v>50</v>
      </c>
      <c r="I550" s="2" t="s">
        <v>92</v>
      </c>
      <c r="J550" s="2" t="s">
        <v>30</v>
      </c>
      <c r="K550" s="2" t="s">
        <v>634</v>
      </c>
      <c r="L550" s="2" t="s">
        <v>32</v>
      </c>
      <c r="M550" s="2" t="s">
        <v>26</v>
      </c>
      <c r="N550" s="2" t="s">
        <v>27</v>
      </c>
      <c r="O550" s="1">
        <v>42113</v>
      </c>
      <c r="P550" s="3">
        <v>3.37</v>
      </c>
      <c r="Q550" s="3">
        <v>5.53</v>
      </c>
      <c r="R550" s="3">
        <f t="shared" si="49"/>
        <v>2.16</v>
      </c>
      <c r="S550" s="2">
        <v>30</v>
      </c>
      <c r="T550" s="3">
        <f t="shared" si="50"/>
        <v>165.9</v>
      </c>
      <c r="U550" s="4">
        <v>0.01</v>
      </c>
      <c r="V550" s="6">
        <f t="shared" si="51"/>
        <v>1.659</v>
      </c>
      <c r="W550" s="6">
        <f t="shared" si="52"/>
        <v>164.24100000000001</v>
      </c>
      <c r="X550" s="3">
        <v>6.98</v>
      </c>
      <c r="Y550" s="5">
        <f t="shared" si="53"/>
        <v>171.221</v>
      </c>
    </row>
    <row r="551" spans="1:25" x14ac:dyDescent="0.2">
      <c r="A551" t="s">
        <v>1442</v>
      </c>
      <c r="B551" s="1">
        <v>42112</v>
      </c>
      <c r="C551" s="2" t="str">
        <f t="shared" si="48"/>
        <v>2015</v>
      </c>
      <c r="D551" s="2" t="s">
        <v>635</v>
      </c>
      <c r="E551" s="2" t="s">
        <v>1921</v>
      </c>
      <c r="F551" s="2" t="s">
        <v>19</v>
      </c>
      <c r="G551" s="2" t="s">
        <v>20</v>
      </c>
      <c r="H551" s="2" t="s">
        <v>50</v>
      </c>
      <c r="I551" s="2" t="s">
        <v>22</v>
      </c>
      <c r="J551" s="2" t="s">
        <v>30</v>
      </c>
      <c r="K551" s="2" t="s">
        <v>634</v>
      </c>
      <c r="L551" s="2" t="s">
        <v>32</v>
      </c>
      <c r="M551" s="2" t="s">
        <v>26</v>
      </c>
      <c r="N551" s="2" t="s">
        <v>27</v>
      </c>
      <c r="O551" s="1">
        <v>42113</v>
      </c>
      <c r="P551" s="3">
        <v>3.37</v>
      </c>
      <c r="Q551" s="3">
        <v>5.53</v>
      </c>
      <c r="R551" s="3">
        <f t="shared" si="49"/>
        <v>2.16</v>
      </c>
      <c r="S551" s="2">
        <v>27</v>
      </c>
      <c r="T551" s="3">
        <f t="shared" si="50"/>
        <v>149.31</v>
      </c>
      <c r="U551" s="4">
        <v>0.04</v>
      </c>
      <c r="V551" s="6">
        <f t="shared" si="51"/>
        <v>5.9724000000000004</v>
      </c>
      <c r="W551" s="6">
        <f t="shared" si="52"/>
        <v>143.33760000000001</v>
      </c>
      <c r="X551" s="3">
        <v>6.98</v>
      </c>
      <c r="Y551" s="5">
        <f t="shared" si="53"/>
        <v>150.3176</v>
      </c>
    </row>
    <row r="552" spans="1:25" x14ac:dyDescent="0.2">
      <c r="A552" t="s">
        <v>1443</v>
      </c>
      <c r="B552" s="1">
        <v>42112</v>
      </c>
      <c r="C552" s="2" t="str">
        <f t="shared" si="48"/>
        <v>2015</v>
      </c>
      <c r="D552" s="2" t="s">
        <v>636</v>
      </c>
      <c r="E552" s="2" t="s">
        <v>600</v>
      </c>
      <c r="F552" s="2" t="s">
        <v>36</v>
      </c>
      <c r="G552" s="2" t="s">
        <v>37</v>
      </c>
      <c r="H552" s="2" t="s">
        <v>42</v>
      </c>
      <c r="I552" s="2" t="s">
        <v>142</v>
      </c>
      <c r="J552" s="2" t="s">
        <v>30</v>
      </c>
      <c r="K552" s="2" t="s">
        <v>72</v>
      </c>
      <c r="L552" s="2" t="s">
        <v>32</v>
      </c>
      <c r="M552" s="2" t="s">
        <v>26</v>
      </c>
      <c r="N552" s="2" t="s">
        <v>27</v>
      </c>
      <c r="O552" s="1">
        <v>42112</v>
      </c>
      <c r="P552" s="3">
        <v>3.5</v>
      </c>
      <c r="Q552" s="3">
        <v>5.74</v>
      </c>
      <c r="R552" s="3">
        <f t="shared" si="49"/>
        <v>2.2400000000000002</v>
      </c>
      <c r="S552" s="2">
        <v>23</v>
      </c>
      <c r="T552" s="3">
        <f t="shared" si="50"/>
        <v>132.02000000000001</v>
      </c>
      <c r="U552" s="4">
        <v>0.06</v>
      </c>
      <c r="V552" s="6">
        <f t="shared" si="51"/>
        <v>7.9212000000000007</v>
      </c>
      <c r="W552" s="6">
        <f t="shared" si="52"/>
        <v>124.09880000000001</v>
      </c>
      <c r="X552" s="3">
        <v>5.01</v>
      </c>
      <c r="Y552" s="5">
        <f t="shared" si="53"/>
        <v>129.1088</v>
      </c>
    </row>
    <row r="553" spans="1:25" x14ac:dyDescent="0.2">
      <c r="A553" t="s">
        <v>1444</v>
      </c>
      <c r="B553" s="1">
        <v>42113</v>
      </c>
      <c r="C553" s="2" t="str">
        <f t="shared" si="48"/>
        <v>2015</v>
      </c>
      <c r="D553" s="2" t="s">
        <v>392</v>
      </c>
      <c r="E553" s="2" t="s">
        <v>1902</v>
      </c>
      <c r="F553" s="2" t="s">
        <v>1881</v>
      </c>
      <c r="G553" s="2" t="s">
        <v>1882</v>
      </c>
      <c r="H553" s="2" t="s">
        <v>50</v>
      </c>
      <c r="I553" s="2" t="s">
        <v>51</v>
      </c>
      <c r="J553" s="2" t="s">
        <v>52</v>
      </c>
      <c r="K553" s="2" t="s">
        <v>24</v>
      </c>
      <c r="L553" s="2" t="s">
        <v>25</v>
      </c>
      <c r="M553" s="2" t="s">
        <v>26</v>
      </c>
      <c r="N553" s="2" t="s">
        <v>89</v>
      </c>
      <c r="O553" s="1">
        <v>42113</v>
      </c>
      <c r="P553" s="3">
        <v>6.39</v>
      </c>
      <c r="Q553" s="3">
        <v>19.98</v>
      </c>
      <c r="R553" s="3">
        <f t="shared" si="49"/>
        <v>13.59</v>
      </c>
      <c r="S553" s="2">
        <v>6</v>
      </c>
      <c r="T553" s="3">
        <f t="shared" si="50"/>
        <v>119.88</v>
      </c>
      <c r="U553" s="4">
        <v>0.08</v>
      </c>
      <c r="V553" s="6">
        <f t="shared" si="51"/>
        <v>9.5904000000000007</v>
      </c>
      <c r="W553" s="6">
        <f t="shared" si="52"/>
        <v>110.28959999999999</v>
      </c>
      <c r="X553" s="3">
        <v>4</v>
      </c>
      <c r="Y553" s="5">
        <f t="shared" si="53"/>
        <v>114.28959999999999</v>
      </c>
    </row>
    <row r="554" spans="1:25" x14ac:dyDescent="0.2">
      <c r="A554" t="s">
        <v>1445</v>
      </c>
      <c r="B554" s="1">
        <v>42114</v>
      </c>
      <c r="C554" s="2" t="str">
        <f t="shared" si="48"/>
        <v>2015</v>
      </c>
      <c r="D554" s="2" t="s">
        <v>632</v>
      </c>
      <c r="E554" s="2" t="s">
        <v>1920</v>
      </c>
      <c r="F554" s="2" t="s">
        <v>36</v>
      </c>
      <c r="G554" s="2" t="s">
        <v>37</v>
      </c>
      <c r="H554" s="2" t="s">
        <v>50</v>
      </c>
      <c r="I554" s="2" t="s">
        <v>75</v>
      </c>
      <c r="J554" s="2" t="s">
        <v>44</v>
      </c>
      <c r="K554" s="2" t="s">
        <v>459</v>
      </c>
      <c r="L554" s="2" t="s">
        <v>32</v>
      </c>
      <c r="M554" s="2" t="s">
        <v>33</v>
      </c>
      <c r="N554" s="2" t="s">
        <v>89</v>
      </c>
      <c r="O554" s="1">
        <v>42116</v>
      </c>
      <c r="P554" s="3">
        <v>2.98</v>
      </c>
      <c r="Q554" s="3">
        <v>5.84</v>
      </c>
      <c r="R554" s="3">
        <f t="shared" si="49"/>
        <v>2.86</v>
      </c>
      <c r="S554" s="2">
        <v>12</v>
      </c>
      <c r="T554" s="3">
        <f t="shared" si="50"/>
        <v>70.08</v>
      </c>
      <c r="U554" s="4">
        <v>0.02</v>
      </c>
      <c r="V554" s="6">
        <f t="shared" si="51"/>
        <v>1.4016</v>
      </c>
      <c r="W554" s="6">
        <f t="shared" si="52"/>
        <v>68.678399999999996</v>
      </c>
      <c r="X554" s="3">
        <v>0.83</v>
      </c>
      <c r="Y554" s="5">
        <f t="shared" si="53"/>
        <v>69.508399999999995</v>
      </c>
    </row>
    <row r="555" spans="1:25" x14ac:dyDescent="0.2">
      <c r="A555" t="s">
        <v>1446</v>
      </c>
      <c r="B555" s="1">
        <v>42117</v>
      </c>
      <c r="C555" s="2" t="str">
        <f t="shared" si="48"/>
        <v>2015</v>
      </c>
      <c r="D555" s="2" t="s">
        <v>631</v>
      </c>
      <c r="E555" s="2" t="s">
        <v>182</v>
      </c>
      <c r="F555" s="2" t="s">
        <v>36</v>
      </c>
      <c r="G555" s="2" t="s">
        <v>37</v>
      </c>
      <c r="H555" s="2" t="s">
        <v>42</v>
      </c>
      <c r="I555" s="2" t="s">
        <v>96</v>
      </c>
      <c r="J555" s="2" t="s">
        <v>44</v>
      </c>
      <c r="K555" s="2" t="s">
        <v>322</v>
      </c>
      <c r="L555" s="2" t="s">
        <v>25</v>
      </c>
      <c r="M555" s="2" t="s">
        <v>261</v>
      </c>
      <c r="N555" s="2" t="s">
        <v>27</v>
      </c>
      <c r="O555" s="1">
        <v>42117</v>
      </c>
      <c r="P555" s="3">
        <v>377.99</v>
      </c>
      <c r="Q555" s="3">
        <v>599.99</v>
      </c>
      <c r="R555" s="3">
        <f t="shared" si="49"/>
        <v>222</v>
      </c>
      <c r="S555" s="2">
        <v>50</v>
      </c>
      <c r="T555" s="3">
        <f t="shared" si="50"/>
        <v>29999.5</v>
      </c>
      <c r="U555" s="4">
        <v>0.09</v>
      </c>
      <c r="V555" s="6">
        <f t="shared" si="51"/>
        <v>2699.9549999999999</v>
      </c>
      <c r="W555" s="6">
        <f t="shared" si="52"/>
        <v>27299.544999999998</v>
      </c>
      <c r="X555" s="3">
        <v>24.49</v>
      </c>
      <c r="Y555" s="5">
        <f t="shared" si="53"/>
        <v>27324.035</v>
      </c>
    </row>
    <row r="556" spans="1:25" x14ac:dyDescent="0.2">
      <c r="A556" t="s">
        <v>1447</v>
      </c>
      <c r="B556" s="1">
        <v>42118</v>
      </c>
      <c r="C556" s="2" t="str">
        <f t="shared" si="48"/>
        <v>2015</v>
      </c>
      <c r="D556" s="2" t="s">
        <v>629</v>
      </c>
      <c r="E556" s="2" t="s">
        <v>373</v>
      </c>
      <c r="F556" s="2" t="s">
        <v>36</v>
      </c>
      <c r="G556" s="2" t="s">
        <v>37</v>
      </c>
      <c r="H556" s="2" t="s">
        <v>50</v>
      </c>
      <c r="I556" s="2" t="s">
        <v>51</v>
      </c>
      <c r="J556" s="2" t="s">
        <v>23</v>
      </c>
      <c r="K556" s="2" t="s">
        <v>630</v>
      </c>
      <c r="L556" s="2" t="s">
        <v>32</v>
      </c>
      <c r="M556" s="2" t="s">
        <v>33</v>
      </c>
      <c r="N556" s="2" t="s">
        <v>27</v>
      </c>
      <c r="O556" s="1">
        <v>42118</v>
      </c>
      <c r="P556" s="3">
        <v>1.76</v>
      </c>
      <c r="Q556" s="3">
        <v>3.38</v>
      </c>
      <c r="R556" s="3">
        <f t="shared" si="49"/>
        <v>1.6199999999999999</v>
      </c>
      <c r="S556" s="2">
        <v>31</v>
      </c>
      <c r="T556" s="3">
        <f t="shared" si="50"/>
        <v>104.78</v>
      </c>
      <c r="U556" s="4">
        <v>0.04</v>
      </c>
      <c r="V556" s="6">
        <f t="shared" si="51"/>
        <v>4.1912000000000003</v>
      </c>
      <c r="W556" s="6">
        <f t="shared" si="52"/>
        <v>100.58880000000001</v>
      </c>
      <c r="X556" s="3">
        <v>0.85</v>
      </c>
      <c r="Y556" s="5">
        <f t="shared" si="53"/>
        <v>101.4388</v>
      </c>
    </row>
    <row r="557" spans="1:25" x14ac:dyDescent="0.2">
      <c r="A557" t="s">
        <v>904</v>
      </c>
      <c r="B557" s="1">
        <v>42119</v>
      </c>
      <c r="C557" s="2" t="str">
        <f t="shared" si="48"/>
        <v>2015</v>
      </c>
      <c r="D557" s="2" t="s">
        <v>627</v>
      </c>
      <c r="E557" s="2" t="s">
        <v>246</v>
      </c>
      <c r="F557" s="2" t="s">
        <v>19</v>
      </c>
      <c r="G557" s="2" t="s">
        <v>20</v>
      </c>
      <c r="H557" s="2" t="s">
        <v>42</v>
      </c>
      <c r="I557" s="2" t="s">
        <v>22</v>
      </c>
      <c r="J557" s="2" t="s">
        <v>66</v>
      </c>
      <c r="K557" s="2" t="s">
        <v>155</v>
      </c>
      <c r="L557" s="2" t="s">
        <v>32</v>
      </c>
      <c r="M557" s="2" t="s">
        <v>33</v>
      </c>
      <c r="N557" s="2" t="s">
        <v>27</v>
      </c>
      <c r="O557" s="1">
        <v>42120</v>
      </c>
      <c r="P557" s="3">
        <v>0.24</v>
      </c>
      <c r="Q557" s="3">
        <v>1.26</v>
      </c>
      <c r="R557" s="3">
        <f t="shared" si="49"/>
        <v>1.02</v>
      </c>
      <c r="S557" s="2">
        <v>35</v>
      </c>
      <c r="T557" s="3">
        <f t="shared" si="50"/>
        <v>44.1</v>
      </c>
      <c r="U557" s="4">
        <v>0.1</v>
      </c>
      <c r="V557" s="6">
        <f t="shared" si="51"/>
        <v>4.41</v>
      </c>
      <c r="W557" s="6">
        <f t="shared" si="52"/>
        <v>39.69</v>
      </c>
      <c r="X557" s="3">
        <v>0.7</v>
      </c>
      <c r="Y557" s="5">
        <f t="shared" si="53"/>
        <v>40.39</v>
      </c>
    </row>
    <row r="558" spans="1:25" x14ac:dyDescent="0.2">
      <c r="A558" t="s">
        <v>905</v>
      </c>
      <c r="B558" s="1">
        <v>42119</v>
      </c>
      <c r="C558" s="2" t="str">
        <f t="shared" si="48"/>
        <v>2015</v>
      </c>
      <c r="D558" s="2" t="s">
        <v>627</v>
      </c>
      <c r="E558" s="2" t="s">
        <v>246</v>
      </c>
      <c r="F558" s="2" t="s">
        <v>19</v>
      </c>
      <c r="G558" s="2" t="s">
        <v>20</v>
      </c>
      <c r="H558" s="2" t="s">
        <v>42</v>
      </c>
      <c r="I558" s="2" t="s">
        <v>22</v>
      </c>
      <c r="J558" s="2" t="s">
        <v>66</v>
      </c>
      <c r="K558" s="2" t="s">
        <v>157</v>
      </c>
      <c r="L558" s="2" t="s">
        <v>32</v>
      </c>
      <c r="M558" s="2" t="s">
        <v>33</v>
      </c>
      <c r="N558" s="2" t="s">
        <v>27</v>
      </c>
      <c r="O558" s="1">
        <v>42121</v>
      </c>
      <c r="P558" s="3">
        <v>2.39</v>
      </c>
      <c r="Q558" s="3">
        <v>4.26</v>
      </c>
      <c r="R558" s="3">
        <f t="shared" si="49"/>
        <v>1.8699999999999997</v>
      </c>
      <c r="S558" s="2">
        <v>8</v>
      </c>
      <c r="T558" s="3">
        <f t="shared" si="50"/>
        <v>34.08</v>
      </c>
      <c r="U558" s="4">
        <v>0.1</v>
      </c>
      <c r="V558" s="6">
        <f t="shared" si="51"/>
        <v>3.4079999999999999</v>
      </c>
      <c r="W558" s="6">
        <f t="shared" si="52"/>
        <v>30.671999999999997</v>
      </c>
      <c r="X558" s="3">
        <v>1.2</v>
      </c>
      <c r="Y558" s="5">
        <f t="shared" si="53"/>
        <v>31.871999999999996</v>
      </c>
    </row>
    <row r="559" spans="1:25" x14ac:dyDescent="0.2">
      <c r="A559" t="s">
        <v>1448</v>
      </c>
      <c r="B559" s="1">
        <v>42119</v>
      </c>
      <c r="C559" s="2" t="str">
        <f t="shared" si="48"/>
        <v>2015</v>
      </c>
      <c r="D559" s="2" t="s">
        <v>628</v>
      </c>
      <c r="E559" s="2" t="s">
        <v>246</v>
      </c>
      <c r="F559" s="2" t="s">
        <v>19</v>
      </c>
      <c r="G559" s="2" t="s">
        <v>20</v>
      </c>
      <c r="H559" s="2" t="s">
        <v>42</v>
      </c>
      <c r="I559" s="2" t="s">
        <v>22</v>
      </c>
      <c r="J559" s="2" t="s">
        <v>66</v>
      </c>
      <c r="K559" s="2" t="s">
        <v>186</v>
      </c>
      <c r="L559" s="2" t="s">
        <v>25</v>
      </c>
      <c r="M559" s="2" t="s">
        <v>261</v>
      </c>
      <c r="N559" s="2" t="s">
        <v>27</v>
      </c>
      <c r="O559" s="1">
        <v>42121</v>
      </c>
      <c r="P559" s="3">
        <v>216</v>
      </c>
      <c r="Q559" s="3">
        <v>449.99</v>
      </c>
      <c r="R559" s="3">
        <f t="shared" si="49"/>
        <v>233.99</v>
      </c>
      <c r="S559" s="2">
        <v>2</v>
      </c>
      <c r="T559" s="3">
        <f t="shared" si="50"/>
        <v>899.98</v>
      </c>
      <c r="U559" s="4">
        <v>0.08</v>
      </c>
      <c r="V559" s="6">
        <f t="shared" si="51"/>
        <v>71.998400000000004</v>
      </c>
      <c r="W559" s="6">
        <f t="shared" si="52"/>
        <v>827.98160000000007</v>
      </c>
      <c r="X559" s="3">
        <v>24.49</v>
      </c>
      <c r="Y559" s="5">
        <f t="shared" si="53"/>
        <v>852.47160000000008</v>
      </c>
    </row>
    <row r="560" spans="1:25" x14ac:dyDescent="0.2">
      <c r="A560" s="12" t="s">
        <v>1938</v>
      </c>
      <c r="B560" s="1">
        <v>42120</v>
      </c>
      <c r="C560" s="2" t="str">
        <f t="shared" si="48"/>
        <v>2015</v>
      </c>
      <c r="D560" s="2" t="s">
        <v>608</v>
      </c>
      <c r="E560" t="s">
        <v>1901</v>
      </c>
      <c r="F560" s="2" t="s">
        <v>1881</v>
      </c>
      <c r="G560" s="2" t="s">
        <v>1882</v>
      </c>
      <c r="H560" s="2" t="s">
        <v>50</v>
      </c>
      <c r="I560" s="2" t="s">
        <v>75</v>
      </c>
      <c r="J560" s="2" t="s">
        <v>66</v>
      </c>
      <c r="K560" s="2" t="s">
        <v>84</v>
      </c>
      <c r="L560" s="2" t="s">
        <v>25</v>
      </c>
      <c r="M560" s="2" t="s">
        <v>85</v>
      </c>
      <c r="N560" s="2" t="s">
        <v>27</v>
      </c>
      <c r="O560" s="1">
        <v>42120</v>
      </c>
      <c r="P560" s="3">
        <v>8.82</v>
      </c>
      <c r="Q560" s="3">
        <v>20.99</v>
      </c>
      <c r="R560" s="3">
        <f t="shared" si="49"/>
        <v>12.169999999999998</v>
      </c>
      <c r="S560" s="2">
        <v>19</v>
      </c>
      <c r="T560" s="3">
        <f t="shared" si="50"/>
        <v>398.80999999999995</v>
      </c>
      <c r="U560" s="4">
        <v>0.01</v>
      </c>
      <c r="V560" s="6">
        <f t="shared" si="51"/>
        <v>3.9880999999999998</v>
      </c>
      <c r="W560" s="6">
        <f t="shared" si="52"/>
        <v>394.82189999999997</v>
      </c>
      <c r="X560" s="3">
        <v>4.8099999999999996</v>
      </c>
      <c r="Y560" s="5">
        <f t="shared" si="53"/>
        <v>399.63189999999997</v>
      </c>
    </row>
    <row r="561" spans="1:25" x14ac:dyDescent="0.2">
      <c r="A561" t="s">
        <v>1449</v>
      </c>
      <c r="B561" s="1">
        <v>42120</v>
      </c>
      <c r="C561" s="2" t="str">
        <f t="shared" si="48"/>
        <v>2015</v>
      </c>
      <c r="D561" s="2" t="s">
        <v>571</v>
      </c>
      <c r="E561" s="2" t="s">
        <v>91</v>
      </c>
      <c r="F561" s="2" t="s">
        <v>19</v>
      </c>
      <c r="G561" s="2" t="s">
        <v>20</v>
      </c>
      <c r="H561" s="2" t="s">
        <v>21</v>
      </c>
      <c r="I561" s="2" t="s">
        <v>92</v>
      </c>
      <c r="J561" s="2" t="s">
        <v>66</v>
      </c>
      <c r="K561" s="2" t="s">
        <v>287</v>
      </c>
      <c r="L561" s="2" t="s">
        <v>32</v>
      </c>
      <c r="M561" s="2" t="s">
        <v>26</v>
      </c>
      <c r="N561" s="2" t="s">
        <v>27</v>
      </c>
      <c r="O561" s="1">
        <v>42122</v>
      </c>
      <c r="P561" s="3">
        <v>13.88</v>
      </c>
      <c r="Q561" s="3">
        <v>22.38</v>
      </c>
      <c r="R561" s="3">
        <f t="shared" si="49"/>
        <v>8.4999999999999982</v>
      </c>
      <c r="S561" s="2">
        <v>6</v>
      </c>
      <c r="T561" s="3">
        <f t="shared" si="50"/>
        <v>134.28</v>
      </c>
      <c r="U561" s="4">
        <v>0</v>
      </c>
      <c r="V561" s="6">
        <f t="shared" si="51"/>
        <v>0</v>
      </c>
      <c r="W561" s="6">
        <f t="shared" si="52"/>
        <v>134.28</v>
      </c>
      <c r="X561" s="3">
        <v>15.1</v>
      </c>
      <c r="Y561" s="5">
        <f t="shared" si="53"/>
        <v>149.38</v>
      </c>
    </row>
    <row r="562" spans="1:25" x14ac:dyDescent="0.2">
      <c r="A562" t="s">
        <v>1450</v>
      </c>
      <c r="B562" s="1">
        <v>42122</v>
      </c>
      <c r="C562" s="2" t="str">
        <f t="shared" si="48"/>
        <v>2015</v>
      </c>
      <c r="D562" s="2" t="s">
        <v>626</v>
      </c>
      <c r="E562" s="2" t="s">
        <v>46</v>
      </c>
      <c r="F562" s="2" t="s">
        <v>19</v>
      </c>
      <c r="G562" s="2" t="s">
        <v>20</v>
      </c>
      <c r="H562" s="2" t="s">
        <v>21</v>
      </c>
      <c r="I562" s="2" t="s">
        <v>22</v>
      </c>
      <c r="J562" s="2" t="s">
        <v>23</v>
      </c>
      <c r="K562" s="2" t="s">
        <v>241</v>
      </c>
      <c r="L562" s="2" t="s">
        <v>32</v>
      </c>
      <c r="M562" s="2" t="s">
        <v>26</v>
      </c>
      <c r="N562" s="2" t="s">
        <v>89</v>
      </c>
      <c r="O562" s="1">
        <v>42124</v>
      </c>
      <c r="P562" s="3">
        <v>3.65</v>
      </c>
      <c r="Q562" s="3">
        <v>5.98</v>
      </c>
      <c r="R562" s="3">
        <f t="shared" si="49"/>
        <v>2.3300000000000005</v>
      </c>
      <c r="S562" s="2">
        <v>50</v>
      </c>
      <c r="T562" s="3">
        <f t="shared" si="50"/>
        <v>299</v>
      </c>
      <c r="U562" s="4">
        <v>0.09</v>
      </c>
      <c r="V562" s="6">
        <f t="shared" si="51"/>
        <v>26.91</v>
      </c>
      <c r="W562" s="6">
        <f t="shared" si="52"/>
        <v>272.08999999999997</v>
      </c>
      <c r="X562" s="3">
        <v>1.49</v>
      </c>
      <c r="Y562" s="5">
        <f t="shared" si="53"/>
        <v>273.58</v>
      </c>
    </row>
    <row r="563" spans="1:25" x14ac:dyDescent="0.2">
      <c r="A563" t="s">
        <v>1451</v>
      </c>
      <c r="B563" s="1">
        <v>42122</v>
      </c>
      <c r="C563" s="2" t="str">
        <f t="shared" si="48"/>
        <v>2015</v>
      </c>
      <c r="D563" s="2" t="s">
        <v>519</v>
      </c>
      <c r="E563" s="2" t="s">
        <v>18</v>
      </c>
      <c r="F563" s="2" t="s">
        <v>19</v>
      </c>
      <c r="G563" s="2" t="s">
        <v>20</v>
      </c>
      <c r="H563" s="2" t="s">
        <v>50</v>
      </c>
      <c r="I563" s="2" t="s">
        <v>22</v>
      </c>
      <c r="J563" s="2" t="s">
        <v>52</v>
      </c>
      <c r="K563" s="2" t="s">
        <v>536</v>
      </c>
      <c r="L563" s="2" t="s">
        <v>25</v>
      </c>
      <c r="M563" s="2" t="s">
        <v>62</v>
      </c>
      <c r="N563" s="2" t="s">
        <v>63</v>
      </c>
      <c r="O563" s="1">
        <v>42125</v>
      </c>
      <c r="P563" s="3">
        <v>315.61</v>
      </c>
      <c r="Q563" s="3">
        <v>500.97</v>
      </c>
      <c r="R563" s="3">
        <f t="shared" si="49"/>
        <v>185.36</v>
      </c>
      <c r="S563" s="2">
        <v>44</v>
      </c>
      <c r="T563" s="3">
        <f t="shared" si="50"/>
        <v>22042.68</v>
      </c>
      <c r="U563" s="4">
        <v>0.09</v>
      </c>
      <c r="V563" s="6">
        <f t="shared" si="51"/>
        <v>1983.8411999999998</v>
      </c>
      <c r="W563" s="6">
        <f t="shared" si="52"/>
        <v>20058.838800000001</v>
      </c>
      <c r="X563" s="3">
        <v>69.3</v>
      </c>
      <c r="Y563" s="5">
        <f t="shared" si="53"/>
        <v>20128.138800000001</v>
      </c>
    </row>
    <row r="564" spans="1:25" x14ac:dyDescent="0.2">
      <c r="A564" t="s">
        <v>1452</v>
      </c>
      <c r="B564" s="1">
        <v>42123</v>
      </c>
      <c r="C564" s="2" t="str">
        <f t="shared" si="48"/>
        <v>2015</v>
      </c>
      <c r="D564" s="2" t="s">
        <v>267</v>
      </c>
      <c r="E564" s="2" t="s">
        <v>1892</v>
      </c>
      <c r="F564" s="2" t="s">
        <v>1881</v>
      </c>
      <c r="G564" s="2" t="s">
        <v>1882</v>
      </c>
      <c r="H564" s="2" t="s">
        <v>50</v>
      </c>
      <c r="I564" s="2" t="s">
        <v>51</v>
      </c>
      <c r="J564" s="2" t="s">
        <v>23</v>
      </c>
      <c r="K564" s="2" t="s">
        <v>108</v>
      </c>
      <c r="L564" s="2" t="s">
        <v>32</v>
      </c>
      <c r="M564" s="2" t="s">
        <v>26</v>
      </c>
      <c r="N564" s="2" t="s">
        <v>27</v>
      </c>
      <c r="O564" s="1">
        <v>42128</v>
      </c>
      <c r="P564" s="3">
        <v>1.84</v>
      </c>
      <c r="Q564" s="3">
        <v>2.88</v>
      </c>
      <c r="R564" s="3">
        <f t="shared" si="49"/>
        <v>1.0399999999999998</v>
      </c>
      <c r="S564" s="2">
        <v>29</v>
      </c>
      <c r="T564" s="3">
        <f t="shared" si="50"/>
        <v>83.52</v>
      </c>
      <c r="U564" s="4">
        <v>0.03</v>
      </c>
      <c r="V564" s="6">
        <f t="shared" si="51"/>
        <v>2.5055999999999998</v>
      </c>
      <c r="W564" s="6">
        <f t="shared" si="52"/>
        <v>81.014399999999995</v>
      </c>
      <c r="X564" s="3">
        <v>0.99</v>
      </c>
      <c r="Y564" s="5">
        <f t="shared" si="53"/>
        <v>82.00439999999999</v>
      </c>
    </row>
    <row r="565" spans="1:25" x14ac:dyDescent="0.2">
      <c r="A565" t="s">
        <v>1453</v>
      </c>
      <c r="B565" s="1">
        <v>42124</v>
      </c>
      <c r="C565" s="2" t="str">
        <f t="shared" si="48"/>
        <v>2015</v>
      </c>
      <c r="D565" s="2" t="s">
        <v>625</v>
      </c>
      <c r="E565" s="2" t="s">
        <v>199</v>
      </c>
      <c r="F565" s="2" t="s">
        <v>19</v>
      </c>
      <c r="G565" s="2" t="s">
        <v>20</v>
      </c>
      <c r="H565" s="2" t="s">
        <v>29</v>
      </c>
      <c r="I565" s="2" t="s">
        <v>92</v>
      </c>
      <c r="J565" s="2" t="s">
        <v>44</v>
      </c>
      <c r="K565" s="2" t="s">
        <v>103</v>
      </c>
      <c r="L565" s="2" t="s">
        <v>32</v>
      </c>
      <c r="M565" s="2" t="s">
        <v>26</v>
      </c>
      <c r="N565" s="2" t="s">
        <v>27</v>
      </c>
      <c r="O565" s="1">
        <v>42126</v>
      </c>
      <c r="P565" s="3">
        <v>2.2599999999999998</v>
      </c>
      <c r="Q565" s="3">
        <v>3.58</v>
      </c>
      <c r="R565" s="3">
        <f t="shared" si="49"/>
        <v>1.3200000000000003</v>
      </c>
      <c r="S565" s="2">
        <v>7</v>
      </c>
      <c r="T565" s="3">
        <f t="shared" si="50"/>
        <v>25.060000000000002</v>
      </c>
      <c r="U565" s="4">
        <v>0.09</v>
      </c>
      <c r="V565" s="6">
        <f t="shared" si="51"/>
        <v>2.2554000000000003</v>
      </c>
      <c r="W565" s="6">
        <f t="shared" si="52"/>
        <v>22.804600000000001</v>
      </c>
      <c r="X565" s="3">
        <v>5.47</v>
      </c>
      <c r="Y565" s="5">
        <f t="shared" si="53"/>
        <v>28.2746</v>
      </c>
    </row>
    <row r="566" spans="1:25" x14ac:dyDescent="0.2">
      <c r="A566" t="s">
        <v>1454</v>
      </c>
      <c r="B566" s="1">
        <v>42125</v>
      </c>
      <c r="C566" s="2" t="str">
        <f t="shared" si="48"/>
        <v>2015</v>
      </c>
      <c r="D566" s="2" t="s">
        <v>624</v>
      </c>
      <c r="E566" s="2" t="s">
        <v>225</v>
      </c>
      <c r="F566" s="2" t="s">
        <v>36</v>
      </c>
      <c r="G566" s="2" t="s">
        <v>37</v>
      </c>
      <c r="H566" s="2" t="s">
        <v>42</v>
      </c>
      <c r="I566" s="2" t="s">
        <v>43</v>
      </c>
      <c r="J566" s="2" t="s">
        <v>52</v>
      </c>
      <c r="K566" s="2" t="s">
        <v>308</v>
      </c>
      <c r="L566" s="2" t="s">
        <v>32</v>
      </c>
      <c r="M566" s="2" t="s">
        <v>26</v>
      </c>
      <c r="N566" s="2" t="s">
        <v>27</v>
      </c>
      <c r="O566" s="1">
        <v>42126</v>
      </c>
      <c r="P566" s="3">
        <v>4.03</v>
      </c>
      <c r="Q566" s="3">
        <v>9.3800000000000008</v>
      </c>
      <c r="R566" s="3">
        <f t="shared" si="49"/>
        <v>5.3500000000000005</v>
      </c>
      <c r="S566" s="2">
        <v>31</v>
      </c>
      <c r="T566" s="3">
        <f t="shared" si="50"/>
        <v>290.78000000000003</v>
      </c>
      <c r="U566" s="4">
        <v>0.08</v>
      </c>
      <c r="V566" s="6">
        <f t="shared" si="51"/>
        <v>23.262400000000003</v>
      </c>
      <c r="W566" s="6">
        <f t="shared" si="52"/>
        <v>267.51760000000002</v>
      </c>
      <c r="X566" s="3">
        <v>7.28</v>
      </c>
      <c r="Y566" s="5">
        <f t="shared" si="53"/>
        <v>274.79759999999999</v>
      </c>
    </row>
    <row r="567" spans="1:25" x14ac:dyDescent="0.2">
      <c r="A567" t="s">
        <v>1455</v>
      </c>
      <c r="B567" s="1">
        <v>42126</v>
      </c>
      <c r="C567" s="2" t="str">
        <f t="shared" si="48"/>
        <v>2015</v>
      </c>
      <c r="D567" s="2" t="s">
        <v>622</v>
      </c>
      <c r="E567" s="2" t="s">
        <v>179</v>
      </c>
      <c r="F567" s="2" t="s">
        <v>36</v>
      </c>
      <c r="G567" s="2" t="s">
        <v>37</v>
      </c>
      <c r="H567" s="2" t="s">
        <v>21</v>
      </c>
      <c r="I567" s="2" t="s">
        <v>83</v>
      </c>
      <c r="J567" s="2" t="s">
        <v>66</v>
      </c>
      <c r="K567" s="2" t="s">
        <v>623</v>
      </c>
      <c r="L567" s="2" t="s">
        <v>32</v>
      </c>
      <c r="M567" s="2" t="s">
        <v>58</v>
      </c>
      <c r="N567" s="2" t="s">
        <v>27</v>
      </c>
      <c r="O567" s="1">
        <v>42127</v>
      </c>
      <c r="P567" s="3">
        <v>3.42</v>
      </c>
      <c r="Q567" s="3">
        <v>8.34</v>
      </c>
      <c r="R567" s="3">
        <f t="shared" si="49"/>
        <v>4.92</v>
      </c>
      <c r="S567" s="2">
        <v>21</v>
      </c>
      <c r="T567" s="3">
        <f t="shared" si="50"/>
        <v>175.14</v>
      </c>
      <c r="U567" s="4">
        <v>0.03</v>
      </c>
      <c r="V567" s="6">
        <f t="shared" si="51"/>
        <v>5.2541999999999991</v>
      </c>
      <c r="W567" s="6">
        <f t="shared" si="52"/>
        <v>169.88579999999999</v>
      </c>
      <c r="X567" s="3">
        <v>2.64</v>
      </c>
      <c r="Y567" s="5">
        <f t="shared" si="53"/>
        <v>172.52579999999998</v>
      </c>
    </row>
    <row r="568" spans="1:25" x14ac:dyDescent="0.2">
      <c r="A568" t="s">
        <v>1456</v>
      </c>
      <c r="B568" s="1">
        <v>42127</v>
      </c>
      <c r="C568" s="2" t="str">
        <f t="shared" si="48"/>
        <v>2015</v>
      </c>
      <c r="D568" s="2" t="s">
        <v>621</v>
      </c>
      <c r="E568" s="2" t="s">
        <v>91</v>
      </c>
      <c r="F568" s="2" t="s">
        <v>19</v>
      </c>
      <c r="G568" s="2" t="s">
        <v>20</v>
      </c>
      <c r="H568" s="2" t="s">
        <v>50</v>
      </c>
      <c r="I568" s="2" t="s">
        <v>22</v>
      </c>
      <c r="J568" s="2" t="s">
        <v>66</v>
      </c>
      <c r="K568" s="2" t="s">
        <v>128</v>
      </c>
      <c r="L568" s="2" t="s">
        <v>25</v>
      </c>
      <c r="M568" s="2" t="s">
        <v>26</v>
      </c>
      <c r="N568" s="2" t="s">
        <v>27</v>
      </c>
      <c r="O568" s="1">
        <v>42129</v>
      </c>
      <c r="P568" s="3">
        <v>10.07</v>
      </c>
      <c r="Q568" s="3">
        <v>15.98</v>
      </c>
      <c r="R568" s="3">
        <f t="shared" si="49"/>
        <v>5.91</v>
      </c>
      <c r="S568" s="2">
        <v>26</v>
      </c>
      <c r="T568" s="3">
        <f t="shared" si="50"/>
        <v>415.48</v>
      </c>
      <c r="U568" s="4">
        <v>0.03</v>
      </c>
      <c r="V568" s="6">
        <f t="shared" si="51"/>
        <v>12.464399999999999</v>
      </c>
      <c r="W568" s="6">
        <f t="shared" si="52"/>
        <v>403.01560000000001</v>
      </c>
      <c r="X568" s="3">
        <v>4</v>
      </c>
      <c r="Y568" s="5">
        <f t="shared" si="53"/>
        <v>407.01560000000001</v>
      </c>
    </row>
    <row r="569" spans="1:25" x14ac:dyDescent="0.2">
      <c r="A569" t="s">
        <v>1457</v>
      </c>
      <c r="B569" s="1">
        <v>42128</v>
      </c>
      <c r="C569" s="2" t="str">
        <f t="shared" si="48"/>
        <v>2015</v>
      </c>
      <c r="D569" s="2" t="s">
        <v>126</v>
      </c>
      <c r="E569" s="2" t="s">
        <v>127</v>
      </c>
      <c r="F569" s="2" t="s">
        <v>36</v>
      </c>
      <c r="G569" s="2" t="s">
        <v>37</v>
      </c>
      <c r="H569" s="2" t="s">
        <v>50</v>
      </c>
      <c r="I569" s="2" t="s">
        <v>96</v>
      </c>
      <c r="J569" s="2" t="s">
        <v>44</v>
      </c>
      <c r="K569" s="2" t="s">
        <v>408</v>
      </c>
      <c r="L569" s="2" t="s">
        <v>32</v>
      </c>
      <c r="M569" s="2" t="s">
        <v>26</v>
      </c>
      <c r="N569" s="2" t="s">
        <v>27</v>
      </c>
      <c r="O569" s="1">
        <v>42129</v>
      </c>
      <c r="P569" s="3">
        <v>84.22</v>
      </c>
      <c r="Q569" s="3">
        <v>210.55</v>
      </c>
      <c r="R569" s="3">
        <f t="shared" si="49"/>
        <v>126.33000000000001</v>
      </c>
      <c r="S569" s="2">
        <v>18</v>
      </c>
      <c r="T569" s="3">
        <f t="shared" si="50"/>
        <v>3789.9</v>
      </c>
      <c r="U569" s="4">
        <v>0.05</v>
      </c>
      <c r="V569" s="6">
        <f t="shared" si="51"/>
        <v>189.495</v>
      </c>
      <c r="W569" s="6">
        <f t="shared" si="52"/>
        <v>3600.4050000000002</v>
      </c>
      <c r="X569" s="3">
        <v>9.99</v>
      </c>
      <c r="Y569" s="5">
        <f t="shared" si="53"/>
        <v>3610.395</v>
      </c>
    </row>
    <row r="570" spans="1:25" x14ac:dyDescent="0.2">
      <c r="A570" t="s">
        <v>1458</v>
      </c>
      <c r="B570" s="1">
        <v>42130</v>
      </c>
      <c r="C570" s="2" t="str">
        <f t="shared" si="48"/>
        <v>2015</v>
      </c>
      <c r="D570" s="2" t="s">
        <v>620</v>
      </c>
      <c r="E570" s="2" t="s">
        <v>69</v>
      </c>
      <c r="F570" s="2" t="s">
        <v>19</v>
      </c>
      <c r="G570" s="2" t="s">
        <v>20</v>
      </c>
      <c r="H570" s="2" t="s">
        <v>21</v>
      </c>
      <c r="I570" s="2" t="s">
        <v>22</v>
      </c>
      <c r="J570" s="2" t="s">
        <v>23</v>
      </c>
      <c r="K570" s="2" t="s">
        <v>287</v>
      </c>
      <c r="L570" s="2" t="s">
        <v>32</v>
      </c>
      <c r="M570" s="2" t="s">
        <v>26</v>
      </c>
      <c r="N570" s="2" t="s">
        <v>27</v>
      </c>
      <c r="O570" s="1">
        <v>42132</v>
      </c>
      <c r="P570" s="3">
        <v>13.88</v>
      </c>
      <c r="Q570" s="3">
        <v>22.38</v>
      </c>
      <c r="R570" s="3">
        <f t="shared" si="49"/>
        <v>8.4999999999999982</v>
      </c>
      <c r="S570" s="2">
        <v>45</v>
      </c>
      <c r="T570" s="3">
        <f t="shared" si="50"/>
        <v>1007.0999999999999</v>
      </c>
      <c r="U570" s="4">
        <v>0.05</v>
      </c>
      <c r="V570" s="6">
        <f t="shared" si="51"/>
        <v>50.354999999999997</v>
      </c>
      <c r="W570" s="6">
        <f t="shared" si="52"/>
        <v>956.74499999999989</v>
      </c>
      <c r="X570" s="3">
        <v>15.1</v>
      </c>
      <c r="Y570" s="5">
        <f t="shared" si="53"/>
        <v>971.84499999999991</v>
      </c>
    </row>
    <row r="571" spans="1:25" x14ac:dyDescent="0.2">
      <c r="A571" s="12" t="s">
        <v>906</v>
      </c>
      <c r="B571" s="1">
        <v>42134</v>
      </c>
      <c r="C571" s="2" t="str">
        <f t="shared" si="48"/>
        <v>2015</v>
      </c>
      <c r="D571" s="2" t="s">
        <v>608</v>
      </c>
      <c r="E571" t="s">
        <v>1901</v>
      </c>
      <c r="F571" s="2" t="s">
        <v>1881</v>
      </c>
      <c r="G571" s="2" t="s">
        <v>1882</v>
      </c>
      <c r="H571" s="2" t="s">
        <v>50</v>
      </c>
      <c r="I571" s="2" t="s">
        <v>75</v>
      </c>
      <c r="J571" s="2" t="s">
        <v>52</v>
      </c>
      <c r="K571" s="2" t="s">
        <v>174</v>
      </c>
      <c r="L571" s="2" t="s">
        <v>25</v>
      </c>
      <c r="M571" s="2" t="s">
        <v>26</v>
      </c>
      <c r="N571" s="2" t="s">
        <v>27</v>
      </c>
      <c r="O571" s="1">
        <v>42135</v>
      </c>
      <c r="P571" s="3">
        <v>54.52</v>
      </c>
      <c r="Q571" s="3">
        <v>100.97</v>
      </c>
      <c r="R571" s="3">
        <f t="shared" si="49"/>
        <v>46.449999999999996</v>
      </c>
      <c r="S571" s="2">
        <v>15</v>
      </c>
      <c r="T571" s="3">
        <f t="shared" si="50"/>
        <v>1514.55</v>
      </c>
      <c r="U571" s="4">
        <v>0.1</v>
      </c>
      <c r="V571" s="6">
        <f t="shared" si="51"/>
        <v>151.45500000000001</v>
      </c>
      <c r="W571" s="6">
        <f t="shared" si="52"/>
        <v>1363.095</v>
      </c>
      <c r="X571" s="3">
        <v>7.18</v>
      </c>
      <c r="Y571" s="5">
        <f t="shared" si="53"/>
        <v>1370.2750000000001</v>
      </c>
    </row>
    <row r="572" spans="1:25" x14ac:dyDescent="0.2">
      <c r="A572" s="12" t="s">
        <v>1939</v>
      </c>
      <c r="B572" s="1">
        <v>42135</v>
      </c>
      <c r="C572" s="2" t="str">
        <f t="shared" si="48"/>
        <v>2015</v>
      </c>
      <c r="D572" s="2" t="s">
        <v>619</v>
      </c>
      <c r="E572" s="2" t="s">
        <v>1932</v>
      </c>
      <c r="F572" s="2" t="s">
        <v>36</v>
      </c>
      <c r="G572" s="2" t="s">
        <v>37</v>
      </c>
      <c r="H572" s="2" t="s">
        <v>50</v>
      </c>
      <c r="I572" s="2" t="s">
        <v>51</v>
      </c>
      <c r="J572" s="2" t="s">
        <v>30</v>
      </c>
      <c r="K572" s="2" t="s">
        <v>144</v>
      </c>
      <c r="L572" s="2" t="s">
        <v>32</v>
      </c>
      <c r="M572" s="2" t="s">
        <v>58</v>
      </c>
      <c r="N572" s="2" t="s">
        <v>27</v>
      </c>
      <c r="O572" s="1">
        <v>42137</v>
      </c>
      <c r="P572" s="3">
        <v>4.1900000000000004</v>
      </c>
      <c r="Q572" s="3">
        <v>10.23</v>
      </c>
      <c r="R572" s="3">
        <f t="shared" si="49"/>
        <v>6.04</v>
      </c>
      <c r="S572" s="2">
        <v>46</v>
      </c>
      <c r="T572" s="3">
        <f t="shared" si="50"/>
        <v>470.58000000000004</v>
      </c>
      <c r="U572" s="4">
        <v>0.05</v>
      </c>
      <c r="V572" s="6">
        <f t="shared" si="51"/>
        <v>23.529000000000003</v>
      </c>
      <c r="W572" s="6">
        <f t="shared" si="52"/>
        <v>447.05100000000004</v>
      </c>
      <c r="X572" s="3">
        <v>4.68</v>
      </c>
      <c r="Y572" s="5">
        <f t="shared" si="53"/>
        <v>451.73100000000005</v>
      </c>
    </row>
    <row r="573" spans="1:25" x14ac:dyDescent="0.2">
      <c r="A573" s="12" t="s">
        <v>1940</v>
      </c>
      <c r="B573" s="1">
        <v>42135</v>
      </c>
      <c r="C573" s="2" t="str">
        <f t="shared" si="48"/>
        <v>2015</v>
      </c>
      <c r="D573" s="2" t="s">
        <v>619</v>
      </c>
      <c r="E573" s="2" t="s">
        <v>1932</v>
      </c>
      <c r="F573" s="2" t="s">
        <v>36</v>
      </c>
      <c r="G573" s="2" t="s">
        <v>37</v>
      </c>
      <c r="H573" s="2" t="s">
        <v>50</v>
      </c>
      <c r="I573" s="2" t="s">
        <v>51</v>
      </c>
      <c r="J573" s="2" t="s">
        <v>30</v>
      </c>
      <c r="K573" s="2" t="s">
        <v>241</v>
      </c>
      <c r="L573" s="2" t="s">
        <v>32</v>
      </c>
      <c r="M573" s="2" t="s">
        <v>26</v>
      </c>
      <c r="N573" s="2" t="s">
        <v>27</v>
      </c>
      <c r="O573" s="1">
        <v>42137</v>
      </c>
      <c r="P573" s="3">
        <v>3.65</v>
      </c>
      <c r="Q573" s="3">
        <v>5.98</v>
      </c>
      <c r="R573" s="3">
        <f t="shared" si="49"/>
        <v>2.3300000000000005</v>
      </c>
      <c r="S573" s="2">
        <v>4</v>
      </c>
      <c r="T573" s="3">
        <f t="shared" si="50"/>
        <v>23.92</v>
      </c>
      <c r="U573" s="4">
        <v>7.0000000000000007E-2</v>
      </c>
      <c r="V573" s="6">
        <f t="shared" si="51"/>
        <v>1.6744000000000003</v>
      </c>
      <c r="W573" s="6">
        <f t="shared" si="52"/>
        <v>22.245600000000003</v>
      </c>
      <c r="X573" s="3">
        <v>1.49</v>
      </c>
      <c r="Y573" s="5">
        <f t="shared" si="53"/>
        <v>23.735600000000002</v>
      </c>
    </row>
    <row r="574" spans="1:25" x14ac:dyDescent="0.2">
      <c r="A574" t="s">
        <v>1459</v>
      </c>
      <c r="B574" s="1">
        <v>42136</v>
      </c>
      <c r="C574" s="2" t="str">
        <f t="shared" si="48"/>
        <v>2015</v>
      </c>
      <c r="D574" s="2" t="s">
        <v>259</v>
      </c>
      <c r="E574" s="2" t="s">
        <v>222</v>
      </c>
      <c r="F574" s="2" t="s">
        <v>19</v>
      </c>
      <c r="G574" s="2" t="s">
        <v>20</v>
      </c>
      <c r="H574" s="2" t="s">
        <v>50</v>
      </c>
      <c r="I574" s="2" t="s">
        <v>92</v>
      </c>
      <c r="J574" s="2" t="s">
        <v>44</v>
      </c>
      <c r="K574" s="2" t="s">
        <v>570</v>
      </c>
      <c r="L574" s="2" t="s">
        <v>32</v>
      </c>
      <c r="M574" s="2" t="s">
        <v>33</v>
      </c>
      <c r="N574" s="2" t="s">
        <v>27</v>
      </c>
      <c r="O574" s="1">
        <v>42138</v>
      </c>
      <c r="P574" s="3">
        <v>1.88</v>
      </c>
      <c r="Q574" s="3">
        <v>3.14</v>
      </c>
      <c r="R574" s="3">
        <f t="shared" si="49"/>
        <v>1.2600000000000002</v>
      </c>
      <c r="S574" s="2">
        <v>50</v>
      </c>
      <c r="T574" s="3">
        <f t="shared" si="50"/>
        <v>157</v>
      </c>
      <c r="U574" s="4">
        <v>0</v>
      </c>
      <c r="V574" s="6">
        <f t="shared" si="51"/>
        <v>0</v>
      </c>
      <c r="W574" s="6">
        <f t="shared" si="52"/>
        <v>157</v>
      </c>
      <c r="X574" s="3">
        <v>1.1399999999999999</v>
      </c>
      <c r="Y574" s="5">
        <f t="shared" si="53"/>
        <v>158.13999999999999</v>
      </c>
    </row>
    <row r="575" spans="1:25" x14ac:dyDescent="0.2">
      <c r="A575" t="s">
        <v>1460</v>
      </c>
      <c r="B575" s="1">
        <v>42138</v>
      </c>
      <c r="C575" s="2" t="str">
        <f t="shared" si="48"/>
        <v>2015</v>
      </c>
      <c r="D575" s="2" t="s">
        <v>617</v>
      </c>
      <c r="E575" s="2" t="s">
        <v>231</v>
      </c>
      <c r="F575" s="2" t="s">
        <v>36</v>
      </c>
      <c r="G575" s="2" t="s">
        <v>37</v>
      </c>
      <c r="H575" s="2" t="s">
        <v>50</v>
      </c>
      <c r="I575" s="2" t="s">
        <v>79</v>
      </c>
      <c r="J575" s="2" t="s">
        <v>30</v>
      </c>
      <c r="K575" s="2" t="s">
        <v>155</v>
      </c>
      <c r="L575" s="2" t="s">
        <v>32</v>
      </c>
      <c r="M575" s="2" t="s">
        <v>33</v>
      </c>
      <c r="N575" s="2" t="s">
        <v>89</v>
      </c>
      <c r="O575" s="1">
        <v>42138</v>
      </c>
      <c r="P575" s="3">
        <v>0.24</v>
      </c>
      <c r="Q575" s="3">
        <v>1.26</v>
      </c>
      <c r="R575" s="3">
        <f t="shared" si="49"/>
        <v>1.02</v>
      </c>
      <c r="S575" s="2">
        <v>35</v>
      </c>
      <c r="T575" s="3">
        <f t="shared" si="50"/>
        <v>44.1</v>
      </c>
      <c r="U575" s="4">
        <v>0.06</v>
      </c>
      <c r="V575" s="6">
        <f t="shared" si="51"/>
        <v>2.6459999999999999</v>
      </c>
      <c r="W575" s="6">
        <f t="shared" si="52"/>
        <v>41.454000000000001</v>
      </c>
      <c r="X575" s="3">
        <v>0.7</v>
      </c>
      <c r="Y575" s="5">
        <f t="shared" si="53"/>
        <v>42.154000000000003</v>
      </c>
    </row>
    <row r="576" spans="1:25" x14ac:dyDescent="0.2">
      <c r="A576" t="s">
        <v>1461</v>
      </c>
      <c r="B576" s="1">
        <v>42138</v>
      </c>
      <c r="C576" s="2" t="str">
        <f t="shared" si="48"/>
        <v>2015</v>
      </c>
      <c r="D576" s="2" t="s">
        <v>618</v>
      </c>
      <c r="E576" s="2" t="s">
        <v>477</v>
      </c>
      <c r="F576" s="2" t="s">
        <v>36</v>
      </c>
      <c r="G576" s="2" t="s">
        <v>37</v>
      </c>
      <c r="H576" s="2" t="s">
        <v>21</v>
      </c>
      <c r="I576" s="2" t="s">
        <v>83</v>
      </c>
      <c r="J576" s="2" t="s">
        <v>44</v>
      </c>
      <c r="K576" s="2" t="s">
        <v>347</v>
      </c>
      <c r="L576" s="2" t="s">
        <v>32</v>
      </c>
      <c r="M576" s="2" t="s">
        <v>26</v>
      </c>
      <c r="N576" s="2" t="s">
        <v>27</v>
      </c>
      <c r="O576" s="1">
        <v>42140</v>
      </c>
      <c r="P576" s="3">
        <v>178.83</v>
      </c>
      <c r="Q576" s="3">
        <v>415.88</v>
      </c>
      <c r="R576" s="3">
        <f t="shared" si="49"/>
        <v>237.04999999999998</v>
      </c>
      <c r="S576" s="2">
        <v>11</v>
      </c>
      <c r="T576" s="3">
        <f t="shared" si="50"/>
        <v>4574.68</v>
      </c>
      <c r="U576" s="4">
        <v>0.06</v>
      </c>
      <c r="V576" s="6">
        <f t="shared" si="51"/>
        <v>274.48079999999999</v>
      </c>
      <c r="W576" s="6">
        <f t="shared" si="52"/>
        <v>4300.1992</v>
      </c>
      <c r="X576" s="3">
        <v>11.37</v>
      </c>
      <c r="Y576" s="5">
        <f t="shared" si="53"/>
        <v>4311.5691999999999</v>
      </c>
    </row>
    <row r="577" spans="1:25" x14ac:dyDescent="0.2">
      <c r="A577" t="s">
        <v>1462</v>
      </c>
      <c r="B577" s="1">
        <v>42139</v>
      </c>
      <c r="C577" s="2" t="str">
        <f t="shared" si="48"/>
        <v>2015</v>
      </c>
      <c r="D577" s="2" t="s">
        <v>616</v>
      </c>
      <c r="E577" s="2" t="s">
        <v>598</v>
      </c>
      <c r="F577" s="2" t="s">
        <v>36</v>
      </c>
      <c r="G577" s="2" t="s">
        <v>37</v>
      </c>
      <c r="H577" s="2" t="s">
        <v>21</v>
      </c>
      <c r="I577" s="2" t="s">
        <v>96</v>
      </c>
      <c r="J577" s="2" t="s">
        <v>44</v>
      </c>
      <c r="K577" s="2" t="s">
        <v>88</v>
      </c>
      <c r="L577" s="2" t="s">
        <v>32</v>
      </c>
      <c r="M577" s="2" t="s">
        <v>58</v>
      </c>
      <c r="N577" s="2" t="s">
        <v>27</v>
      </c>
      <c r="O577" s="1">
        <v>42141</v>
      </c>
      <c r="P577" s="3">
        <v>5.19</v>
      </c>
      <c r="Q577" s="3">
        <v>12.98</v>
      </c>
      <c r="R577" s="3">
        <f t="shared" si="49"/>
        <v>7.79</v>
      </c>
      <c r="S577" s="2">
        <v>23</v>
      </c>
      <c r="T577" s="3">
        <f t="shared" si="50"/>
        <v>298.54000000000002</v>
      </c>
      <c r="U577" s="4">
        <v>0.01</v>
      </c>
      <c r="V577" s="6">
        <f t="shared" si="51"/>
        <v>2.9854000000000003</v>
      </c>
      <c r="W577" s="6">
        <f t="shared" si="52"/>
        <v>295.55459999999999</v>
      </c>
      <c r="X577" s="3">
        <v>3.14</v>
      </c>
      <c r="Y577" s="5">
        <f t="shared" si="53"/>
        <v>298.69459999999998</v>
      </c>
    </row>
    <row r="578" spans="1:25" x14ac:dyDescent="0.2">
      <c r="A578" t="s">
        <v>1463</v>
      </c>
      <c r="B578" s="1">
        <v>42141</v>
      </c>
      <c r="C578" s="2" t="str">
        <f t="shared" si="48"/>
        <v>2015</v>
      </c>
      <c r="D578" s="2" t="s">
        <v>614</v>
      </c>
      <c r="E578" s="2" t="s">
        <v>615</v>
      </c>
      <c r="F578" s="2" t="s">
        <v>36</v>
      </c>
      <c r="G578" s="2" t="s">
        <v>37</v>
      </c>
      <c r="H578" s="2" t="s">
        <v>21</v>
      </c>
      <c r="I578" s="2" t="s">
        <v>153</v>
      </c>
      <c r="J578" s="2" t="s">
        <v>52</v>
      </c>
      <c r="K578" s="2" t="s">
        <v>449</v>
      </c>
      <c r="L578" s="2" t="s">
        <v>32</v>
      </c>
      <c r="M578" s="2" t="s">
        <v>26</v>
      </c>
      <c r="N578" s="2" t="s">
        <v>27</v>
      </c>
      <c r="O578" s="1">
        <v>42144</v>
      </c>
      <c r="P578" s="3">
        <v>12.39</v>
      </c>
      <c r="Q578" s="3">
        <v>19.98</v>
      </c>
      <c r="R578" s="3">
        <f t="shared" si="49"/>
        <v>7.59</v>
      </c>
      <c r="S578" s="2">
        <v>33</v>
      </c>
      <c r="T578" s="3">
        <f t="shared" si="50"/>
        <v>659.34</v>
      </c>
      <c r="U578" s="4">
        <v>0.09</v>
      </c>
      <c r="V578" s="6">
        <f t="shared" si="51"/>
        <v>59.340600000000002</v>
      </c>
      <c r="W578" s="6">
        <f t="shared" si="52"/>
        <v>599.99940000000004</v>
      </c>
      <c r="X578" s="3">
        <v>5.77</v>
      </c>
      <c r="Y578" s="5">
        <f t="shared" si="53"/>
        <v>605.76940000000002</v>
      </c>
    </row>
    <row r="579" spans="1:25" x14ac:dyDescent="0.2">
      <c r="A579" s="12" t="s">
        <v>1941</v>
      </c>
      <c r="B579" s="1">
        <v>42142</v>
      </c>
      <c r="C579" s="2" t="str">
        <f t="shared" si="48"/>
        <v>2015</v>
      </c>
      <c r="D579" s="2" t="s">
        <v>406</v>
      </c>
      <c r="E579" s="2" t="s">
        <v>1903</v>
      </c>
      <c r="F579" s="2" t="s">
        <v>1881</v>
      </c>
      <c r="G579" s="2" t="s">
        <v>1882</v>
      </c>
      <c r="H579" s="2" t="s">
        <v>50</v>
      </c>
      <c r="I579" s="2" t="s">
        <v>43</v>
      </c>
      <c r="J579" s="2" t="s">
        <v>52</v>
      </c>
      <c r="K579" s="2" t="s">
        <v>277</v>
      </c>
      <c r="L579" s="2" t="s">
        <v>32</v>
      </c>
      <c r="M579" s="2" t="s">
        <v>26</v>
      </c>
      <c r="N579" s="2" t="s">
        <v>27</v>
      </c>
      <c r="O579" s="1">
        <v>42144</v>
      </c>
      <c r="P579" s="3">
        <v>54.29</v>
      </c>
      <c r="Q579" s="3">
        <v>90.48</v>
      </c>
      <c r="R579" s="3">
        <f t="shared" si="49"/>
        <v>36.190000000000005</v>
      </c>
      <c r="S579" s="2">
        <v>11</v>
      </c>
      <c r="T579" s="3">
        <f t="shared" si="50"/>
        <v>995.28000000000009</v>
      </c>
      <c r="U579" s="4">
        <v>0.04</v>
      </c>
      <c r="V579" s="6">
        <f t="shared" si="51"/>
        <v>39.811200000000007</v>
      </c>
      <c r="W579" s="6">
        <f t="shared" si="52"/>
        <v>955.4688000000001</v>
      </c>
      <c r="X579" s="3">
        <v>19.989999999999998</v>
      </c>
      <c r="Y579" s="5">
        <f t="shared" si="53"/>
        <v>975.45880000000011</v>
      </c>
    </row>
    <row r="580" spans="1:25" x14ac:dyDescent="0.2">
      <c r="A580" t="s">
        <v>1464</v>
      </c>
      <c r="B580" s="1">
        <v>42142</v>
      </c>
      <c r="C580" s="2" t="str">
        <f t="shared" si="48"/>
        <v>2015</v>
      </c>
      <c r="D580" s="2" t="s">
        <v>612</v>
      </c>
      <c r="E580" s="2" t="s">
        <v>69</v>
      </c>
      <c r="F580" s="2" t="s">
        <v>19</v>
      </c>
      <c r="G580" s="2" t="s">
        <v>20</v>
      </c>
      <c r="H580" s="2" t="s">
        <v>42</v>
      </c>
      <c r="I580" s="2" t="s">
        <v>22</v>
      </c>
      <c r="J580" s="2" t="s">
        <v>52</v>
      </c>
      <c r="K580" s="2" t="s">
        <v>475</v>
      </c>
      <c r="L580" s="2" t="s">
        <v>32</v>
      </c>
      <c r="M580" s="2" t="s">
        <v>26</v>
      </c>
      <c r="N580" s="2" t="s">
        <v>27</v>
      </c>
      <c r="O580" s="1">
        <v>42142</v>
      </c>
      <c r="P580" s="3">
        <v>1.19</v>
      </c>
      <c r="Q580" s="3">
        <v>1.98</v>
      </c>
      <c r="R580" s="3">
        <f t="shared" si="49"/>
        <v>0.79</v>
      </c>
      <c r="S580" s="2">
        <v>29</v>
      </c>
      <c r="T580" s="3">
        <f t="shared" si="50"/>
        <v>57.42</v>
      </c>
      <c r="U580" s="4">
        <v>0.09</v>
      </c>
      <c r="V580" s="6">
        <f t="shared" si="51"/>
        <v>5.1677999999999997</v>
      </c>
      <c r="W580" s="6">
        <f t="shared" si="52"/>
        <v>52.252200000000002</v>
      </c>
      <c r="X580" s="3">
        <v>4.7699999999999996</v>
      </c>
      <c r="Y580" s="5">
        <f t="shared" si="53"/>
        <v>57.022199999999998</v>
      </c>
    </row>
    <row r="581" spans="1:25" x14ac:dyDescent="0.2">
      <c r="A581" t="s">
        <v>1465</v>
      </c>
      <c r="B581" s="1">
        <v>42142</v>
      </c>
      <c r="C581" s="2" t="str">
        <f t="shared" si="48"/>
        <v>2015</v>
      </c>
      <c r="D581" s="2" t="s">
        <v>364</v>
      </c>
      <c r="E581" s="2" t="s">
        <v>271</v>
      </c>
      <c r="F581" s="2" t="s">
        <v>36</v>
      </c>
      <c r="G581" s="2" t="s">
        <v>37</v>
      </c>
      <c r="H581" s="2" t="s">
        <v>50</v>
      </c>
      <c r="I581" s="2" t="s">
        <v>102</v>
      </c>
      <c r="J581" s="2" t="s">
        <v>23</v>
      </c>
      <c r="K581" s="2" t="s">
        <v>215</v>
      </c>
      <c r="L581" s="2" t="s">
        <v>25</v>
      </c>
      <c r="M581" s="2" t="s">
        <v>58</v>
      </c>
      <c r="N581" s="2" t="s">
        <v>27</v>
      </c>
      <c r="O581" s="1">
        <v>42149</v>
      </c>
      <c r="P581" s="3">
        <v>20.18</v>
      </c>
      <c r="Q581" s="3">
        <v>35.409999999999997</v>
      </c>
      <c r="R581" s="3">
        <f t="shared" si="49"/>
        <v>15.229999999999997</v>
      </c>
      <c r="S581" s="2">
        <v>1</v>
      </c>
      <c r="T581" s="3">
        <f t="shared" si="50"/>
        <v>35.409999999999997</v>
      </c>
      <c r="U581" s="4">
        <v>0.1</v>
      </c>
      <c r="V581" s="6">
        <f t="shared" si="51"/>
        <v>3.5409999999999999</v>
      </c>
      <c r="W581" s="6">
        <f t="shared" si="52"/>
        <v>31.868999999999996</v>
      </c>
      <c r="X581" s="3">
        <v>1.99</v>
      </c>
      <c r="Y581" s="5">
        <f t="shared" si="53"/>
        <v>33.858999999999995</v>
      </c>
    </row>
    <row r="582" spans="1:25" x14ac:dyDescent="0.2">
      <c r="A582" t="s">
        <v>1466</v>
      </c>
      <c r="B582" s="1">
        <v>42143</v>
      </c>
      <c r="C582" s="2" t="str">
        <f t="shared" ref="C582:C645" si="54">TEXT(B582,"yyyy")</f>
        <v>2015</v>
      </c>
      <c r="D582" s="2" t="s">
        <v>611</v>
      </c>
      <c r="E582" s="2" t="s">
        <v>161</v>
      </c>
      <c r="F582" s="2" t="s">
        <v>36</v>
      </c>
      <c r="G582" s="2" t="s">
        <v>37</v>
      </c>
      <c r="H582" s="2" t="s">
        <v>50</v>
      </c>
      <c r="I582" s="2" t="s">
        <v>51</v>
      </c>
      <c r="J582" s="2" t="s">
        <v>66</v>
      </c>
      <c r="K582" s="2" t="s">
        <v>173</v>
      </c>
      <c r="L582" s="2" t="s">
        <v>32</v>
      </c>
      <c r="M582" s="2" t="s">
        <v>26</v>
      </c>
      <c r="N582" s="2" t="s">
        <v>27</v>
      </c>
      <c r="O582" s="1">
        <v>42144</v>
      </c>
      <c r="P582" s="3">
        <v>1.84</v>
      </c>
      <c r="Q582" s="3">
        <v>2.88</v>
      </c>
      <c r="R582" s="3">
        <f t="shared" ref="R582:R645" si="55">Q582-P582</f>
        <v>1.0399999999999998</v>
      </c>
      <c r="S582" s="2">
        <v>16</v>
      </c>
      <c r="T582" s="3">
        <f t="shared" ref="T582:T645" si="56">Q582*S582</f>
        <v>46.08</v>
      </c>
      <c r="U582" s="4">
        <v>0.05</v>
      </c>
      <c r="V582" s="6">
        <f t="shared" ref="V582:V645" si="57">T582*U582</f>
        <v>2.3039999999999998</v>
      </c>
      <c r="W582" s="6">
        <f t="shared" ref="W582:W645" si="58">T582-V582</f>
        <v>43.775999999999996</v>
      </c>
      <c r="X582" s="3">
        <v>1.49</v>
      </c>
      <c r="Y582" s="5">
        <f t="shared" ref="Y582:Y645" si="59">W582+X582</f>
        <v>45.265999999999998</v>
      </c>
    </row>
    <row r="583" spans="1:25" x14ac:dyDescent="0.2">
      <c r="A583" t="s">
        <v>1467</v>
      </c>
      <c r="B583" s="1">
        <v>42144</v>
      </c>
      <c r="C583" s="2" t="str">
        <f t="shared" si="54"/>
        <v>2015</v>
      </c>
      <c r="D583" s="2" t="s">
        <v>288</v>
      </c>
      <c r="E583" s="2" t="s">
        <v>46</v>
      </c>
      <c r="F583" s="2" t="s">
        <v>19</v>
      </c>
      <c r="G583" s="2" t="s">
        <v>20</v>
      </c>
      <c r="H583" s="2" t="s">
        <v>50</v>
      </c>
      <c r="I583" s="2" t="s">
        <v>22</v>
      </c>
      <c r="J583" s="2" t="s">
        <v>44</v>
      </c>
      <c r="K583" s="2" t="s">
        <v>173</v>
      </c>
      <c r="L583" s="2" t="s">
        <v>32</v>
      </c>
      <c r="M583" s="2" t="s">
        <v>26</v>
      </c>
      <c r="N583" s="2" t="s">
        <v>27</v>
      </c>
      <c r="O583" s="1">
        <v>42147</v>
      </c>
      <c r="P583" s="3">
        <v>1.84</v>
      </c>
      <c r="Q583" s="3">
        <v>2.88</v>
      </c>
      <c r="R583" s="3">
        <f t="shared" si="55"/>
        <v>1.0399999999999998</v>
      </c>
      <c r="S583" s="2">
        <v>26</v>
      </c>
      <c r="T583" s="3">
        <f t="shared" si="56"/>
        <v>74.88</v>
      </c>
      <c r="U583" s="4">
        <v>0.08</v>
      </c>
      <c r="V583" s="6">
        <f t="shared" si="57"/>
        <v>5.9904000000000002</v>
      </c>
      <c r="W583" s="6">
        <f t="shared" si="58"/>
        <v>68.889600000000002</v>
      </c>
      <c r="X583" s="3">
        <v>1.49</v>
      </c>
      <c r="Y583" s="5">
        <f t="shared" si="59"/>
        <v>70.379599999999996</v>
      </c>
    </row>
    <row r="584" spans="1:25" x14ac:dyDescent="0.2">
      <c r="A584" t="s">
        <v>1468</v>
      </c>
      <c r="B584" s="1">
        <v>42144</v>
      </c>
      <c r="C584" s="2" t="str">
        <f t="shared" si="54"/>
        <v>2015</v>
      </c>
      <c r="D584" s="2" t="s">
        <v>609</v>
      </c>
      <c r="E584" s="2" t="s">
        <v>1911</v>
      </c>
      <c r="F584" s="2" t="s">
        <v>19</v>
      </c>
      <c r="G584" s="2" t="s">
        <v>20</v>
      </c>
      <c r="H584" s="2" t="s">
        <v>21</v>
      </c>
      <c r="I584" s="2" t="s">
        <v>22</v>
      </c>
      <c r="J584" s="2" t="s">
        <v>66</v>
      </c>
      <c r="K584" s="2" t="s">
        <v>215</v>
      </c>
      <c r="L584" s="2" t="s">
        <v>25</v>
      </c>
      <c r="M584" s="2" t="s">
        <v>58</v>
      </c>
      <c r="N584" s="2" t="s">
        <v>27</v>
      </c>
      <c r="O584" s="1">
        <v>42146</v>
      </c>
      <c r="P584" s="3">
        <v>20.18</v>
      </c>
      <c r="Q584" s="3">
        <v>35.409999999999997</v>
      </c>
      <c r="R584" s="3">
        <f t="shared" si="55"/>
        <v>15.229999999999997</v>
      </c>
      <c r="S584" s="2">
        <v>49</v>
      </c>
      <c r="T584" s="3">
        <f t="shared" si="56"/>
        <v>1735.09</v>
      </c>
      <c r="U584" s="4">
        <v>0.02</v>
      </c>
      <c r="V584" s="6">
        <f t="shared" si="57"/>
        <v>34.701799999999999</v>
      </c>
      <c r="W584" s="6">
        <f t="shared" si="58"/>
        <v>1700.3881999999999</v>
      </c>
      <c r="X584" s="3">
        <v>1.99</v>
      </c>
      <c r="Y584" s="5">
        <f t="shared" si="59"/>
        <v>1702.3781999999999</v>
      </c>
    </row>
    <row r="585" spans="1:25" x14ac:dyDescent="0.2">
      <c r="A585" t="s">
        <v>1469</v>
      </c>
      <c r="B585" s="1">
        <v>42144</v>
      </c>
      <c r="C585" s="2" t="str">
        <f t="shared" si="54"/>
        <v>2015</v>
      </c>
      <c r="D585" s="2" t="s">
        <v>610</v>
      </c>
      <c r="E585" s="2" t="s">
        <v>60</v>
      </c>
      <c r="F585" s="2" t="s">
        <v>36</v>
      </c>
      <c r="G585" s="2" t="s">
        <v>37</v>
      </c>
      <c r="H585" s="2" t="s">
        <v>42</v>
      </c>
      <c r="I585" s="2" t="s">
        <v>56</v>
      </c>
      <c r="J585" s="2" t="s">
        <v>66</v>
      </c>
      <c r="K585" s="2" t="s">
        <v>370</v>
      </c>
      <c r="L585" s="2" t="s">
        <v>25</v>
      </c>
      <c r="M585" s="2" t="s">
        <v>26</v>
      </c>
      <c r="N585" s="2" t="s">
        <v>27</v>
      </c>
      <c r="O585" s="1">
        <v>42145</v>
      </c>
      <c r="P585" s="3">
        <v>81.59</v>
      </c>
      <c r="Q585" s="3">
        <v>159.99</v>
      </c>
      <c r="R585" s="3">
        <f t="shared" si="55"/>
        <v>78.400000000000006</v>
      </c>
      <c r="S585" s="2">
        <v>19</v>
      </c>
      <c r="T585" s="3">
        <f t="shared" si="56"/>
        <v>3039.8100000000004</v>
      </c>
      <c r="U585" s="4">
        <v>0.1</v>
      </c>
      <c r="V585" s="6">
        <f t="shared" si="57"/>
        <v>303.98100000000005</v>
      </c>
      <c r="W585" s="6">
        <f t="shared" si="58"/>
        <v>2735.8290000000002</v>
      </c>
      <c r="X585" s="3">
        <v>5.5</v>
      </c>
      <c r="Y585" s="5">
        <f t="shared" si="59"/>
        <v>2741.3290000000002</v>
      </c>
    </row>
    <row r="586" spans="1:25" x14ac:dyDescent="0.2">
      <c r="A586" t="s">
        <v>1470</v>
      </c>
      <c r="B586" s="1">
        <v>42146</v>
      </c>
      <c r="C586" s="2" t="str">
        <f t="shared" si="54"/>
        <v>2015</v>
      </c>
      <c r="D586" s="2" t="s">
        <v>608</v>
      </c>
      <c r="E586" t="s">
        <v>1901</v>
      </c>
      <c r="F586" s="2" t="s">
        <v>1881</v>
      </c>
      <c r="G586" s="2" t="s">
        <v>1882</v>
      </c>
      <c r="H586" s="2" t="s">
        <v>50</v>
      </c>
      <c r="I586" s="2" t="s">
        <v>75</v>
      </c>
      <c r="J586" s="2" t="s">
        <v>66</v>
      </c>
      <c r="K586" s="2" t="s">
        <v>278</v>
      </c>
      <c r="L586" s="2" t="s">
        <v>32</v>
      </c>
      <c r="M586" s="2" t="s">
        <v>33</v>
      </c>
      <c r="N586" s="2" t="s">
        <v>27</v>
      </c>
      <c r="O586" s="1">
        <v>42148</v>
      </c>
      <c r="P586" s="3">
        <v>2.31</v>
      </c>
      <c r="Q586" s="3">
        <v>3.78</v>
      </c>
      <c r="R586" s="3">
        <f t="shared" si="55"/>
        <v>1.4699999999999998</v>
      </c>
      <c r="S586" s="2">
        <v>19</v>
      </c>
      <c r="T586" s="3">
        <f t="shared" si="56"/>
        <v>71.819999999999993</v>
      </c>
      <c r="U586" s="4">
        <v>0.03</v>
      </c>
      <c r="V586" s="6">
        <f t="shared" si="57"/>
        <v>2.1545999999999998</v>
      </c>
      <c r="W586" s="6">
        <f t="shared" si="58"/>
        <v>69.665399999999991</v>
      </c>
      <c r="X586" s="3">
        <v>0.71</v>
      </c>
      <c r="Y586" s="5">
        <f t="shared" si="59"/>
        <v>70.375399999999985</v>
      </c>
    </row>
    <row r="587" spans="1:25" x14ac:dyDescent="0.2">
      <c r="A587" t="s">
        <v>1471</v>
      </c>
      <c r="B587" s="1">
        <v>42148</v>
      </c>
      <c r="C587" s="2" t="str">
        <f t="shared" si="54"/>
        <v>2015</v>
      </c>
      <c r="D587" s="2" t="s">
        <v>606</v>
      </c>
      <c r="E587" s="2" t="s">
        <v>138</v>
      </c>
      <c r="F587" s="2" t="s">
        <v>36</v>
      </c>
      <c r="G587" s="2" t="s">
        <v>37</v>
      </c>
      <c r="H587" s="2" t="s">
        <v>50</v>
      </c>
      <c r="I587" s="2" t="s">
        <v>51</v>
      </c>
      <c r="J587" s="2" t="s">
        <v>30</v>
      </c>
      <c r="K587" s="2" t="s">
        <v>223</v>
      </c>
      <c r="L587" s="2" t="s">
        <v>32</v>
      </c>
      <c r="M587" s="2" t="s">
        <v>33</v>
      </c>
      <c r="N587" s="2" t="s">
        <v>27</v>
      </c>
      <c r="O587" s="1">
        <v>42149</v>
      </c>
      <c r="P587" s="3">
        <v>0.9</v>
      </c>
      <c r="Q587" s="3">
        <v>2.1</v>
      </c>
      <c r="R587" s="3">
        <f t="shared" si="55"/>
        <v>1.2000000000000002</v>
      </c>
      <c r="S587" s="2">
        <v>17</v>
      </c>
      <c r="T587" s="3">
        <f t="shared" si="56"/>
        <v>35.700000000000003</v>
      </c>
      <c r="U587" s="4">
        <v>0.09</v>
      </c>
      <c r="V587" s="6">
        <f t="shared" si="57"/>
        <v>3.2130000000000001</v>
      </c>
      <c r="W587" s="6">
        <f t="shared" si="58"/>
        <v>32.487000000000002</v>
      </c>
      <c r="X587" s="3">
        <v>0.7</v>
      </c>
      <c r="Y587" s="5">
        <f t="shared" si="59"/>
        <v>33.187000000000005</v>
      </c>
    </row>
    <row r="588" spans="1:25" x14ac:dyDescent="0.2">
      <c r="A588" t="s">
        <v>1472</v>
      </c>
      <c r="B588" s="1">
        <v>42148</v>
      </c>
      <c r="C588" s="2" t="str">
        <f t="shared" si="54"/>
        <v>2015</v>
      </c>
      <c r="D588" s="2" t="s">
        <v>607</v>
      </c>
      <c r="E588" s="2" t="s">
        <v>69</v>
      </c>
      <c r="F588" s="2" t="s">
        <v>19</v>
      </c>
      <c r="G588" s="2" t="s">
        <v>20</v>
      </c>
      <c r="H588" s="2" t="s">
        <v>29</v>
      </c>
      <c r="I588" s="2" t="s">
        <v>22</v>
      </c>
      <c r="J588" s="2" t="s">
        <v>23</v>
      </c>
      <c r="K588" s="2" t="s">
        <v>53</v>
      </c>
      <c r="L588" s="2" t="s">
        <v>32</v>
      </c>
      <c r="M588" s="2" t="s">
        <v>33</v>
      </c>
      <c r="N588" s="2" t="s">
        <v>27</v>
      </c>
      <c r="O588" s="1">
        <v>42152</v>
      </c>
      <c r="P588" s="3">
        <v>3.75</v>
      </c>
      <c r="Q588" s="3">
        <v>7.08</v>
      </c>
      <c r="R588" s="3">
        <f t="shared" si="55"/>
        <v>3.33</v>
      </c>
      <c r="S588" s="2">
        <v>49</v>
      </c>
      <c r="T588" s="3">
        <f t="shared" si="56"/>
        <v>346.92</v>
      </c>
      <c r="U588" s="4">
        <v>0</v>
      </c>
      <c r="V588" s="6">
        <f t="shared" si="57"/>
        <v>0</v>
      </c>
      <c r="W588" s="6">
        <f t="shared" si="58"/>
        <v>346.92</v>
      </c>
      <c r="X588" s="3">
        <v>2.35</v>
      </c>
      <c r="Y588" s="5">
        <f t="shared" si="59"/>
        <v>349.27000000000004</v>
      </c>
    </row>
    <row r="589" spans="1:25" x14ac:dyDescent="0.2">
      <c r="A589" t="s">
        <v>1473</v>
      </c>
      <c r="B589" s="1">
        <v>42150</v>
      </c>
      <c r="C589" s="2" t="str">
        <f t="shared" si="54"/>
        <v>2015</v>
      </c>
      <c r="D589" s="2" t="s">
        <v>584</v>
      </c>
      <c r="E589" s="2" t="s">
        <v>133</v>
      </c>
      <c r="F589" s="2" t="s">
        <v>19</v>
      </c>
      <c r="G589" s="2" t="s">
        <v>20</v>
      </c>
      <c r="H589" s="2" t="s">
        <v>50</v>
      </c>
      <c r="I589" s="2" t="s">
        <v>92</v>
      </c>
      <c r="J589" s="2" t="s">
        <v>66</v>
      </c>
      <c r="K589" s="2" t="s">
        <v>163</v>
      </c>
      <c r="L589" s="2" t="s">
        <v>32</v>
      </c>
      <c r="M589" s="2" t="s">
        <v>33</v>
      </c>
      <c r="N589" s="2" t="s">
        <v>27</v>
      </c>
      <c r="O589" s="1">
        <v>42152</v>
      </c>
      <c r="P589" s="3">
        <v>1.0900000000000001</v>
      </c>
      <c r="Q589" s="3">
        <v>2.6</v>
      </c>
      <c r="R589" s="3">
        <f t="shared" si="55"/>
        <v>1.51</v>
      </c>
      <c r="S589" s="2">
        <v>8</v>
      </c>
      <c r="T589" s="3">
        <f t="shared" si="56"/>
        <v>20.8</v>
      </c>
      <c r="U589" s="4">
        <v>0.04</v>
      </c>
      <c r="V589" s="6">
        <f t="shared" si="57"/>
        <v>0.83200000000000007</v>
      </c>
      <c r="W589" s="6">
        <f t="shared" si="58"/>
        <v>19.968</v>
      </c>
      <c r="X589" s="3">
        <v>2.4</v>
      </c>
      <c r="Y589" s="5">
        <f t="shared" si="59"/>
        <v>22.367999999999999</v>
      </c>
    </row>
    <row r="590" spans="1:25" x14ac:dyDescent="0.2">
      <c r="A590" t="s">
        <v>1474</v>
      </c>
      <c r="B590" s="1">
        <v>42151</v>
      </c>
      <c r="C590" s="2" t="str">
        <f t="shared" si="54"/>
        <v>2015</v>
      </c>
      <c r="D590" s="2" t="s">
        <v>187</v>
      </c>
      <c r="E590" s="2" t="s">
        <v>188</v>
      </c>
      <c r="F590" s="2" t="s">
        <v>36</v>
      </c>
      <c r="G590" s="2" t="s">
        <v>37</v>
      </c>
      <c r="H590" s="2" t="s">
        <v>42</v>
      </c>
      <c r="I590" s="2" t="s">
        <v>75</v>
      </c>
      <c r="J590" s="2" t="s">
        <v>52</v>
      </c>
      <c r="K590" s="2" t="s">
        <v>24</v>
      </c>
      <c r="L590" s="2" t="s">
        <v>25</v>
      </c>
      <c r="M590" s="2" t="s">
        <v>26</v>
      </c>
      <c r="N590" s="2" t="s">
        <v>27</v>
      </c>
      <c r="O590" s="1">
        <v>42153</v>
      </c>
      <c r="P590" s="3">
        <v>6.39</v>
      </c>
      <c r="Q590" s="3">
        <v>19.98</v>
      </c>
      <c r="R590" s="3">
        <f t="shared" si="55"/>
        <v>13.59</v>
      </c>
      <c r="S590" s="2">
        <v>7</v>
      </c>
      <c r="T590" s="3">
        <f t="shared" si="56"/>
        <v>139.86000000000001</v>
      </c>
      <c r="U590" s="4">
        <v>0.09</v>
      </c>
      <c r="V590" s="6">
        <f t="shared" si="57"/>
        <v>12.587400000000001</v>
      </c>
      <c r="W590" s="6">
        <f t="shared" si="58"/>
        <v>127.27260000000001</v>
      </c>
      <c r="X590" s="3">
        <v>4</v>
      </c>
      <c r="Y590" s="5">
        <f t="shared" si="59"/>
        <v>131.27260000000001</v>
      </c>
    </row>
    <row r="591" spans="1:25" x14ac:dyDescent="0.2">
      <c r="A591" t="s">
        <v>1475</v>
      </c>
      <c r="B591" s="1">
        <v>42152</v>
      </c>
      <c r="C591" s="2" t="str">
        <f t="shared" si="54"/>
        <v>2015</v>
      </c>
      <c r="D591" s="2" t="s">
        <v>605</v>
      </c>
      <c r="E591" s="2" t="s">
        <v>281</v>
      </c>
      <c r="F591" s="2" t="s">
        <v>36</v>
      </c>
      <c r="G591" s="2" t="s">
        <v>37</v>
      </c>
      <c r="H591" s="2" t="s">
        <v>50</v>
      </c>
      <c r="I591" s="2" t="s">
        <v>96</v>
      </c>
      <c r="J591" s="2" t="s">
        <v>52</v>
      </c>
      <c r="K591" s="2" t="s">
        <v>163</v>
      </c>
      <c r="L591" s="2" t="s">
        <v>32</v>
      </c>
      <c r="M591" s="2" t="s">
        <v>33</v>
      </c>
      <c r="N591" s="2" t="s">
        <v>89</v>
      </c>
      <c r="O591" s="1">
        <v>42153</v>
      </c>
      <c r="P591" s="3">
        <v>1.0900000000000001</v>
      </c>
      <c r="Q591" s="3">
        <v>2.6</v>
      </c>
      <c r="R591" s="3">
        <f t="shared" si="55"/>
        <v>1.51</v>
      </c>
      <c r="S591" s="2">
        <v>42</v>
      </c>
      <c r="T591" s="3">
        <f t="shared" si="56"/>
        <v>109.2</v>
      </c>
      <c r="U591" s="4">
        <v>0.05</v>
      </c>
      <c r="V591" s="6">
        <f t="shared" si="57"/>
        <v>5.4600000000000009</v>
      </c>
      <c r="W591" s="6">
        <f t="shared" si="58"/>
        <v>103.74000000000001</v>
      </c>
      <c r="X591" s="3">
        <v>2.4</v>
      </c>
      <c r="Y591" s="5">
        <f t="shared" si="59"/>
        <v>106.14000000000001</v>
      </c>
    </row>
    <row r="592" spans="1:25" x14ac:dyDescent="0.2">
      <c r="A592" t="s">
        <v>1476</v>
      </c>
      <c r="B592" s="1">
        <v>42153</v>
      </c>
      <c r="C592" s="2" t="str">
        <f t="shared" si="54"/>
        <v>2015</v>
      </c>
      <c r="D592" s="2" t="s">
        <v>519</v>
      </c>
      <c r="E592" s="2" t="s">
        <v>18</v>
      </c>
      <c r="F592" s="2" t="s">
        <v>19</v>
      </c>
      <c r="G592" s="2" t="s">
        <v>20</v>
      </c>
      <c r="H592" s="2" t="s">
        <v>50</v>
      </c>
      <c r="I592" s="2" t="s">
        <v>22</v>
      </c>
      <c r="J592" s="2" t="s">
        <v>44</v>
      </c>
      <c r="K592" s="2" t="s">
        <v>108</v>
      </c>
      <c r="L592" s="2" t="s">
        <v>32</v>
      </c>
      <c r="M592" s="2" t="s">
        <v>26</v>
      </c>
      <c r="N592" s="2" t="s">
        <v>27</v>
      </c>
      <c r="O592" s="1">
        <v>42155</v>
      </c>
      <c r="P592" s="3">
        <v>1.84</v>
      </c>
      <c r="Q592" s="3">
        <v>2.88</v>
      </c>
      <c r="R592" s="3">
        <f t="shared" si="55"/>
        <v>1.0399999999999998</v>
      </c>
      <c r="S592" s="2">
        <v>24</v>
      </c>
      <c r="T592" s="3">
        <f t="shared" si="56"/>
        <v>69.12</v>
      </c>
      <c r="U592" s="4">
        <v>7.0000000000000007E-2</v>
      </c>
      <c r="V592" s="6">
        <f t="shared" si="57"/>
        <v>4.8384000000000009</v>
      </c>
      <c r="W592" s="6">
        <f t="shared" si="58"/>
        <v>64.281599999999997</v>
      </c>
      <c r="X592" s="3">
        <v>0.99</v>
      </c>
      <c r="Y592" s="5">
        <f t="shared" si="59"/>
        <v>65.271599999999992</v>
      </c>
    </row>
    <row r="593" spans="1:25" x14ac:dyDescent="0.2">
      <c r="A593" t="s">
        <v>1477</v>
      </c>
      <c r="B593" s="1">
        <v>42155</v>
      </c>
      <c r="C593" s="2" t="str">
        <f t="shared" si="54"/>
        <v>2015</v>
      </c>
      <c r="D593" s="2" t="s">
        <v>604</v>
      </c>
      <c r="E593" s="2" t="s">
        <v>199</v>
      </c>
      <c r="F593" s="2" t="s">
        <v>19</v>
      </c>
      <c r="G593" s="2" t="s">
        <v>20</v>
      </c>
      <c r="H593" s="2" t="s">
        <v>50</v>
      </c>
      <c r="I593" s="2" t="s">
        <v>92</v>
      </c>
      <c r="J593" s="2" t="s">
        <v>52</v>
      </c>
      <c r="K593" s="2" t="s">
        <v>84</v>
      </c>
      <c r="L593" s="2" t="s">
        <v>25</v>
      </c>
      <c r="M593" s="2" t="s">
        <v>85</v>
      </c>
      <c r="N593" s="2" t="s">
        <v>89</v>
      </c>
      <c r="O593" s="1">
        <v>42157</v>
      </c>
      <c r="P593" s="3">
        <v>8.82</v>
      </c>
      <c r="Q593" s="3">
        <v>20.99</v>
      </c>
      <c r="R593" s="3">
        <f t="shared" si="55"/>
        <v>12.169999999999998</v>
      </c>
      <c r="S593" s="2">
        <v>18</v>
      </c>
      <c r="T593" s="3">
        <f t="shared" si="56"/>
        <v>377.82</v>
      </c>
      <c r="U593" s="4">
        <v>0</v>
      </c>
      <c r="V593" s="6">
        <f t="shared" si="57"/>
        <v>0</v>
      </c>
      <c r="W593" s="6">
        <f t="shared" si="58"/>
        <v>377.82</v>
      </c>
      <c r="X593" s="3">
        <v>4.8099999999999996</v>
      </c>
      <c r="Y593" s="5">
        <f t="shared" si="59"/>
        <v>382.63</v>
      </c>
    </row>
    <row r="594" spans="1:25" x14ac:dyDescent="0.2">
      <c r="A594" t="s">
        <v>1478</v>
      </c>
      <c r="B594" s="1">
        <v>42155</v>
      </c>
      <c r="C594" s="2" t="str">
        <f t="shared" si="54"/>
        <v>2015</v>
      </c>
      <c r="D594" s="2" t="s">
        <v>333</v>
      </c>
      <c r="E594" s="2" t="s">
        <v>202</v>
      </c>
      <c r="F594" s="2" t="s">
        <v>19</v>
      </c>
      <c r="G594" s="2" t="s">
        <v>20</v>
      </c>
      <c r="H594" s="2" t="s">
        <v>29</v>
      </c>
      <c r="I594" s="2" t="s">
        <v>22</v>
      </c>
      <c r="J594" s="2" t="s">
        <v>30</v>
      </c>
      <c r="K594" s="2" t="s">
        <v>447</v>
      </c>
      <c r="L594" s="2" t="s">
        <v>25</v>
      </c>
      <c r="M594" s="2" t="s">
        <v>58</v>
      </c>
      <c r="N594" s="2" t="s">
        <v>27</v>
      </c>
      <c r="O594" s="1">
        <v>42156</v>
      </c>
      <c r="P594" s="3">
        <v>1.87</v>
      </c>
      <c r="Q594" s="3">
        <v>8.1199999999999992</v>
      </c>
      <c r="R594" s="3">
        <f t="shared" si="55"/>
        <v>6.2499999999999991</v>
      </c>
      <c r="S594" s="2">
        <v>3</v>
      </c>
      <c r="T594" s="3">
        <f t="shared" si="56"/>
        <v>24.36</v>
      </c>
      <c r="U594" s="4">
        <v>0.03</v>
      </c>
      <c r="V594" s="6">
        <f t="shared" si="57"/>
        <v>0.73080000000000001</v>
      </c>
      <c r="W594" s="6">
        <f t="shared" si="58"/>
        <v>23.629200000000001</v>
      </c>
      <c r="X594" s="3">
        <v>2.83</v>
      </c>
      <c r="Y594" s="5">
        <f t="shared" si="59"/>
        <v>26.459200000000003</v>
      </c>
    </row>
    <row r="595" spans="1:25" x14ac:dyDescent="0.2">
      <c r="A595" t="s">
        <v>1479</v>
      </c>
      <c r="B595" s="1">
        <v>42155</v>
      </c>
      <c r="C595" s="2" t="str">
        <f t="shared" si="54"/>
        <v>2015</v>
      </c>
      <c r="D595" s="2" t="s">
        <v>593</v>
      </c>
      <c r="E595" s="2" t="s">
        <v>105</v>
      </c>
      <c r="F595" s="2" t="s">
        <v>36</v>
      </c>
      <c r="G595" s="2" t="s">
        <v>37</v>
      </c>
      <c r="H595" s="2" t="s">
        <v>21</v>
      </c>
      <c r="I595" s="2" t="s">
        <v>56</v>
      </c>
      <c r="J595" s="2" t="s">
        <v>23</v>
      </c>
      <c r="K595" s="2" t="s">
        <v>167</v>
      </c>
      <c r="L595" s="2" t="s">
        <v>32</v>
      </c>
      <c r="M595" s="2" t="s">
        <v>26</v>
      </c>
      <c r="N595" s="2" t="s">
        <v>27</v>
      </c>
      <c r="O595" s="1">
        <v>42160</v>
      </c>
      <c r="P595" s="3">
        <v>14.95</v>
      </c>
      <c r="Q595" s="3">
        <v>34.76</v>
      </c>
      <c r="R595" s="3">
        <f t="shared" si="55"/>
        <v>19.809999999999999</v>
      </c>
      <c r="S595" s="2">
        <v>43</v>
      </c>
      <c r="T595" s="3">
        <f t="shared" si="56"/>
        <v>1494.6799999999998</v>
      </c>
      <c r="U595" s="4">
        <v>0.08</v>
      </c>
      <c r="V595" s="6">
        <f t="shared" si="57"/>
        <v>119.57439999999998</v>
      </c>
      <c r="W595" s="6">
        <f t="shared" si="58"/>
        <v>1375.1055999999999</v>
      </c>
      <c r="X595" s="3">
        <v>8.2200000000000006</v>
      </c>
      <c r="Y595" s="5">
        <f t="shared" si="59"/>
        <v>1383.3255999999999</v>
      </c>
    </row>
    <row r="596" spans="1:25" x14ac:dyDescent="0.2">
      <c r="A596" t="s">
        <v>1480</v>
      </c>
      <c r="B596" s="1">
        <v>42156</v>
      </c>
      <c r="C596" s="2" t="str">
        <f t="shared" si="54"/>
        <v>2015</v>
      </c>
      <c r="D596" s="2" t="s">
        <v>603</v>
      </c>
      <c r="E596" s="2" t="s">
        <v>276</v>
      </c>
      <c r="F596" s="2" t="s">
        <v>19</v>
      </c>
      <c r="G596" s="2" t="s">
        <v>20</v>
      </c>
      <c r="H596" s="2" t="s">
        <v>50</v>
      </c>
      <c r="I596" s="2" t="s">
        <v>22</v>
      </c>
      <c r="J596" s="2" t="s">
        <v>23</v>
      </c>
      <c r="K596" s="2" t="s">
        <v>144</v>
      </c>
      <c r="L596" s="2" t="s">
        <v>32</v>
      </c>
      <c r="M596" s="2" t="s">
        <v>58</v>
      </c>
      <c r="N596" s="2" t="s">
        <v>27</v>
      </c>
      <c r="O596" s="1">
        <v>42161</v>
      </c>
      <c r="P596" s="3">
        <v>4.1900000000000004</v>
      </c>
      <c r="Q596" s="3">
        <v>10.23</v>
      </c>
      <c r="R596" s="3">
        <f t="shared" si="55"/>
        <v>6.04</v>
      </c>
      <c r="S596" s="2">
        <v>35</v>
      </c>
      <c r="T596" s="3">
        <f t="shared" si="56"/>
        <v>358.05</v>
      </c>
      <c r="U596" s="4">
        <v>0.01</v>
      </c>
      <c r="V596" s="6">
        <f t="shared" si="57"/>
        <v>3.5805000000000002</v>
      </c>
      <c r="W596" s="6">
        <f t="shared" si="58"/>
        <v>354.46950000000004</v>
      </c>
      <c r="X596" s="3">
        <v>4.68</v>
      </c>
      <c r="Y596" s="5">
        <f t="shared" si="59"/>
        <v>359.14950000000005</v>
      </c>
    </row>
    <row r="597" spans="1:25" x14ac:dyDescent="0.2">
      <c r="A597" t="s">
        <v>1481</v>
      </c>
      <c r="B597" s="1">
        <v>42163</v>
      </c>
      <c r="C597" s="2" t="str">
        <f t="shared" si="54"/>
        <v>2015</v>
      </c>
      <c r="D597" s="2" t="s">
        <v>602</v>
      </c>
      <c r="E597" s="2" t="s">
        <v>325</v>
      </c>
      <c r="F597" s="2" t="s">
        <v>36</v>
      </c>
      <c r="G597" s="2" t="s">
        <v>37</v>
      </c>
      <c r="H597" s="2" t="s">
        <v>29</v>
      </c>
      <c r="I597" s="2" t="s">
        <v>96</v>
      </c>
      <c r="J597" s="2" t="s">
        <v>66</v>
      </c>
      <c r="K597" s="2" t="s">
        <v>183</v>
      </c>
      <c r="L597" s="2" t="s">
        <v>25</v>
      </c>
      <c r="M597" s="2" t="s">
        <v>26</v>
      </c>
      <c r="N597" s="2" t="s">
        <v>27</v>
      </c>
      <c r="O597" s="1">
        <v>42165</v>
      </c>
      <c r="P597" s="3">
        <v>62.4</v>
      </c>
      <c r="Q597" s="3">
        <v>155.99</v>
      </c>
      <c r="R597" s="3">
        <f t="shared" si="55"/>
        <v>93.59</v>
      </c>
      <c r="S597" s="2">
        <v>21</v>
      </c>
      <c r="T597" s="3">
        <f t="shared" si="56"/>
        <v>3275.79</v>
      </c>
      <c r="U597" s="4">
        <v>0.08</v>
      </c>
      <c r="V597" s="6">
        <f t="shared" si="57"/>
        <v>262.06319999999999</v>
      </c>
      <c r="W597" s="6">
        <f t="shared" si="58"/>
        <v>3013.7267999999999</v>
      </c>
      <c r="X597" s="3">
        <v>8.08</v>
      </c>
      <c r="Y597" s="5">
        <f t="shared" si="59"/>
        <v>3021.8067999999998</v>
      </c>
    </row>
    <row r="598" spans="1:25" x14ac:dyDescent="0.2">
      <c r="A598" t="s">
        <v>1482</v>
      </c>
      <c r="B598" s="1">
        <v>42163</v>
      </c>
      <c r="C598" s="2" t="str">
        <f t="shared" si="54"/>
        <v>2015</v>
      </c>
      <c r="D598" s="2" t="s">
        <v>187</v>
      </c>
      <c r="E598" s="2" t="s">
        <v>188</v>
      </c>
      <c r="F598" s="2" t="s">
        <v>36</v>
      </c>
      <c r="G598" s="2" t="s">
        <v>37</v>
      </c>
      <c r="H598" s="2" t="s">
        <v>21</v>
      </c>
      <c r="I598" s="2" t="s">
        <v>75</v>
      </c>
      <c r="J598" s="2" t="s">
        <v>52</v>
      </c>
      <c r="K598" s="2" t="s">
        <v>322</v>
      </c>
      <c r="L598" s="2" t="s">
        <v>25</v>
      </c>
      <c r="M598" s="2" t="s">
        <v>261</v>
      </c>
      <c r="N598" s="2" t="s">
        <v>27</v>
      </c>
      <c r="O598" s="1">
        <v>42164</v>
      </c>
      <c r="P598" s="3">
        <v>377.99</v>
      </c>
      <c r="Q598" s="3">
        <v>599.99</v>
      </c>
      <c r="R598" s="3">
        <f t="shared" si="55"/>
        <v>222</v>
      </c>
      <c r="S598" s="2">
        <v>41</v>
      </c>
      <c r="T598" s="3">
        <f t="shared" si="56"/>
        <v>24599.59</v>
      </c>
      <c r="U598" s="4">
        <v>0.09</v>
      </c>
      <c r="V598" s="6">
        <f t="shared" si="57"/>
        <v>2213.9630999999999</v>
      </c>
      <c r="W598" s="6">
        <f t="shared" si="58"/>
        <v>22385.626899999999</v>
      </c>
      <c r="X598" s="3">
        <v>24.49</v>
      </c>
      <c r="Y598" s="5">
        <f t="shared" si="59"/>
        <v>22410.116900000001</v>
      </c>
    </row>
    <row r="599" spans="1:25" x14ac:dyDescent="0.2">
      <c r="A599" t="s">
        <v>1483</v>
      </c>
      <c r="B599" s="1">
        <v>42165</v>
      </c>
      <c r="C599" s="2" t="str">
        <f t="shared" si="54"/>
        <v>2015</v>
      </c>
      <c r="D599" s="2" t="s">
        <v>599</v>
      </c>
      <c r="E599" s="2" t="s">
        <v>600</v>
      </c>
      <c r="F599" s="2" t="s">
        <v>36</v>
      </c>
      <c r="G599" s="2" t="s">
        <v>37</v>
      </c>
      <c r="H599" s="2" t="s">
        <v>50</v>
      </c>
      <c r="I599" s="2" t="s">
        <v>142</v>
      </c>
      <c r="J599" s="2" t="s">
        <v>66</v>
      </c>
      <c r="K599" s="2" t="s">
        <v>375</v>
      </c>
      <c r="L599" s="2" t="s">
        <v>32</v>
      </c>
      <c r="M599" s="2" t="s">
        <v>26</v>
      </c>
      <c r="N599" s="2" t="s">
        <v>27</v>
      </c>
      <c r="O599" s="1">
        <v>42167</v>
      </c>
      <c r="P599" s="3">
        <v>99.39</v>
      </c>
      <c r="Q599" s="3">
        <v>162.93</v>
      </c>
      <c r="R599" s="3">
        <f t="shared" si="55"/>
        <v>63.540000000000006</v>
      </c>
      <c r="S599" s="2">
        <v>36</v>
      </c>
      <c r="T599" s="3">
        <f t="shared" si="56"/>
        <v>5865.4800000000005</v>
      </c>
      <c r="U599" s="4">
        <v>0.09</v>
      </c>
      <c r="V599" s="6">
        <f t="shared" si="57"/>
        <v>527.89319999999998</v>
      </c>
      <c r="W599" s="6">
        <f t="shared" si="58"/>
        <v>5337.5868000000009</v>
      </c>
      <c r="X599" s="3">
        <v>19.989999999999998</v>
      </c>
      <c r="Y599" s="5">
        <f t="shared" si="59"/>
        <v>5357.5768000000007</v>
      </c>
    </row>
    <row r="600" spans="1:25" x14ac:dyDescent="0.2">
      <c r="A600" t="s">
        <v>1484</v>
      </c>
      <c r="B600" s="1">
        <v>42165</v>
      </c>
      <c r="C600" s="2" t="str">
        <f t="shared" si="54"/>
        <v>2015</v>
      </c>
      <c r="D600" s="2" t="s">
        <v>601</v>
      </c>
      <c r="E600" s="2" t="s">
        <v>400</v>
      </c>
      <c r="F600" s="2" t="s">
        <v>19</v>
      </c>
      <c r="G600" s="2" t="s">
        <v>20</v>
      </c>
      <c r="H600" s="2" t="s">
        <v>50</v>
      </c>
      <c r="I600" s="2" t="s">
        <v>22</v>
      </c>
      <c r="J600" s="2" t="s">
        <v>23</v>
      </c>
      <c r="K600" s="2" t="s">
        <v>197</v>
      </c>
      <c r="L600" s="2" t="s">
        <v>32</v>
      </c>
      <c r="M600" s="2" t="s">
        <v>26</v>
      </c>
      <c r="N600" s="2" t="s">
        <v>27</v>
      </c>
      <c r="O600" s="1">
        <v>42169</v>
      </c>
      <c r="P600" s="3">
        <v>3.52</v>
      </c>
      <c r="Q600" s="3">
        <v>5.68</v>
      </c>
      <c r="R600" s="3">
        <f t="shared" si="55"/>
        <v>2.1599999999999997</v>
      </c>
      <c r="S600" s="2">
        <v>8</v>
      </c>
      <c r="T600" s="3">
        <f t="shared" si="56"/>
        <v>45.44</v>
      </c>
      <c r="U600" s="4">
        <v>0.05</v>
      </c>
      <c r="V600" s="6">
        <f t="shared" si="57"/>
        <v>2.2719999999999998</v>
      </c>
      <c r="W600" s="6">
        <f t="shared" si="58"/>
        <v>43.167999999999999</v>
      </c>
      <c r="X600" s="3">
        <v>1.39</v>
      </c>
      <c r="Y600" s="5">
        <f t="shared" si="59"/>
        <v>44.558</v>
      </c>
    </row>
    <row r="601" spans="1:25" x14ac:dyDescent="0.2">
      <c r="A601" t="s">
        <v>1485</v>
      </c>
      <c r="B601" s="1">
        <v>42166</v>
      </c>
      <c r="C601" s="2" t="str">
        <f t="shared" si="54"/>
        <v>2015</v>
      </c>
      <c r="D601" s="2" t="s">
        <v>597</v>
      </c>
      <c r="E601" s="2" t="s">
        <v>598</v>
      </c>
      <c r="F601" s="2" t="s">
        <v>36</v>
      </c>
      <c r="G601" s="2" t="s">
        <v>37</v>
      </c>
      <c r="H601" s="2" t="s">
        <v>29</v>
      </c>
      <c r="I601" s="2" t="s">
        <v>96</v>
      </c>
      <c r="J601" s="2" t="s">
        <v>23</v>
      </c>
      <c r="K601" s="2" t="s">
        <v>544</v>
      </c>
      <c r="L601" s="2" t="s">
        <v>32</v>
      </c>
      <c r="M601" s="2" t="s">
        <v>58</v>
      </c>
      <c r="N601" s="2" t="s">
        <v>27</v>
      </c>
      <c r="O601" s="1">
        <v>42166</v>
      </c>
      <c r="P601" s="3">
        <v>3.51</v>
      </c>
      <c r="Q601" s="3">
        <v>8.57</v>
      </c>
      <c r="R601" s="3">
        <f t="shared" si="55"/>
        <v>5.0600000000000005</v>
      </c>
      <c r="S601" s="2">
        <v>22</v>
      </c>
      <c r="T601" s="3">
        <f t="shared" si="56"/>
        <v>188.54000000000002</v>
      </c>
      <c r="U601" s="4">
        <v>0.1</v>
      </c>
      <c r="V601" s="6">
        <f t="shared" si="57"/>
        <v>18.854000000000003</v>
      </c>
      <c r="W601" s="6">
        <f t="shared" si="58"/>
        <v>169.68600000000001</v>
      </c>
      <c r="X601" s="3">
        <v>6.14</v>
      </c>
      <c r="Y601" s="5">
        <f t="shared" si="59"/>
        <v>175.82599999999999</v>
      </c>
    </row>
    <row r="602" spans="1:25" x14ac:dyDescent="0.2">
      <c r="A602" t="s">
        <v>1486</v>
      </c>
      <c r="B602" s="1">
        <v>42166</v>
      </c>
      <c r="C602" s="2" t="str">
        <f t="shared" si="54"/>
        <v>2015</v>
      </c>
      <c r="D602" s="2" t="s">
        <v>500</v>
      </c>
      <c r="E602" s="2" t="s">
        <v>185</v>
      </c>
      <c r="F602" s="2" t="s">
        <v>36</v>
      </c>
      <c r="G602" s="2" t="s">
        <v>37</v>
      </c>
      <c r="H602" s="2" t="s">
        <v>29</v>
      </c>
      <c r="I602" s="2" t="s">
        <v>153</v>
      </c>
      <c r="J602" s="2" t="s">
        <v>44</v>
      </c>
      <c r="K602" s="2" t="s">
        <v>351</v>
      </c>
      <c r="L602" s="2" t="s">
        <v>32</v>
      </c>
      <c r="M602" s="2" t="s">
        <v>33</v>
      </c>
      <c r="N602" s="2" t="s">
        <v>89</v>
      </c>
      <c r="O602" s="1">
        <v>42168</v>
      </c>
      <c r="P602" s="3">
        <v>0.93</v>
      </c>
      <c r="Q602" s="3">
        <v>1.6</v>
      </c>
      <c r="R602" s="3">
        <f t="shared" si="55"/>
        <v>0.67</v>
      </c>
      <c r="S602" s="2">
        <v>24</v>
      </c>
      <c r="T602" s="3">
        <f t="shared" si="56"/>
        <v>38.400000000000006</v>
      </c>
      <c r="U602" s="4">
        <v>0.04</v>
      </c>
      <c r="V602" s="6">
        <f t="shared" si="57"/>
        <v>1.5360000000000003</v>
      </c>
      <c r="W602" s="6">
        <f t="shared" si="58"/>
        <v>36.864000000000004</v>
      </c>
      <c r="X602" s="3">
        <v>1.29</v>
      </c>
      <c r="Y602" s="5">
        <f t="shared" si="59"/>
        <v>38.154000000000003</v>
      </c>
    </row>
    <row r="603" spans="1:25" x14ac:dyDescent="0.2">
      <c r="A603" t="s">
        <v>1487</v>
      </c>
      <c r="B603" s="1">
        <v>42168</v>
      </c>
      <c r="C603" s="2" t="str">
        <f t="shared" si="54"/>
        <v>2015</v>
      </c>
      <c r="D603" s="2" t="s">
        <v>59</v>
      </c>
      <c r="E603" s="2" t="s">
        <v>60</v>
      </c>
      <c r="F603" s="2" t="s">
        <v>36</v>
      </c>
      <c r="G603" s="2" t="s">
        <v>37</v>
      </c>
      <c r="H603" s="2" t="s">
        <v>50</v>
      </c>
      <c r="I603" s="2" t="s">
        <v>56</v>
      </c>
      <c r="J603" s="2" t="s">
        <v>52</v>
      </c>
      <c r="K603" s="2" t="s">
        <v>149</v>
      </c>
      <c r="L603" s="2" t="s">
        <v>150</v>
      </c>
      <c r="M603" s="2" t="s">
        <v>58</v>
      </c>
      <c r="N603" s="2" t="s">
        <v>27</v>
      </c>
      <c r="O603" s="1">
        <v>42171</v>
      </c>
      <c r="P603" s="3">
        <v>5.5</v>
      </c>
      <c r="Q603" s="3">
        <v>12.22</v>
      </c>
      <c r="R603" s="3">
        <f t="shared" si="55"/>
        <v>6.7200000000000006</v>
      </c>
      <c r="S603" s="2">
        <v>8</v>
      </c>
      <c r="T603" s="3">
        <f t="shared" si="56"/>
        <v>97.76</v>
      </c>
      <c r="U603" s="4">
        <v>0.1</v>
      </c>
      <c r="V603" s="6">
        <f t="shared" si="57"/>
        <v>9.7760000000000016</v>
      </c>
      <c r="W603" s="6">
        <f t="shared" si="58"/>
        <v>87.984000000000009</v>
      </c>
      <c r="X603" s="3">
        <v>2.85</v>
      </c>
      <c r="Y603" s="5">
        <f t="shared" si="59"/>
        <v>90.834000000000003</v>
      </c>
    </row>
    <row r="604" spans="1:25" x14ac:dyDescent="0.2">
      <c r="A604" t="s">
        <v>1488</v>
      </c>
      <c r="B604" s="1">
        <v>42169</v>
      </c>
      <c r="C604" s="2" t="str">
        <f t="shared" si="54"/>
        <v>2015</v>
      </c>
      <c r="D604" s="2" t="s">
        <v>596</v>
      </c>
      <c r="E604" s="2" t="s">
        <v>1918</v>
      </c>
      <c r="F604" s="2" t="s">
        <v>19</v>
      </c>
      <c r="G604" s="2" t="s">
        <v>20</v>
      </c>
      <c r="H604" s="2" t="s">
        <v>21</v>
      </c>
      <c r="I604" s="2" t="s">
        <v>22</v>
      </c>
      <c r="J604" s="2" t="s">
        <v>44</v>
      </c>
      <c r="K604" s="2" t="s">
        <v>377</v>
      </c>
      <c r="L604" s="2" t="s">
        <v>32</v>
      </c>
      <c r="M604" s="2" t="s">
        <v>33</v>
      </c>
      <c r="N604" s="2" t="s">
        <v>27</v>
      </c>
      <c r="O604" s="1">
        <v>42170</v>
      </c>
      <c r="P604" s="3">
        <v>1.31</v>
      </c>
      <c r="Q604" s="3">
        <v>2.84</v>
      </c>
      <c r="R604" s="3">
        <f t="shared" si="55"/>
        <v>1.5299999999999998</v>
      </c>
      <c r="S604" s="2">
        <v>23</v>
      </c>
      <c r="T604" s="3">
        <f t="shared" si="56"/>
        <v>65.319999999999993</v>
      </c>
      <c r="U604" s="4">
        <v>0.06</v>
      </c>
      <c r="V604" s="6">
        <f t="shared" si="57"/>
        <v>3.9191999999999996</v>
      </c>
      <c r="W604" s="6">
        <f t="shared" si="58"/>
        <v>61.400799999999997</v>
      </c>
      <c r="X604" s="3">
        <v>0.93</v>
      </c>
      <c r="Y604" s="5">
        <f t="shared" si="59"/>
        <v>62.330799999999996</v>
      </c>
    </row>
    <row r="605" spans="1:25" x14ac:dyDescent="0.2">
      <c r="A605" t="s">
        <v>1489</v>
      </c>
      <c r="B605" s="1">
        <v>42175</v>
      </c>
      <c r="C605" s="2" t="str">
        <f t="shared" si="54"/>
        <v>2015</v>
      </c>
      <c r="D605" s="2" t="s">
        <v>293</v>
      </c>
      <c r="E605" s="2" t="s">
        <v>69</v>
      </c>
      <c r="F605" s="2" t="s">
        <v>19</v>
      </c>
      <c r="G605" s="2" t="s">
        <v>20</v>
      </c>
      <c r="H605" s="2" t="s">
        <v>42</v>
      </c>
      <c r="I605" s="2" t="s">
        <v>22</v>
      </c>
      <c r="J605" s="2" t="s">
        <v>52</v>
      </c>
      <c r="K605" s="2" t="s">
        <v>80</v>
      </c>
      <c r="L605" s="2" t="s">
        <v>32</v>
      </c>
      <c r="M605" s="2" t="s">
        <v>26</v>
      </c>
      <c r="N605" s="2" t="s">
        <v>27</v>
      </c>
      <c r="O605" s="1">
        <v>42177</v>
      </c>
      <c r="P605" s="3">
        <v>4.59</v>
      </c>
      <c r="Q605" s="3">
        <v>7.28</v>
      </c>
      <c r="R605" s="3">
        <f t="shared" si="55"/>
        <v>2.6900000000000004</v>
      </c>
      <c r="S605" s="2">
        <v>16</v>
      </c>
      <c r="T605" s="3">
        <f t="shared" si="56"/>
        <v>116.48</v>
      </c>
      <c r="U605" s="4">
        <v>7.0000000000000007E-2</v>
      </c>
      <c r="V605" s="6">
        <f t="shared" si="57"/>
        <v>8.1536000000000008</v>
      </c>
      <c r="W605" s="6">
        <f t="shared" si="58"/>
        <v>108.32640000000001</v>
      </c>
      <c r="X605" s="3">
        <v>11.15</v>
      </c>
      <c r="Y605" s="5">
        <f t="shared" si="59"/>
        <v>119.47640000000001</v>
      </c>
    </row>
    <row r="606" spans="1:25" x14ac:dyDescent="0.2">
      <c r="A606" t="s">
        <v>1490</v>
      </c>
      <c r="B606" s="1">
        <v>42176</v>
      </c>
      <c r="C606" s="2" t="str">
        <f t="shared" si="54"/>
        <v>2015</v>
      </c>
      <c r="D606" s="2" t="s">
        <v>595</v>
      </c>
      <c r="E606" s="2" t="s">
        <v>176</v>
      </c>
      <c r="F606" s="2" t="s">
        <v>36</v>
      </c>
      <c r="G606" s="2" t="s">
        <v>37</v>
      </c>
      <c r="H606" s="2" t="s">
        <v>50</v>
      </c>
      <c r="I606" s="2" t="s">
        <v>102</v>
      </c>
      <c r="J606" s="2" t="s">
        <v>30</v>
      </c>
      <c r="K606" s="2" t="s">
        <v>332</v>
      </c>
      <c r="L606" s="2" t="s">
        <v>32</v>
      </c>
      <c r="M606" s="2" t="s">
        <v>26</v>
      </c>
      <c r="N606" s="2" t="s">
        <v>27</v>
      </c>
      <c r="O606" s="1">
        <v>42178</v>
      </c>
      <c r="P606" s="3">
        <v>2.25</v>
      </c>
      <c r="Q606" s="3">
        <v>3.69</v>
      </c>
      <c r="R606" s="3">
        <f t="shared" si="55"/>
        <v>1.44</v>
      </c>
      <c r="S606" s="2">
        <v>42</v>
      </c>
      <c r="T606" s="3">
        <f t="shared" si="56"/>
        <v>154.97999999999999</v>
      </c>
      <c r="U606" s="4">
        <v>0.06</v>
      </c>
      <c r="V606" s="6">
        <f t="shared" si="57"/>
        <v>9.2987999999999982</v>
      </c>
      <c r="W606" s="6">
        <f t="shared" si="58"/>
        <v>145.68119999999999</v>
      </c>
      <c r="X606" s="3">
        <v>2.5</v>
      </c>
      <c r="Y606" s="5">
        <f t="shared" si="59"/>
        <v>148.18119999999999</v>
      </c>
    </row>
    <row r="607" spans="1:25" x14ac:dyDescent="0.2">
      <c r="A607" t="s">
        <v>907</v>
      </c>
      <c r="B607" s="1">
        <v>42180</v>
      </c>
      <c r="C607" s="2" t="str">
        <f t="shared" si="54"/>
        <v>2015</v>
      </c>
      <c r="D607" s="2" t="s">
        <v>356</v>
      </c>
      <c r="E607" s="2" t="s">
        <v>357</v>
      </c>
      <c r="F607" s="2" t="s">
        <v>36</v>
      </c>
      <c r="G607" s="2" t="s">
        <v>37</v>
      </c>
      <c r="H607" s="2" t="s">
        <v>21</v>
      </c>
      <c r="I607" s="2" t="s">
        <v>96</v>
      </c>
      <c r="J607" s="2" t="s">
        <v>30</v>
      </c>
      <c r="K607" s="2" t="s">
        <v>163</v>
      </c>
      <c r="L607" s="2" t="s">
        <v>32</v>
      </c>
      <c r="M607" s="2" t="s">
        <v>33</v>
      </c>
      <c r="N607" s="2" t="s">
        <v>27</v>
      </c>
      <c r="O607" s="1">
        <v>42180</v>
      </c>
      <c r="P607" s="3">
        <v>1.0900000000000001</v>
      </c>
      <c r="Q607" s="3">
        <v>2.6</v>
      </c>
      <c r="R607" s="3">
        <f t="shared" si="55"/>
        <v>1.51</v>
      </c>
      <c r="S607" s="2">
        <v>26</v>
      </c>
      <c r="T607" s="3">
        <f t="shared" si="56"/>
        <v>67.600000000000009</v>
      </c>
      <c r="U607" s="4">
        <v>0.08</v>
      </c>
      <c r="V607" s="6">
        <f t="shared" si="57"/>
        <v>5.4080000000000004</v>
      </c>
      <c r="W607" s="6">
        <f t="shared" si="58"/>
        <v>62.192000000000007</v>
      </c>
      <c r="X607" s="3">
        <v>2.4</v>
      </c>
      <c r="Y607" s="5">
        <f t="shared" si="59"/>
        <v>64.592000000000013</v>
      </c>
    </row>
    <row r="608" spans="1:25" x14ac:dyDescent="0.2">
      <c r="A608" t="s">
        <v>908</v>
      </c>
      <c r="B608" s="1">
        <v>42180</v>
      </c>
      <c r="C608" s="2" t="str">
        <f t="shared" si="54"/>
        <v>2015</v>
      </c>
      <c r="D608" s="2" t="s">
        <v>356</v>
      </c>
      <c r="E608" s="2" t="s">
        <v>357</v>
      </c>
      <c r="F608" s="2" t="s">
        <v>36</v>
      </c>
      <c r="G608" s="2" t="s">
        <v>37</v>
      </c>
      <c r="H608" s="2" t="s">
        <v>21</v>
      </c>
      <c r="I608" s="2" t="s">
        <v>96</v>
      </c>
      <c r="J608" s="2" t="s">
        <v>30</v>
      </c>
      <c r="K608" s="2" t="s">
        <v>565</v>
      </c>
      <c r="L608" s="2" t="s">
        <v>25</v>
      </c>
      <c r="M608" s="2" t="s">
        <v>26</v>
      </c>
      <c r="N608" s="2" t="s">
        <v>27</v>
      </c>
      <c r="O608" s="1">
        <v>42182</v>
      </c>
      <c r="P608" s="3">
        <v>42.11</v>
      </c>
      <c r="Q608" s="3">
        <v>80.98</v>
      </c>
      <c r="R608" s="3">
        <f t="shared" si="55"/>
        <v>38.870000000000005</v>
      </c>
      <c r="S608" s="2">
        <v>34</v>
      </c>
      <c r="T608" s="3">
        <f t="shared" si="56"/>
        <v>2753.32</v>
      </c>
      <c r="U608" s="4">
        <v>0.02</v>
      </c>
      <c r="V608" s="6">
        <f t="shared" si="57"/>
        <v>55.066400000000002</v>
      </c>
      <c r="W608" s="6">
        <f t="shared" si="58"/>
        <v>2698.2536</v>
      </c>
      <c r="X608" s="3">
        <v>7.18</v>
      </c>
      <c r="Y608" s="5">
        <f t="shared" si="59"/>
        <v>2705.4335999999998</v>
      </c>
    </row>
    <row r="609" spans="1:25" x14ac:dyDescent="0.2">
      <c r="A609" t="s">
        <v>1491</v>
      </c>
      <c r="B609" s="1">
        <v>42180</v>
      </c>
      <c r="C609" s="2" t="str">
        <f t="shared" si="54"/>
        <v>2015</v>
      </c>
      <c r="D609" s="2" t="s">
        <v>594</v>
      </c>
      <c r="E609" s="2" t="s">
        <v>1930</v>
      </c>
      <c r="F609" s="2" t="s">
        <v>36</v>
      </c>
      <c r="G609" s="2" t="s">
        <v>37</v>
      </c>
      <c r="H609" s="2" t="s">
        <v>29</v>
      </c>
      <c r="I609" s="2" t="s">
        <v>51</v>
      </c>
      <c r="J609" s="2" t="s">
        <v>44</v>
      </c>
      <c r="K609" s="2" t="s">
        <v>120</v>
      </c>
      <c r="L609" s="2" t="s">
        <v>32</v>
      </c>
      <c r="M609" s="2" t="s">
        <v>26</v>
      </c>
      <c r="N609" s="2" t="s">
        <v>89</v>
      </c>
      <c r="O609" s="1">
        <v>42181</v>
      </c>
      <c r="P609" s="3">
        <v>1.18</v>
      </c>
      <c r="Q609" s="3">
        <v>1.88</v>
      </c>
      <c r="R609" s="3">
        <f t="shared" si="55"/>
        <v>0.7</v>
      </c>
      <c r="S609" s="2">
        <v>5</v>
      </c>
      <c r="T609" s="3">
        <f t="shared" si="56"/>
        <v>9.3999999999999986</v>
      </c>
      <c r="U609" s="4">
        <v>0.08</v>
      </c>
      <c r="V609" s="6">
        <f t="shared" si="57"/>
        <v>0.75199999999999989</v>
      </c>
      <c r="W609" s="6">
        <f t="shared" si="58"/>
        <v>8.6479999999999979</v>
      </c>
      <c r="X609" s="3">
        <v>1.49</v>
      </c>
      <c r="Y609" s="5">
        <f t="shared" si="59"/>
        <v>10.137999999999998</v>
      </c>
    </row>
    <row r="610" spans="1:25" x14ac:dyDescent="0.2">
      <c r="A610" t="s">
        <v>1492</v>
      </c>
      <c r="B610" s="1">
        <v>42182</v>
      </c>
      <c r="C610" s="2" t="str">
        <f t="shared" si="54"/>
        <v>2015</v>
      </c>
      <c r="D610" s="2" t="s">
        <v>591</v>
      </c>
      <c r="E610" s="2" t="s">
        <v>69</v>
      </c>
      <c r="F610" s="2" t="s">
        <v>19</v>
      </c>
      <c r="G610" s="2" t="s">
        <v>20</v>
      </c>
      <c r="H610" s="2" t="s">
        <v>50</v>
      </c>
      <c r="I610" s="2" t="s">
        <v>22</v>
      </c>
      <c r="J610" s="2" t="s">
        <v>30</v>
      </c>
      <c r="K610" s="2" t="s">
        <v>241</v>
      </c>
      <c r="L610" s="2" t="s">
        <v>32</v>
      </c>
      <c r="M610" s="2" t="s">
        <v>26</v>
      </c>
      <c r="N610" s="2" t="s">
        <v>27</v>
      </c>
      <c r="O610" s="1">
        <v>42184</v>
      </c>
      <c r="P610" s="3">
        <v>3.65</v>
      </c>
      <c r="Q610" s="3">
        <v>5.98</v>
      </c>
      <c r="R610" s="3">
        <f t="shared" si="55"/>
        <v>2.3300000000000005</v>
      </c>
      <c r="S610" s="2">
        <v>50</v>
      </c>
      <c r="T610" s="3">
        <f t="shared" si="56"/>
        <v>299</v>
      </c>
      <c r="U610" s="4">
        <v>0.02</v>
      </c>
      <c r="V610" s="6">
        <f t="shared" si="57"/>
        <v>5.98</v>
      </c>
      <c r="W610" s="6">
        <f t="shared" si="58"/>
        <v>293.02</v>
      </c>
      <c r="X610" s="3">
        <v>1.49</v>
      </c>
      <c r="Y610" s="5">
        <f t="shared" si="59"/>
        <v>294.51</v>
      </c>
    </row>
    <row r="611" spans="1:25" x14ac:dyDescent="0.2">
      <c r="A611" t="s">
        <v>1493</v>
      </c>
      <c r="B611" s="1">
        <v>42182</v>
      </c>
      <c r="C611" s="2" t="str">
        <f t="shared" si="54"/>
        <v>2015</v>
      </c>
      <c r="D611" s="2" t="s">
        <v>592</v>
      </c>
      <c r="E611" s="2" t="s">
        <v>1920</v>
      </c>
      <c r="F611" s="2" t="s">
        <v>19</v>
      </c>
      <c r="G611" s="2" t="s">
        <v>20</v>
      </c>
      <c r="H611" s="2" t="s">
        <v>50</v>
      </c>
      <c r="I611" s="2" t="s">
        <v>22</v>
      </c>
      <c r="J611" s="2" t="s">
        <v>44</v>
      </c>
      <c r="K611" s="2" t="s">
        <v>125</v>
      </c>
      <c r="L611" s="2" t="s">
        <v>32</v>
      </c>
      <c r="M611" s="2" t="s">
        <v>33</v>
      </c>
      <c r="N611" s="2" t="s">
        <v>27</v>
      </c>
      <c r="O611" s="1">
        <v>42182</v>
      </c>
      <c r="P611" s="3">
        <v>1.53</v>
      </c>
      <c r="Q611" s="3">
        <v>2.78</v>
      </c>
      <c r="R611" s="3">
        <f t="shared" si="55"/>
        <v>1.2499999999999998</v>
      </c>
      <c r="S611" s="2">
        <v>44</v>
      </c>
      <c r="T611" s="3">
        <f t="shared" si="56"/>
        <v>122.32</v>
      </c>
      <c r="U611" s="4">
        <v>7.0000000000000007E-2</v>
      </c>
      <c r="V611" s="6">
        <f t="shared" si="57"/>
        <v>8.5624000000000002</v>
      </c>
      <c r="W611" s="6">
        <f t="shared" si="58"/>
        <v>113.7576</v>
      </c>
      <c r="X611" s="3">
        <v>1.34</v>
      </c>
      <c r="Y611" s="5">
        <f t="shared" si="59"/>
        <v>115.0976</v>
      </c>
    </row>
    <row r="612" spans="1:25" x14ac:dyDescent="0.2">
      <c r="A612" t="s">
        <v>1494</v>
      </c>
      <c r="B612" s="1">
        <v>42182</v>
      </c>
      <c r="C612" s="2" t="str">
        <f t="shared" si="54"/>
        <v>2015</v>
      </c>
      <c r="D612" s="2" t="s">
        <v>593</v>
      </c>
      <c r="E612" s="2" t="s">
        <v>105</v>
      </c>
      <c r="F612" s="2" t="s">
        <v>36</v>
      </c>
      <c r="G612" s="2" t="s">
        <v>37</v>
      </c>
      <c r="H612" s="2" t="s">
        <v>50</v>
      </c>
      <c r="I612" s="2" t="s">
        <v>56</v>
      </c>
      <c r="J612" s="2" t="s">
        <v>52</v>
      </c>
      <c r="K612" s="2" t="s">
        <v>405</v>
      </c>
      <c r="L612" s="2" t="s">
        <v>32</v>
      </c>
      <c r="M612" s="2" t="s">
        <v>26</v>
      </c>
      <c r="N612" s="2" t="s">
        <v>27</v>
      </c>
      <c r="O612" s="1">
        <v>42184</v>
      </c>
      <c r="P612" s="3">
        <v>2.1800000000000002</v>
      </c>
      <c r="Q612" s="3">
        <v>3.52</v>
      </c>
      <c r="R612" s="3">
        <f t="shared" si="55"/>
        <v>1.3399999999999999</v>
      </c>
      <c r="S612" s="2">
        <v>1</v>
      </c>
      <c r="T612" s="3">
        <f t="shared" si="56"/>
        <v>3.52</v>
      </c>
      <c r="U612" s="4">
        <v>0.04</v>
      </c>
      <c r="V612" s="6">
        <f t="shared" si="57"/>
        <v>0.14080000000000001</v>
      </c>
      <c r="W612" s="6">
        <f t="shared" si="58"/>
        <v>3.3792</v>
      </c>
      <c r="X612" s="3">
        <v>6.83</v>
      </c>
      <c r="Y612" s="5">
        <f t="shared" si="59"/>
        <v>10.209199999999999</v>
      </c>
    </row>
    <row r="613" spans="1:25" x14ac:dyDescent="0.2">
      <c r="A613" t="s">
        <v>1495</v>
      </c>
      <c r="B613" s="1">
        <v>42183</v>
      </c>
      <c r="C613" s="2" t="str">
        <f t="shared" si="54"/>
        <v>2015</v>
      </c>
      <c r="D613" s="2" t="s">
        <v>588</v>
      </c>
      <c r="E613" s="2" t="s">
        <v>286</v>
      </c>
      <c r="F613" s="2" t="s">
        <v>36</v>
      </c>
      <c r="G613" s="2" t="s">
        <v>37</v>
      </c>
      <c r="H613" s="2" t="s">
        <v>42</v>
      </c>
      <c r="I613" s="2" t="s">
        <v>102</v>
      </c>
      <c r="J613" s="2" t="s">
        <v>30</v>
      </c>
      <c r="K613" s="2" t="s">
        <v>134</v>
      </c>
      <c r="L613" s="2" t="s">
        <v>32</v>
      </c>
      <c r="M613" s="2" t="s">
        <v>26</v>
      </c>
      <c r="N613" s="2" t="s">
        <v>89</v>
      </c>
      <c r="O613" s="1">
        <v>42185</v>
      </c>
      <c r="P613" s="3">
        <v>2.4500000000000002</v>
      </c>
      <c r="Q613" s="3">
        <v>3.89</v>
      </c>
      <c r="R613" s="3">
        <f t="shared" si="55"/>
        <v>1.44</v>
      </c>
      <c r="S613" s="2">
        <v>32</v>
      </c>
      <c r="T613" s="3">
        <f t="shared" si="56"/>
        <v>124.48</v>
      </c>
      <c r="U613" s="4">
        <v>0.1</v>
      </c>
      <c r="V613" s="6">
        <f t="shared" si="57"/>
        <v>12.448</v>
      </c>
      <c r="W613" s="6">
        <f t="shared" si="58"/>
        <v>112.03200000000001</v>
      </c>
      <c r="X613" s="3">
        <v>7.01</v>
      </c>
      <c r="Y613" s="5">
        <f t="shared" si="59"/>
        <v>119.04200000000002</v>
      </c>
    </row>
    <row r="614" spans="1:25" x14ac:dyDescent="0.2">
      <c r="A614" t="s">
        <v>1496</v>
      </c>
      <c r="B614" s="1">
        <v>42183</v>
      </c>
      <c r="C614" s="2" t="str">
        <f t="shared" si="54"/>
        <v>2015</v>
      </c>
      <c r="D614" s="2" t="s">
        <v>590</v>
      </c>
      <c r="E614" s="2" t="s">
        <v>182</v>
      </c>
      <c r="F614" s="2" t="s">
        <v>36</v>
      </c>
      <c r="G614" s="2" t="s">
        <v>37</v>
      </c>
      <c r="H614" s="2" t="s">
        <v>50</v>
      </c>
      <c r="I614" s="2" t="s">
        <v>96</v>
      </c>
      <c r="J614" s="2" t="s">
        <v>52</v>
      </c>
      <c r="K614" s="2" t="s">
        <v>386</v>
      </c>
      <c r="L614" s="2" t="s">
        <v>25</v>
      </c>
      <c r="M614" s="2" t="s">
        <v>26</v>
      </c>
      <c r="N614" s="2" t="s">
        <v>27</v>
      </c>
      <c r="O614" s="1">
        <v>42184</v>
      </c>
      <c r="P614" s="3">
        <v>6.51</v>
      </c>
      <c r="Q614" s="3">
        <v>30.98</v>
      </c>
      <c r="R614" s="3">
        <f t="shared" si="55"/>
        <v>24.47</v>
      </c>
      <c r="S614" s="2">
        <v>6</v>
      </c>
      <c r="T614" s="3">
        <f t="shared" si="56"/>
        <v>185.88</v>
      </c>
      <c r="U614" s="4">
        <v>0.01</v>
      </c>
      <c r="V614" s="6">
        <f t="shared" si="57"/>
        <v>1.8588</v>
      </c>
      <c r="W614" s="6">
        <f t="shared" si="58"/>
        <v>184.02119999999999</v>
      </c>
      <c r="X614" s="3">
        <v>6.5</v>
      </c>
      <c r="Y614" s="5">
        <f t="shared" si="59"/>
        <v>190.52119999999999</v>
      </c>
    </row>
    <row r="615" spans="1:25" x14ac:dyDescent="0.2">
      <c r="A615" t="s">
        <v>1497</v>
      </c>
      <c r="B615" s="1">
        <v>42184</v>
      </c>
      <c r="C615" s="2" t="str">
        <f t="shared" si="54"/>
        <v>2015</v>
      </c>
      <c r="D615" s="2" t="s">
        <v>348</v>
      </c>
      <c r="E615" s="2" t="s">
        <v>349</v>
      </c>
      <c r="F615" s="2" t="s">
        <v>36</v>
      </c>
      <c r="G615" s="2" t="s">
        <v>37</v>
      </c>
      <c r="H615" s="2" t="s">
        <v>21</v>
      </c>
      <c r="I615" s="2" t="s">
        <v>96</v>
      </c>
      <c r="J615" s="2" t="s">
        <v>23</v>
      </c>
      <c r="K615" s="2" t="s">
        <v>108</v>
      </c>
      <c r="L615" s="2" t="s">
        <v>32</v>
      </c>
      <c r="M615" s="2" t="s">
        <v>26</v>
      </c>
      <c r="N615" s="2" t="s">
        <v>27</v>
      </c>
      <c r="O615" s="1">
        <v>42188</v>
      </c>
      <c r="P615" s="3">
        <v>1.84</v>
      </c>
      <c r="Q615" s="3">
        <v>2.88</v>
      </c>
      <c r="R615" s="3">
        <f t="shared" si="55"/>
        <v>1.0399999999999998</v>
      </c>
      <c r="S615" s="2">
        <v>49</v>
      </c>
      <c r="T615" s="3">
        <f t="shared" si="56"/>
        <v>141.12</v>
      </c>
      <c r="U615" s="4">
        <v>0.01</v>
      </c>
      <c r="V615" s="6">
        <f t="shared" si="57"/>
        <v>1.4112</v>
      </c>
      <c r="W615" s="6">
        <f t="shared" si="58"/>
        <v>139.7088</v>
      </c>
      <c r="X615" s="3">
        <v>0.99</v>
      </c>
      <c r="Y615" s="5">
        <f t="shared" si="59"/>
        <v>140.69880000000001</v>
      </c>
    </row>
    <row r="616" spans="1:25" x14ac:dyDescent="0.2">
      <c r="A616" t="s">
        <v>1498</v>
      </c>
      <c r="B616" s="1">
        <v>42187</v>
      </c>
      <c r="C616" s="2" t="str">
        <f t="shared" si="54"/>
        <v>2015</v>
      </c>
      <c r="D616" s="2" t="s">
        <v>587</v>
      </c>
      <c r="E616" s="2" t="s">
        <v>286</v>
      </c>
      <c r="F616" s="2" t="s">
        <v>36</v>
      </c>
      <c r="G616" s="2" t="s">
        <v>37</v>
      </c>
      <c r="H616" s="2" t="s">
        <v>21</v>
      </c>
      <c r="I616" s="2" t="s">
        <v>102</v>
      </c>
      <c r="J616" s="2" t="s">
        <v>66</v>
      </c>
      <c r="K616" s="2" t="s">
        <v>323</v>
      </c>
      <c r="L616" s="2" t="s">
        <v>32</v>
      </c>
      <c r="M616" s="2" t="s">
        <v>33</v>
      </c>
      <c r="N616" s="2" t="s">
        <v>27</v>
      </c>
      <c r="O616" s="1">
        <v>42189</v>
      </c>
      <c r="P616" s="3">
        <v>11.11</v>
      </c>
      <c r="Q616" s="3">
        <v>19.84</v>
      </c>
      <c r="R616" s="3">
        <f t="shared" si="55"/>
        <v>8.73</v>
      </c>
      <c r="S616" s="2">
        <v>1</v>
      </c>
      <c r="T616" s="3">
        <f t="shared" si="56"/>
        <v>19.84</v>
      </c>
      <c r="U616" s="4">
        <v>0.05</v>
      </c>
      <c r="V616" s="6">
        <f t="shared" si="57"/>
        <v>0.99199999999999999</v>
      </c>
      <c r="W616" s="6">
        <f t="shared" si="58"/>
        <v>18.847999999999999</v>
      </c>
      <c r="X616" s="3">
        <v>4.0999999999999996</v>
      </c>
      <c r="Y616" s="5">
        <f t="shared" si="59"/>
        <v>22.948</v>
      </c>
    </row>
    <row r="617" spans="1:25" x14ac:dyDescent="0.2">
      <c r="A617" t="s">
        <v>1499</v>
      </c>
      <c r="B617" s="1">
        <v>42189</v>
      </c>
      <c r="C617" s="2" t="str">
        <f t="shared" si="54"/>
        <v>2015</v>
      </c>
      <c r="D617" s="2" t="s">
        <v>582</v>
      </c>
      <c r="E617" s="2" t="s">
        <v>485</v>
      </c>
      <c r="F617" s="2" t="s">
        <v>36</v>
      </c>
      <c r="G617" s="2" t="s">
        <v>37</v>
      </c>
      <c r="H617" s="2" t="s">
        <v>50</v>
      </c>
      <c r="I617" s="2" t="s">
        <v>51</v>
      </c>
      <c r="J617" s="2" t="s">
        <v>52</v>
      </c>
      <c r="K617" s="2" t="s">
        <v>583</v>
      </c>
      <c r="L617" s="2" t="s">
        <v>150</v>
      </c>
      <c r="M617" s="2" t="s">
        <v>58</v>
      </c>
      <c r="N617" s="2" t="s">
        <v>27</v>
      </c>
      <c r="O617" s="1">
        <v>42189</v>
      </c>
      <c r="P617" s="3">
        <v>11.38</v>
      </c>
      <c r="Q617" s="3">
        <v>18.649999999999999</v>
      </c>
      <c r="R617" s="3">
        <f t="shared" si="55"/>
        <v>7.2699999999999978</v>
      </c>
      <c r="S617" s="2">
        <v>44</v>
      </c>
      <c r="T617" s="3">
        <f t="shared" si="56"/>
        <v>820.59999999999991</v>
      </c>
      <c r="U617" s="4">
        <v>0.03</v>
      </c>
      <c r="V617" s="6">
        <f t="shared" si="57"/>
        <v>24.617999999999995</v>
      </c>
      <c r="W617" s="6">
        <f t="shared" si="58"/>
        <v>795.98199999999997</v>
      </c>
      <c r="X617" s="3">
        <v>3.77</v>
      </c>
      <c r="Y617" s="5">
        <f t="shared" si="59"/>
        <v>799.75199999999995</v>
      </c>
    </row>
    <row r="618" spans="1:25" x14ac:dyDescent="0.2">
      <c r="A618" t="s">
        <v>1500</v>
      </c>
      <c r="B618" s="1">
        <v>42189</v>
      </c>
      <c r="C618" s="2" t="str">
        <f t="shared" si="54"/>
        <v>2015</v>
      </c>
      <c r="D618" s="2" t="s">
        <v>584</v>
      </c>
      <c r="E618" s="2" t="s">
        <v>133</v>
      </c>
      <c r="F618" s="2" t="s">
        <v>19</v>
      </c>
      <c r="G618" s="2" t="s">
        <v>20</v>
      </c>
      <c r="H618" s="2" t="s">
        <v>50</v>
      </c>
      <c r="I618" s="2" t="s">
        <v>92</v>
      </c>
      <c r="J618" s="2" t="s">
        <v>44</v>
      </c>
      <c r="K618" s="2" t="s">
        <v>585</v>
      </c>
      <c r="L618" s="2" t="s">
        <v>32</v>
      </c>
      <c r="M618" s="2" t="s">
        <v>26</v>
      </c>
      <c r="N618" s="2" t="s">
        <v>27</v>
      </c>
      <c r="O618" s="1">
        <v>42190</v>
      </c>
      <c r="P618" s="3">
        <v>2.74</v>
      </c>
      <c r="Q618" s="3">
        <v>4.49</v>
      </c>
      <c r="R618" s="3">
        <f t="shared" si="55"/>
        <v>1.75</v>
      </c>
      <c r="S618" s="2">
        <v>15</v>
      </c>
      <c r="T618" s="3">
        <f t="shared" si="56"/>
        <v>67.350000000000009</v>
      </c>
      <c r="U618" s="4">
        <v>0.05</v>
      </c>
      <c r="V618" s="6">
        <f t="shared" si="57"/>
        <v>3.3675000000000006</v>
      </c>
      <c r="W618" s="6">
        <f t="shared" si="58"/>
        <v>63.982500000000009</v>
      </c>
      <c r="X618" s="3">
        <v>1.49</v>
      </c>
      <c r="Y618" s="5">
        <f t="shared" si="59"/>
        <v>65.472500000000011</v>
      </c>
    </row>
    <row r="619" spans="1:25" x14ac:dyDescent="0.2">
      <c r="A619" t="s">
        <v>1501</v>
      </c>
      <c r="B619" s="1">
        <v>42190</v>
      </c>
      <c r="C619" s="2" t="str">
        <f t="shared" si="54"/>
        <v>2015</v>
      </c>
      <c r="D619" s="2" t="s">
        <v>581</v>
      </c>
      <c r="E619" s="2" t="s">
        <v>373</v>
      </c>
      <c r="F619" s="2" t="s">
        <v>36</v>
      </c>
      <c r="G619" s="2" t="s">
        <v>37</v>
      </c>
      <c r="H619" s="2" t="s">
        <v>21</v>
      </c>
      <c r="I619" s="2" t="s">
        <v>51</v>
      </c>
      <c r="J619" s="2" t="s">
        <v>66</v>
      </c>
      <c r="K619" s="2" t="s">
        <v>84</v>
      </c>
      <c r="L619" s="2" t="s">
        <v>25</v>
      </c>
      <c r="M619" s="2" t="s">
        <v>85</v>
      </c>
      <c r="N619" s="2" t="s">
        <v>27</v>
      </c>
      <c r="O619" s="1">
        <v>42192</v>
      </c>
      <c r="P619" s="3">
        <v>8.82</v>
      </c>
      <c r="Q619" s="3">
        <v>20.99</v>
      </c>
      <c r="R619" s="3">
        <f t="shared" si="55"/>
        <v>12.169999999999998</v>
      </c>
      <c r="S619" s="2">
        <v>49</v>
      </c>
      <c r="T619" s="3">
        <f t="shared" si="56"/>
        <v>1028.51</v>
      </c>
      <c r="U619" s="4">
        <v>0.06</v>
      </c>
      <c r="V619" s="6">
        <f t="shared" si="57"/>
        <v>61.710599999999999</v>
      </c>
      <c r="W619" s="6">
        <f t="shared" si="58"/>
        <v>966.79939999999999</v>
      </c>
      <c r="X619" s="3">
        <v>4.8099999999999996</v>
      </c>
      <c r="Y619" s="5">
        <f t="shared" si="59"/>
        <v>971.60939999999994</v>
      </c>
    </row>
    <row r="620" spans="1:25" x14ac:dyDescent="0.2">
      <c r="A620" t="s">
        <v>1502</v>
      </c>
      <c r="B620" s="1">
        <v>42194</v>
      </c>
      <c r="C620" s="2" t="str">
        <f t="shared" si="54"/>
        <v>2015</v>
      </c>
      <c r="D620" s="2" t="s">
        <v>579</v>
      </c>
      <c r="E620" s="2" t="s">
        <v>580</v>
      </c>
      <c r="F620" s="2" t="s">
        <v>36</v>
      </c>
      <c r="G620" s="2" t="s">
        <v>37</v>
      </c>
      <c r="H620" s="2" t="s">
        <v>21</v>
      </c>
      <c r="I620" s="2" t="s">
        <v>43</v>
      </c>
      <c r="J620" s="2" t="s">
        <v>52</v>
      </c>
      <c r="K620" s="2" t="s">
        <v>260</v>
      </c>
      <c r="L620" s="2" t="s">
        <v>150</v>
      </c>
      <c r="M620" s="2" t="s">
        <v>261</v>
      </c>
      <c r="N620" s="2" t="s">
        <v>27</v>
      </c>
      <c r="O620" s="1">
        <v>42195</v>
      </c>
      <c r="P620" s="3">
        <v>56.16</v>
      </c>
      <c r="Q620" s="3">
        <v>136.97999999999999</v>
      </c>
      <c r="R620" s="3">
        <f t="shared" si="55"/>
        <v>80.819999999999993</v>
      </c>
      <c r="S620" s="2">
        <v>7</v>
      </c>
      <c r="T620" s="3">
        <f t="shared" si="56"/>
        <v>958.8599999999999</v>
      </c>
      <c r="U620" s="4">
        <v>0.02</v>
      </c>
      <c r="V620" s="6">
        <f t="shared" si="57"/>
        <v>19.177199999999999</v>
      </c>
      <c r="W620" s="6">
        <f t="shared" si="58"/>
        <v>939.68279999999993</v>
      </c>
      <c r="X620" s="3">
        <v>24.49</v>
      </c>
      <c r="Y620" s="5">
        <f t="shared" si="59"/>
        <v>964.17279999999994</v>
      </c>
    </row>
    <row r="621" spans="1:25" x14ac:dyDescent="0.2">
      <c r="A621" t="s">
        <v>1503</v>
      </c>
      <c r="B621" s="1">
        <v>42196</v>
      </c>
      <c r="C621" s="2" t="str">
        <f t="shared" si="54"/>
        <v>2015</v>
      </c>
      <c r="D621" s="2" t="s">
        <v>178</v>
      </c>
      <c r="E621" s="2" t="s">
        <v>179</v>
      </c>
      <c r="F621" s="2" t="s">
        <v>36</v>
      </c>
      <c r="G621" s="2" t="s">
        <v>37</v>
      </c>
      <c r="H621" s="2" t="s">
        <v>42</v>
      </c>
      <c r="I621" s="2" t="s">
        <v>83</v>
      </c>
      <c r="J621" s="2" t="s">
        <v>30</v>
      </c>
      <c r="K621" s="2" t="s">
        <v>452</v>
      </c>
      <c r="L621" s="2" t="s">
        <v>32</v>
      </c>
      <c r="M621" s="2" t="s">
        <v>33</v>
      </c>
      <c r="N621" s="2" t="s">
        <v>27</v>
      </c>
      <c r="O621" s="1">
        <v>42198</v>
      </c>
      <c r="P621" s="3">
        <v>0.94</v>
      </c>
      <c r="Q621" s="3">
        <v>1.88</v>
      </c>
      <c r="R621" s="3">
        <f t="shared" si="55"/>
        <v>0.94</v>
      </c>
      <c r="S621" s="2">
        <v>22</v>
      </c>
      <c r="T621" s="3">
        <f t="shared" si="56"/>
        <v>41.36</v>
      </c>
      <c r="U621" s="4">
        <v>7.0000000000000007E-2</v>
      </c>
      <c r="V621" s="6">
        <f t="shared" si="57"/>
        <v>2.8952000000000004</v>
      </c>
      <c r="W621" s="6">
        <f t="shared" si="58"/>
        <v>38.464799999999997</v>
      </c>
      <c r="X621" s="3">
        <v>0.79</v>
      </c>
      <c r="Y621" s="5">
        <f t="shared" si="59"/>
        <v>39.254799999999996</v>
      </c>
    </row>
    <row r="622" spans="1:25" x14ac:dyDescent="0.2">
      <c r="A622" t="s">
        <v>1504</v>
      </c>
      <c r="B622" s="1">
        <v>42197</v>
      </c>
      <c r="C622" s="2" t="str">
        <f t="shared" si="54"/>
        <v>2015</v>
      </c>
      <c r="D622" s="2" t="s">
        <v>476</v>
      </c>
      <c r="E622" s="2" t="s">
        <v>477</v>
      </c>
      <c r="F622" s="2" t="s">
        <v>36</v>
      </c>
      <c r="G622" s="2" t="s">
        <v>37</v>
      </c>
      <c r="H622" s="2" t="s">
        <v>21</v>
      </c>
      <c r="I622" s="2" t="s">
        <v>83</v>
      </c>
      <c r="J622" s="2" t="s">
        <v>23</v>
      </c>
      <c r="K622" s="2" t="s">
        <v>205</v>
      </c>
      <c r="L622" s="2" t="s">
        <v>32</v>
      </c>
      <c r="M622" s="2" t="s">
        <v>26</v>
      </c>
      <c r="N622" s="2" t="s">
        <v>27</v>
      </c>
      <c r="O622" s="1">
        <v>42199</v>
      </c>
      <c r="P622" s="3">
        <v>11.04</v>
      </c>
      <c r="Q622" s="3">
        <v>16.98</v>
      </c>
      <c r="R622" s="3">
        <f t="shared" si="55"/>
        <v>5.9400000000000013</v>
      </c>
      <c r="S622" s="2">
        <v>1</v>
      </c>
      <c r="T622" s="3">
        <f t="shared" si="56"/>
        <v>16.98</v>
      </c>
      <c r="U622" s="4">
        <v>0.03</v>
      </c>
      <c r="V622" s="6">
        <f t="shared" si="57"/>
        <v>0.50939999999999996</v>
      </c>
      <c r="W622" s="6">
        <f t="shared" si="58"/>
        <v>16.470600000000001</v>
      </c>
      <c r="X622" s="3">
        <v>12.39</v>
      </c>
      <c r="Y622" s="5">
        <f t="shared" si="59"/>
        <v>28.860600000000002</v>
      </c>
    </row>
    <row r="623" spans="1:25" x14ac:dyDescent="0.2">
      <c r="A623" t="s">
        <v>1505</v>
      </c>
      <c r="B623" s="1">
        <v>42199</v>
      </c>
      <c r="C623" s="2" t="str">
        <f t="shared" si="54"/>
        <v>2015</v>
      </c>
      <c r="D623" s="2" t="s">
        <v>310</v>
      </c>
      <c r="E623" s="2" t="s">
        <v>138</v>
      </c>
      <c r="F623" s="2" t="s">
        <v>36</v>
      </c>
      <c r="G623" s="2" t="s">
        <v>37</v>
      </c>
      <c r="H623" s="2" t="s">
        <v>42</v>
      </c>
      <c r="I623" s="2" t="s">
        <v>51</v>
      </c>
      <c r="J623" s="2" t="s">
        <v>23</v>
      </c>
      <c r="K623" s="2" t="s">
        <v>297</v>
      </c>
      <c r="L623" s="2" t="s">
        <v>32</v>
      </c>
      <c r="M623" s="2" t="s">
        <v>33</v>
      </c>
      <c r="N623" s="2" t="s">
        <v>89</v>
      </c>
      <c r="O623" s="1">
        <v>42204</v>
      </c>
      <c r="P623" s="3">
        <v>3.48</v>
      </c>
      <c r="Q623" s="3">
        <v>5.43</v>
      </c>
      <c r="R623" s="3">
        <f t="shared" si="55"/>
        <v>1.9499999999999997</v>
      </c>
      <c r="S623" s="2">
        <v>48</v>
      </c>
      <c r="T623" s="3">
        <f t="shared" si="56"/>
        <v>260.64</v>
      </c>
      <c r="U623" s="4">
        <v>0.05</v>
      </c>
      <c r="V623" s="6">
        <f t="shared" si="57"/>
        <v>13.032</v>
      </c>
      <c r="W623" s="6">
        <f t="shared" si="58"/>
        <v>247.60799999999998</v>
      </c>
      <c r="X623" s="3">
        <v>0.95</v>
      </c>
      <c r="Y623" s="5">
        <f t="shared" si="59"/>
        <v>248.55799999999996</v>
      </c>
    </row>
    <row r="624" spans="1:25" x14ac:dyDescent="0.2">
      <c r="A624" t="s">
        <v>1506</v>
      </c>
      <c r="B624" s="1">
        <v>42200</v>
      </c>
      <c r="C624" s="2" t="str">
        <f t="shared" si="54"/>
        <v>2015</v>
      </c>
      <c r="D624" s="2" t="s">
        <v>578</v>
      </c>
      <c r="E624" s="2" t="s">
        <v>1925</v>
      </c>
      <c r="F624" s="2" t="s">
        <v>36</v>
      </c>
      <c r="G624" s="2" t="s">
        <v>37</v>
      </c>
      <c r="H624" s="2" t="s">
        <v>29</v>
      </c>
      <c r="I624" s="2" t="s">
        <v>153</v>
      </c>
      <c r="J624" s="2" t="s">
        <v>23</v>
      </c>
      <c r="K624" s="2" t="s">
        <v>468</v>
      </c>
      <c r="L624" s="2" t="s">
        <v>32</v>
      </c>
      <c r="M624" s="2" t="s">
        <v>33</v>
      </c>
      <c r="N624" s="2" t="s">
        <v>27</v>
      </c>
      <c r="O624" s="1">
        <v>42204</v>
      </c>
      <c r="P624" s="3">
        <v>5.22</v>
      </c>
      <c r="Q624" s="3">
        <v>9.85</v>
      </c>
      <c r="R624" s="3">
        <f t="shared" si="55"/>
        <v>4.63</v>
      </c>
      <c r="S624" s="2">
        <v>21</v>
      </c>
      <c r="T624" s="3">
        <f t="shared" si="56"/>
        <v>206.85</v>
      </c>
      <c r="U624" s="4">
        <v>0.1</v>
      </c>
      <c r="V624" s="6">
        <f t="shared" si="57"/>
        <v>20.685000000000002</v>
      </c>
      <c r="W624" s="6">
        <f t="shared" si="58"/>
        <v>186.16499999999999</v>
      </c>
      <c r="X624" s="3">
        <v>4.82</v>
      </c>
      <c r="Y624" s="5">
        <f t="shared" si="59"/>
        <v>190.98499999999999</v>
      </c>
    </row>
    <row r="625" spans="1:25" x14ac:dyDescent="0.2">
      <c r="A625" t="s">
        <v>1507</v>
      </c>
      <c r="B625" s="1">
        <v>42201</v>
      </c>
      <c r="C625" s="2" t="str">
        <f t="shared" si="54"/>
        <v>2015</v>
      </c>
      <c r="D625" s="2" t="s">
        <v>288</v>
      </c>
      <c r="E625" s="2" t="s">
        <v>46</v>
      </c>
      <c r="F625" s="2" t="s">
        <v>19</v>
      </c>
      <c r="G625" s="2" t="s">
        <v>20</v>
      </c>
      <c r="H625" s="2" t="s">
        <v>50</v>
      </c>
      <c r="I625" s="2" t="s">
        <v>22</v>
      </c>
      <c r="J625" s="2" t="s">
        <v>23</v>
      </c>
      <c r="K625" s="2" t="s">
        <v>426</v>
      </c>
      <c r="L625" s="2" t="s">
        <v>32</v>
      </c>
      <c r="M625" s="2" t="s">
        <v>33</v>
      </c>
      <c r="N625" s="2" t="s">
        <v>27</v>
      </c>
      <c r="O625" s="1">
        <v>42205</v>
      </c>
      <c r="P625" s="3">
        <v>0.92</v>
      </c>
      <c r="Q625" s="3">
        <v>1.81</v>
      </c>
      <c r="R625" s="3">
        <f t="shared" si="55"/>
        <v>0.89</v>
      </c>
      <c r="S625" s="2">
        <v>48</v>
      </c>
      <c r="T625" s="3">
        <f t="shared" si="56"/>
        <v>86.88</v>
      </c>
      <c r="U625" s="4">
        <v>0.02</v>
      </c>
      <c r="V625" s="6">
        <f t="shared" si="57"/>
        <v>1.7376</v>
      </c>
      <c r="W625" s="6">
        <f t="shared" si="58"/>
        <v>85.142399999999995</v>
      </c>
      <c r="X625" s="3">
        <v>1.56</v>
      </c>
      <c r="Y625" s="5">
        <f t="shared" si="59"/>
        <v>86.702399999999997</v>
      </c>
    </row>
    <row r="626" spans="1:25" x14ac:dyDescent="0.2">
      <c r="A626" t="s">
        <v>1508</v>
      </c>
      <c r="B626" s="1">
        <v>42202</v>
      </c>
      <c r="C626" s="2" t="str">
        <f t="shared" si="54"/>
        <v>2015</v>
      </c>
      <c r="D626" s="2" t="s">
        <v>577</v>
      </c>
      <c r="E626" s="2" t="s">
        <v>1923</v>
      </c>
      <c r="F626" s="2" t="s">
        <v>36</v>
      </c>
      <c r="G626" s="2" t="s">
        <v>37</v>
      </c>
      <c r="H626" s="2" t="s">
        <v>42</v>
      </c>
      <c r="I626" s="2" t="s">
        <v>96</v>
      </c>
      <c r="J626" s="2" t="s">
        <v>44</v>
      </c>
      <c r="K626" s="2" t="s">
        <v>480</v>
      </c>
      <c r="L626" s="2" t="s">
        <v>32</v>
      </c>
      <c r="M626" s="2" t="s">
        <v>33</v>
      </c>
      <c r="N626" s="2" t="s">
        <v>27</v>
      </c>
      <c r="O626" s="1">
        <v>42202</v>
      </c>
      <c r="P626" s="3">
        <v>2.41</v>
      </c>
      <c r="Q626" s="3">
        <v>3.71</v>
      </c>
      <c r="R626" s="3">
        <f t="shared" si="55"/>
        <v>1.2999999999999998</v>
      </c>
      <c r="S626" s="2">
        <v>13</v>
      </c>
      <c r="T626" s="3">
        <f t="shared" si="56"/>
        <v>48.23</v>
      </c>
      <c r="U626" s="4">
        <v>0.06</v>
      </c>
      <c r="V626" s="6">
        <f t="shared" si="57"/>
        <v>2.8937999999999997</v>
      </c>
      <c r="W626" s="6">
        <f t="shared" si="58"/>
        <v>45.336199999999998</v>
      </c>
      <c r="X626" s="3">
        <v>1.93</v>
      </c>
      <c r="Y626" s="5">
        <f t="shared" si="59"/>
        <v>47.266199999999998</v>
      </c>
    </row>
    <row r="627" spans="1:25" x14ac:dyDescent="0.2">
      <c r="A627" t="s">
        <v>1509</v>
      </c>
      <c r="B627" s="1">
        <v>42203</v>
      </c>
      <c r="C627" s="2" t="str">
        <f t="shared" si="54"/>
        <v>2015</v>
      </c>
      <c r="D627" s="2" t="s">
        <v>575</v>
      </c>
      <c r="E627" s="2" t="s">
        <v>269</v>
      </c>
      <c r="F627" s="2" t="s">
        <v>36</v>
      </c>
      <c r="G627" s="2" t="s">
        <v>37</v>
      </c>
      <c r="H627" s="2" t="s">
        <v>50</v>
      </c>
      <c r="I627" s="2" t="s">
        <v>43</v>
      </c>
      <c r="J627" s="2" t="s">
        <v>44</v>
      </c>
      <c r="K627" s="2" t="s">
        <v>232</v>
      </c>
      <c r="L627" s="2" t="s">
        <v>32</v>
      </c>
      <c r="M627" s="2" t="s">
        <v>58</v>
      </c>
      <c r="N627" s="2" t="s">
        <v>27</v>
      </c>
      <c r="O627" s="1">
        <v>42205</v>
      </c>
      <c r="P627" s="3">
        <v>2.5</v>
      </c>
      <c r="Q627" s="3">
        <v>5.68</v>
      </c>
      <c r="R627" s="3">
        <f t="shared" si="55"/>
        <v>3.1799999999999997</v>
      </c>
      <c r="S627" s="2">
        <v>21</v>
      </c>
      <c r="T627" s="3">
        <f t="shared" si="56"/>
        <v>119.28</v>
      </c>
      <c r="U627" s="4">
        <v>7.0000000000000007E-2</v>
      </c>
      <c r="V627" s="6">
        <f t="shared" si="57"/>
        <v>8.3496000000000006</v>
      </c>
      <c r="W627" s="6">
        <f t="shared" si="58"/>
        <v>110.93040000000001</v>
      </c>
      <c r="X627" s="3">
        <v>3.6</v>
      </c>
      <c r="Y627" s="5">
        <f t="shared" si="59"/>
        <v>114.5304</v>
      </c>
    </row>
    <row r="628" spans="1:25" x14ac:dyDescent="0.2">
      <c r="A628" t="s">
        <v>1510</v>
      </c>
      <c r="B628" s="1">
        <v>42203</v>
      </c>
      <c r="C628" s="2" t="str">
        <f t="shared" si="54"/>
        <v>2015</v>
      </c>
      <c r="D628" s="2" t="s">
        <v>576</v>
      </c>
      <c r="E628" s="2" t="s">
        <v>498</v>
      </c>
      <c r="F628" s="2" t="s">
        <v>19</v>
      </c>
      <c r="G628" s="2" t="s">
        <v>20</v>
      </c>
      <c r="H628" s="2" t="s">
        <v>50</v>
      </c>
      <c r="I628" s="2" t="s">
        <v>92</v>
      </c>
      <c r="J628" s="2" t="s">
        <v>44</v>
      </c>
      <c r="K628" s="2" t="s">
        <v>103</v>
      </c>
      <c r="L628" s="2" t="s">
        <v>32</v>
      </c>
      <c r="M628" s="2" t="s">
        <v>26</v>
      </c>
      <c r="N628" s="2" t="s">
        <v>27</v>
      </c>
      <c r="O628" s="1">
        <v>42205</v>
      </c>
      <c r="P628" s="3">
        <v>2.2599999999999998</v>
      </c>
      <c r="Q628" s="3">
        <v>3.58</v>
      </c>
      <c r="R628" s="3">
        <f t="shared" si="55"/>
        <v>1.3200000000000003</v>
      </c>
      <c r="S628" s="2">
        <v>43</v>
      </c>
      <c r="T628" s="3">
        <f t="shared" si="56"/>
        <v>153.94</v>
      </c>
      <c r="U628" s="4">
        <v>0.08</v>
      </c>
      <c r="V628" s="6">
        <f t="shared" si="57"/>
        <v>12.315200000000001</v>
      </c>
      <c r="W628" s="6">
        <f t="shared" si="58"/>
        <v>141.62479999999999</v>
      </c>
      <c r="X628" s="3">
        <v>5.47</v>
      </c>
      <c r="Y628" s="5">
        <f t="shared" si="59"/>
        <v>147.09479999999999</v>
      </c>
    </row>
    <row r="629" spans="1:25" x14ac:dyDescent="0.2">
      <c r="A629" t="s">
        <v>1511</v>
      </c>
      <c r="B629" s="1">
        <v>42204</v>
      </c>
      <c r="C629" s="2" t="str">
        <f t="shared" si="54"/>
        <v>2015</v>
      </c>
      <c r="D629" s="2" t="s">
        <v>284</v>
      </c>
      <c r="E629" s="2" t="s">
        <v>18</v>
      </c>
      <c r="F629" s="2" t="s">
        <v>19</v>
      </c>
      <c r="G629" s="2" t="s">
        <v>20</v>
      </c>
      <c r="H629" s="2" t="s">
        <v>42</v>
      </c>
      <c r="I629" s="2" t="s">
        <v>22</v>
      </c>
      <c r="J629" s="2" t="s">
        <v>30</v>
      </c>
      <c r="K629" s="2" t="s">
        <v>72</v>
      </c>
      <c r="L629" s="2" t="s">
        <v>32</v>
      </c>
      <c r="M629" s="2" t="s">
        <v>26</v>
      </c>
      <c r="N629" s="2" t="s">
        <v>27</v>
      </c>
      <c r="O629" s="1">
        <v>42205</v>
      </c>
      <c r="P629" s="3">
        <v>3.5</v>
      </c>
      <c r="Q629" s="3">
        <v>5.74</v>
      </c>
      <c r="R629" s="3">
        <f t="shared" si="55"/>
        <v>2.2400000000000002</v>
      </c>
      <c r="S629" s="2">
        <v>41</v>
      </c>
      <c r="T629" s="3">
        <f t="shared" si="56"/>
        <v>235.34</v>
      </c>
      <c r="U629" s="4">
        <v>0.08</v>
      </c>
      <c r="V629" s="6">
        <f t="shared" si="57"/>
        <v>18.827200000000001</v>
      </c>
      <c r="W629" s="6">
        <f t="shared" si="58"/>
        <v>216.5128</v>
      </c>
      <c r="X629" s="3">
        <v>5.01</v>
      </c>
      <c r="Y629" s="5">
        <f t="shared" si="59"/>
        <v>221.52279999999999</v>
      </c>
    </row>
    <row r="630" spans="1:25" x14ac:dyDescent="0.2">
      <c r="A630" t="s">
        <v>1512</v>
      </c>
      <c r="B630" s="1">
        <v>42205</v>
      </c>
      <c r="C630" s="2" t="str">
        <f t="shared" si="54"/>
        <v>2015</v>
      </c>
      <c r="D630" s="2" t="s">
        <v>574</v>
      </c>
      <c r="E630" s="2" t="s">
        <v>271</v>
      </c>
      <c r="F630" s="2" t="s">
        <v>36</v>
      </c>
      <c r="G630" s="2" t="s">
        <v>37</v>
      </c>
      <c r="H630" s="2" t="s">
        <v>29</v>
      </c>
      <c r="I630" s="2" t="s">
        <v>102</v>
      </c>
      <c r="J630" s="2" t="s">
        <v>66</v>
      </c>
      <c r="K630" s="2" t="s">
        <v>429</v>
      </c>
      <c r="L630" s="2" t="s">
        <v>32</v>
      </c>
      <c r="M630" s="2" t="s">
        <v>58</v>
      </c>
      <c r="N630" s="2" t="s">
        <v>27</v>
      </c>
      <c r="O630" s="1">
        <v>42208</v>
      </c>
      <c r="P630" s="3">
        <v>4.0999999999999996</v>
      </c>
      <c r="Q630" s="3">
        <v>9.31</v>
      </c>
      <c r="R630" s="3">
        <f t="shared" si="55"/>
        <v>5.2100000000000009</v>
      </c>
      <c r="S630" s="2">
        <v>26</v>
      </c>
      <c r="T630" s="3">
        <f t="shared" si="56"/>
        <v>242.06</v>
      </c>
      <c r="U630" s="4">
        <v>0.06</v>
      </c>
      <c r="V630" s="6">
        <f t="shared" si="57"/>
        <v>14.5236</v>
      </c>
      <c r="W630" s="6">
        <f t="shared" si="58"/>
        <v>227.53640000000001</v>
      </c>
      <c r="X630" s="3">
        <v>3.98</v>
      </c>
      <c r="Y630" s="5">
        <f t="shared" si="59"/>
        <v>231.5164</v>
      </c>
    </row>
    <row r="631" spans="1:25" x14ac:dyDescent="0.2">
      <c r="A631" t="s">
        <v>1513</v>
      </c>
      <c r="B631" s="1">
        <v>42208</v>
      </c>
      <c r="C631" s="2" t="str">
        <f t="shared" si="54"/>
        <v>2015</v>
      </c>
      <c r="D631" s="2" t="s">
        <v>450</v>
      </c>
      <c r="E631" s="2" t="s">
        <v>451</v>
      </c>
      <c r="F631" s="2" t="s">
        <v>36</v>
      </c>
      <c r="G631" s="2" t="s">
        <v>37</v>
      </c>
      <c r="H631" s="2" t="s">
        <v>21</v>
      </c>
      <c r="I631" s="2" t="s">
        <v>51</v>
      </c>
      <c r="J631" s="2" t="s">
        <v>23</v>
      </c>
      <c r="K631" s="2" t="s">
        <v>117</v>
      </c>
      <c r="L631" s="2" t="s">
        <v>25</v>
      </c>
      <c r="M631" s="2" t="s">
        <v>26</v>
      </c>
      <c r="N631" s="2" t="s">
        <v>27</v>
      </c>
      <c r="O631" s="1">
        <v>42215</v>
      </c>
      <c r="P631" s="3">
        <v>32.020000000000003</v>
      </c>
      <c r="Q631" s="3">
        <v>152.47999999999999</v>
      </c>
      <c r="R631" s="3">
        <f t="shared" si="55"/>
        <v>120.45999999999998</v>
      </c>
      <c r="S631" s="2">
        <v>14</v>
      </c>
      <c r="T631" s="3">
        <f t="shared" si="56"/>
        <v>2134.7199999999998</v>
      </c>
      <c r="U631" s="4">
        <v>0.03</v>
      </c>
      <c r="V631" s="6">
        <f t="shared" si="57"/>
        <v>64.041599999999988</v>
      </c>
      <c r="W631" s="6">
        <f t="shared" si="58"/>
        <v>2070.6783999999998</v>
      </c>
      <c r="X631" s="3">
        <v>4</v>
      </c>
      <c r="Y631" s="5">
        <f t="shared" si="59"/>
        <v>2074.6783999999998</v>
      </c>
    </row>
    <row r="632" spans="1:25" x14ac:dyDescent="0.2">
      <c r="A632" t="s">
        <v>1514</v>
      </c>
      <c r="B632" s="1">
        <v>42208</v>
      </c>
      <c r="C632" s="2" t="str">
        <f t="shared" si="54"/>
        <v>2015</v>
      </c>
      <c r="D632" s="2" t="s">
        <v>169</v>
      </c>
      <c r="E632" s="2" t="s">
        <v>138</v>
      </c>
      <c r="F632" s="2" t="s">
        <v>36</v>
      </c>
      <c r="G632" s="2" t="s">
        <v>37</v>
      </c>
      <c r="H632" s="2" t="s">
        <v>50</v>
      </c>
      <c r="I632" s="2" t="s">
        <v>51</v>
      </c>
      <c r="J632" s="2" t="s">
        <v>52</v>
      </c>
      <c r="K632" s="2" t="s">
        <v>316</v>
      </c>
      <c r="L632" s="2" t="s">
        <v>32</v>
      </c>
      <c r="M632" s="2" t="s">
        <v>33</v>
      </c>
      <c r="N632" s="2" t="s">
        <v>89</v>
      </c>
      <c r="O632" s="1">
        <v>42209</v>
      </c>
      <c r="P632" s="3">
        <v>3.32</v>
      </c>
      <c r="Q632" s="3">
        <v>5.18</v>
      </c>
      <c r="R632" s="3">
        <f t="shared" si="55"/>
        <v>1.8599999999999999</v>
      </c>
      <c r="S632" s="2">
        <v>1</v>
      </c>
      <c r="T632" s="3">
        <f t="shared" si="56"/>
        <v>5.18</v>
      </c>
      <c r="U632" s="4">
        <v>0</v>
      </c>
      <c r="V632" s="6">
        <f t="shared" si="57"/>
        <v>0</v>
      </c>
      <c r="W632" s="6">
        <f t="shared" si="58"/>
        <v>5.18</v>
      </c>
      <c r="X632" s="3">
        <v>2.04</v>
      </c>
      <c r="Y632" s="5">
        <f t="shared" si="59"/>
        <v>7.22</v>
      </c>
    </row>
    <row r="633" spans="1:25" x14ac:dyDescent="0.2">
      <c r="A633" t="s">
        <v>1515</v>
      </c>
      <c r="B633" s="1">
        <v>42208</v>
      </c>
      <c r="C633" s="2" t="str">
        <f t="shared" si="54"/>
        <v>2015</v>
      </c>
      <c r="D633" s="2" t="s">
        <v>413</v>
      </c>
      <c r="E633" s="2" t="s">
        <v>18</v>
      </c>
      <c r="F633" s="2" t="s">
        <v>19</v>
      </c>
      <c r="G633" s="2" t="s">
        <v>20</v>
      </c>
      <c r="H633" s="2" t="s">
        <v>29</v>
      </c>
      <c r="I633" s="2" t="s">
        <v>22</v>
      </c>
      <c r="J633" s="2" t="s">
        <v>66</v>
      </c>
      <c r="K633" s="2" t="s">
        <v>120</v>
      </c>
      <c r="L633" s="2" t="s">
        <v>32</v>
      </c>
      <c r="M633" s="2" t="s">
        <v>26</v>
      </c>
      <c r="N633" s="2" t="s">
        <v>27</v>
      </c>
      <c r="O633" s="1">
        <v>42209</v>
      </c>
      <c r="P633" s="3">
        <v>1.18</v>
      </c>
      <c r="Q633" s="3">
        <v>1.88</v>
      </c>
      <c r="R633" s="3">
        <f t="shared" si="55"/>
        <v>0.7</v>
      </c>
      <c r="S633" s="2">
        <v>8</v>
      </c>
      <c r="T633" s="3">
        <f t="shared" si="56"/>
        <v>15.04</v>
      </c>
      <c r="U633" s="4">
        <v>0.05</v>
      </c>
      <c r="V633" s="6">
        <f t="shared" si="57"/>
        <v>0.752</v>
      </c>
      <c r="W633" s="6">
        <f t="shared" si="58"/>
        <v>14.287999999999998</v>
      </c>
      <c r="X633" s="3">
        <v>1.49</v>
      </c>
      <c r="Y633" s="5">
        <f t="shared" si="59"/>
        <v>15.777999999999999</v>
      </c>
    </row>
    <row r="634" spans="1:25" x14ac:dyDescent="0.2">
      <c r="A634" t="s">
        <v>1516</v>
      </c>
      <c r="B634" s="1">
        <v>42209</v>
      </c>
      <c r="C634" s="2" t="str">
        <f t="shared" si="54"/>
        <v>2015</v>
      </c>
      <c r="D634" s="2" t="s">
        <v>572</v>
      </c>
      <c r="E634" s="2" t="s">
        <v>540</v>
      </c>
      <c r="F634" s="2" t="s">
        <v>19</v>
      </c>
      <c r="G634" s="2" t="s">
        <v>20</v>
      </c>
      <c r="H634" s="2" t="s">
        <v>21</v>
      </c>
      <c r="I634" s="2" t="s">
        <v>22</v>
      </c>
      <c r="J634" s="2" t="s">
        <v>44</v>
      </c>
      <c r="K634" s="2" t="s">
        <v>475</v>
      </c>
      <c r="L634" s="2" t="s">
        <v>32</v>
      </c>
      <c r="M634" s="2" t="s">
        <v>26</v>
      </c>
      <c r="N634" s="2" t="s">
        <v>27</v>
      </c>
      <c r="O634" s="1">
        <v>42211</v>
      </c>
      <c r="P634" s="3">
        <v>1.19</v>
      </c>
      <c r="Q634" s="3">
        <v>1.98</v>
      </c>
      <c r="R634" s="3">
        <f t="shared" si="55"/>
        <v>0.79</v>
      </c>
      <c r="S634" s="2">
        <v>21</v>
      </c>
      <c r="T634" s="3">
        <f t="shared" si="56"/>
        <v>41.58</v>
      </c>
      <c r="U634" s="4">
        <v>0.01</v>
      </c>
      <c r="V634" s="6">
        <f t="shared" si="57"/>
        <v>0.4158</v>
      </c>
      <c r="W634" s="6">
        <f t="shared" si="58"/>
        <v>41.164200000000001</v>
      </c>
      <c r="X634" s="3">
        <v>4.7699999999999996</v>
      </c>
      <c r="Y634" s="5">
        <f t="shared" si="59"/>
        <v>45.934200000000004</v>
      </c>
    </row>
    <row r="635" spans="1:25" x14ac:dyDescent="0.2">
      <c r="A635" t="s">
        <v>1517</v>
      </c>
      <c r="B635" s="1">
        <v>42209</v>
      </c>
      <c r="C635" s="2" t="str">
        <f t="shared" si="54"/>
        <v>2015</v>
      </c>
      <c r="D635" s="2" t="s">
        <v>573</v>
      </c>
      <c r="E635" s="2" t="s">
        <v>238</v>
      </c>
      <c r="F635" s="2" t="s">
        <v>36</v>
      </c>
      <c r="G635" s="2" t="s">
        <v>37</v>
      </c>
      <c r="H635" s="2" t="s">
        <v>50</v>
      </c>
      <c r="I635" s="2" t="s">
        <v>96</v>
      </c>
      <c r="J635" s="2" t="s">
        <v>44</v>
      </c>
      <c r="K635" s="2" t="s">
        <v>306</v>
      </c>
      <c r="L635" s="2" t="s">
        <v>32</v>
      </c>
      <c r="M635" s="2" t="s">
        <v>33</v>
      </c>
      <c r="N635" s="2" t="s">
        <v>27</v>
      </c>
      <c r="O635" s="1">
        <v>42211</v>
      </c>
      <c r="P635" s="3">
        <v>1.76</v>
      </c>
      <c r="Q635" s="3">
        <v>2.94</v>
      </c>
      <c r="R635" s="3">
        <f t="shared" si="55"/>
        <v>1.18</v>
      </c>
      <c r="S635" s="2">
        <v>35</v>
      </c>
      <c r="T635" s="3">
        <f t="shared" si="56"/>
        <v>102.89999999999999</v>
      </c>
      <c r="U635" s="4">
        <v>0.09</v>
      </c>
      <c r="V635" s="6">
        <f t="shared" si="57"/>
        <v>9.2609999999999992</v>
      </c>
      <c r="W635" s="6">
        <f t="shared" si="58"/>
        <v>93.638999999999996</v>
      </c>
      <c r="X635" s="3">
        <v>0.81</v>
      </c>
      <c r="Y635" s="5">
        <f t="shared" si="59"/>
        <v>94.448999999999998</v>
      </c>
    </row>
    <row r="636" spans="1:25" x14ac:dyDescent="0.2">
      <c r="A636" t="s">
        <v>909</v>
      </c>
      <c r="B636" s="1">
        <v>42210</v>
      </c>
      <c r="C636" s="2" t="str">
        <f t="shared" si="54"/>
        <v>2015</v>
      </c>
      <c r="D636" s="2" t="s">
        <v>527</v>
      </c>
      <c r="E636" s="2" t="s">
        <v>1918</v>
      </c>
      <c r="F636" s="2" t="s">
        <v>19</v>
      </c>
      <c r="G636" s="2" t="s">
        <v>20</v>
      </c>
      <c r="H636" s="2" t="s">
        <v>21</v>
      </c>
      <c r="I636" s="2" t="s">
        <v>92</v>
      </c>
      <c r="J636" s="2" t="s">
        <v>44</v>
      </c>
      <c r="K636" s="2" t="s">
        <v>570</v>
      </c>
      <c r="L636" s="2" t="s">
        <v>32</v>
      </c>
      <c r="M636" s="2" t="s">
        <v>33</v>
      </c>
      <c r="N636" s="2" t="s">
        <v>89</v>
      </c>
      <c r="O636" s="1">
        <v>42211</v>
      </c>
      <c r="P636" s="3">
        <v>1.88</v>
      </c>
      <c r="Q636" s="3">
        <v>3.14</v>
      </c>
      <c r="R636" s="3">
        <f t="shared" si="55"/>
        <v>1.2600000000000002</v>
      </c>
      <c r="S636" s="2">
        <v>43</v>
      </c>
      <c r="T636" s="3">
        <f t="shared" si="56"/>
        <v>135.02000000000001</v>
      </c>
      <c r="U636" s="4">
        <v>7.0000000000000007E-2</v>
      </c>
      <c r="V636" s="6">
        <f t="shared" si="57"/>
        <v>9.4514000000000014</v>
      </c>
      <c r="W636" s="6">
        <f t="shared" si="58"/>
        <v>125.5686</v>
      </c>
      <c r="X636" s="3">
        <v>1.1399999999999999</v>
      </c>
      <c r="Y636" s="5">
        <f t="shared" si="59"/>
        <v>126.7086</v>
      </c>
    </row>
    <row r="637" spans="1:25" x14ac:dyDescent="0.2">
      <c r="A637" t="s">
        <v>910</v>
      </c>
      <c r="B637" s="1">
        <v>42210</v>
      </c>
      <c r="C637" s="2" t="str">
        <f t="shared" si="54"/>
        <v>2015</v>
      </c>
      <c r="D637" s="2" t="s">
        <v>527</v>
      </c>
      <c r="E637" s="2" t="s">
        <v>1918</v>
      </c>
      <c r="F637" s="2" t="s">
        <v>19</v>
      </c>
      <c r="G637" s="2" t="s">
        <v>20</v>
      </c>
      <c r="H637" s="2" t="s">
        <v>21</v>
      </c>
      <c r="I637" s="2" t="s">
        <v>92</v>
      </c>
      <c r="J637" s="2" t="s">
        <v>44</v>
      </c>
      <c r="K637" s="2" t="s">
        <v>57</v>
      </c>
      <c r="L637" s="2" t="s">
        <v>32</v>
      </c>
      <c r="M637" s="2" t="s">
        <v>58</v>
      </c>
      <c r="N637" s="2" t="s">
        <v>27</v>
      </c>
      <c r="O637" s="1">
        <v>42212</v>
      </c>
      <c r="P637" s="3">
        <v>1.46</v>
      </c>
      <c r="Q637" s="3">
        <v>3.57</v>
      </c>
      <c r="R637" s="3">
        <f t="shared" si="55"/>
        <v>2.11</v>
      </c>
      <c r="S637" s="2">
        <v>19</v>
      </c>
      <c r="T637" s="3">
        <f t="shared" si="56"/>
        <v>67.83</v>
      </c>
      <c r="U637" s="4">
        <v>0.08</v>
      </c>
      <c r="V637" s="6">
        <f t="shared" si="57"/>
        <v>5.4264000000000001</v>
      </c>
      <c r="W637" s="6">
        <f t="shared" si="58"/>
        <v>62.403599999999997</v>
      </c>
      <c r="X637" s="3">
        <v>4.17</v>
      </c>
      <c r="Y637" s="5">
        <f t="shared" si="59"/>
        <v>66.573599999999999</v>
      </c>
    </row>
    <row r="638" spans="1:25" x14ac:dyDescent="0.2">
      <c r="A638" t="s">
        <v>1518</v>
      </c>
      <c r="B638" s="1">
        <v>42210</v>
      </c>
      <c r="C638" s="2" t="str">
        <f t="shared" si="54"/>
        <v>2015</v>
      </c>
      <c r="D638" s="2" t="s">
        <v>571</v>
      </c>
      <c r="E638" s="2" t="s">
        <v>91</v>
      </c>
      <c r="F638" s="2" t="s">
        <v>19</v>
      </c>
      <c r="G638" s="2" t="s">
        <v>20</v>
      </c>
      <c r="H638" s="2" t="s">
        <v>21</v>
      </c>
      <c r="I638" s="2" t="s">
        <v>92</v>
      </c>
      <c r="J638" s="2" t="s">
        <v>66</v>
      </c>
      <c r="K638" s="2" t="s">
        <v>211</v>
      </c>
      <c r="L638" s="2" t="s">
        <v>32</v>
      </c>
      <c r="M638" s="2" t="s">
        <v>26</v>
      </c>
      <c r="N638" s="2" t="s">
        <v>27</v>
      </c>
      <c r="O638" s="1">
        <v>42213</v>
      </c>
      <c r="P638" s="3">
        <v>1.98</v>
      </c>
      <c r="Q638" s="3">
        <v>3.15</v>
      </c>
      <c r="R638" s="3">
        <f t="shared" si="55"/>
        <v>1.17</v>
      </c>
      <c r="S638" s="2">
        <v>17</v>
      </c>
      <c r="T638" s="3">
        <f t="shared" si="56"/>
        <v>53.55</v>
      </c>
      <c r="U638" s="4">
        <v>0.05</v>
      </c>
      <c r="V638" s="6">
        <f t="shared" si="57"/>
        <v>2.6775000000000002</v>
      </c>
      <c r="W638" s="6">
        <f t="shared" si="58"/>
        <v>50.872499999999995</v>
      </c>
      <c r="X638" s="3">
        <v>0.49</v>
      </c>
      <c r="Y638" s="5">
        <f t="shared" si="59"/>
        <v>51.362499999999997</v>
      </c>
    </row>
    <row r="639" spans="1:25" x14ac:dyDescent="0.2">
      <c r="A639" t="s">
        <v>1519</v>
      </c>
      <c r="B639" s="1">
        <v>42211</v>
      </c>
      <c r="C639" s="2" t="str">
        <f t="shared" si="54"/>
        <v>2015</v>
      </c>
      <c r="D639" s="2" t="s">
        <v>187</v>
      </c>
      <c r="E639" s="2" t="s">
        <v>188</v>
      </c>
      <c r="F639" s="2" t="s">
        <v>36</v>
      </c>
      <c r="G639" s="2" t="s">
        <v>37</v>
      </c>
      <c r="H639" s="2" t="s">
        <v>29</v>
      </c>
      <c r="I639" s="2" t="s">
        <v>75</v>
      </c>
      <c r="J639" s="2" t="s">
        <v>30</v>
      </c>
      <c r="K639" s="2" t="s">
        <v>80</v>
      </c>
      <c r="L639" s="2" t="s">
        <v>32</v>
      </c>
      <c r="M639" s="2" t="s">
        <v>26</v>
      </c>
      <c r="N639" s="2" t="s">
        <v>89</v>
      </c>
      <c r="O639" s="1">
        <v>42212</v>
      </c>
      <c r="P639" s="3">
        <v>4.59</v>
      </c>
      <c r="Q639" s="3">
        <v>7.28</v>
      </c>
      <c r="R639" s="3">
        <f t="shared" si="55"/>
        <v>2.6900000000000004</v>
      </c>
      <c r="S639" s="2">
        <v>20</v>
      </c>
      <c r="T639" s="3">
        <f t="shared" si="56"/>
        <v>145.6</v>
      </c>
      <c r="U639" s="4">
        <v>0.1</v>
      </c>
      <c r="V639" s="6">
        <f t="shared" si="57"/>
        <v>14.56</v>
      </c>
      <c r="W639" s="6">
        <f t="shared" si="58"/>
        <v>131.04</v>
      </c>
      <c r="X639" s="3">
        <v>11.15</v>
      </c>
      <c r="Y639" s="5">
        <f t="shared" si="59"/>
        <v>142.19</v>
      </c>
    </row>
    <row r="640" spans="1:25" x14ac:dyDescent="0.2">
      <c r="A640" t="s">
        <v>1520</v>
      </c>
      <c r="B640" s="1">
        <v>42211</v>
      </c>
      <c r="C640" s="2" t="str">
        <f t="shared" si="54"/>
        <v>2015</v>
      </c>
      <c r="D640" s="2" t="s">
        <v>569</v>
      </c>
      <c r="E640" s="2" t="s">
        <v>127</v>
      </c>
      <c r="F640" s="2" t="s">
        <v>36</v>
      </c>
      <c r="G640" s="2" t="s">
        <v>37</v>
      </c>
      <c r="H640" s="2" t="s">
        <v>50</v>
      </c>
      <c r="I640" s="2" t="s">
        <v>96</v>
      </c>
      <c r="J640" s="2" t="s">
        <v>44</v>
      </c>
      <c r="K640" s="2" t="s">
        <v>330</v>
      </c>
      <c r="L640" s="2" t="s">
        <v>32</v>
      </c>
      <c r="M640" s="2" t="s">
        <v>26</v>
      </c>
      <c r="N640" s="2" t="s">
        <v>27</v>
      </c>
      <c r="O640" s="1">
        <v>42211</v>
      </c>
      <c r="P640" s="3">
        <v>4.53</v>
      </c>
      <c r="Q640" s="3">
        <v>7.3</v>
      </c>
      <c r="R640" s="3">
        <f t="shared" si="55"/>
        <v>2.7699999999999996</v>
      </c>
      <c r="S640" s="2">
        <v>12</v>
      </c>
      <c r="T640" s="3">
        <f t="shared" si="56"/>
        <v>87.6</v>
      </c>
      <c r="U640" s="4">
        <v>0.03</v>
      </c>
      <c r="V640" s="6">
        <f t="shared" si="57"/>
        <v>2.6279999999999997</v>
      </c>
      <c r="W640" s="6">
        <f t="shared" si="58"/>
        <v>84.971999999999994</v>
      </c>
      <c r="X640" s="3">
        <v>7.72</v>
      </c>
      <c r="Y640" s="5">
        <f t="shared" si="59"/>
        <v>92.691999999999993</v>
      </c>
    </row>
    <row r="641" spans="1:25" x14ac:dyDescent="0.2">
      <c r="A641" t="s">
        <v>911</v>
      </c>
      <c r="B641" s="1">
        <v>42212</v>
      </c>
      <c r="C641" s="2" t="str">
        <f t="shared" si="54"/>
        <v>2015</v>
      </c>
      <c r="D641" s="2" t="s">
        <v>517</v>
      </c>
      <c r="E641" s="2" t="s">
        <v>246</v>
      </c>
      <c r="F641" s="2" t="s">
        <v>19</v>
      </c>
      <c r="G641" s="2" t="s">
        <v>20</v>
      </c>
      <c r="H641" s="2" t="s">
        <v>42</v>
      </c>
      <c r="I641" s="2" t="s">
        <v>22</v>
      </c>
      <c r="J641" s="2" t="s">
        <v>23</v>
      </c>
      <c r="K641" s="2" t="s">
        <v>31</v>
      </c>
      <c r="L641" s="2" t="s">
        <v>32</v>
      </c>
      <c r="M641" s="2" t="s">
        <v>33</v>
      </c>
      <c r="N641" s="2" t="s">
        <v>89</v>
      </c>
      <c r="O641" s="1">
        <v>42216</v>
      </c>
      <c r="P641" s="3">
        <v>0.93</v>
      </c>
      <c r="Q641" s="3">
        <v>1.48</v>
      </c>
      <c r="R641" s="3">
        <f t="shared" si="55"/>
        <v>0.54999999999999993</v>
      </c>
      <c r="S641" s="2">
        <v>37</v>
      </c>
      <c r="T641" s="3">
        <f t="shared" si="56"/>
        <v>54.76</v>
      </c>
      <c r="U641" s="4">
        <v>0.04</v>
      </c>
      <c r="V641" s="6">
        <f t="shared" si="57"/>
        <v>2.1903999999999999</v>
      </c>
      <c r="W641" s="6">
        <f t="shared" si="58"/>
        <v>52.569600000000001</v>
      </c>
      <c r="X641" s="3">
        <v>0.7</v>
      </c>
      <c r="Y641" s="5">
        <f t="shared" si="59"/>
        <v>53.269600000000004</v>
      </c>
    </row>
    <row r="642" spans="1:25" x14ac:dyDescent="0.2">
      <c r="A642" t="s">
        <v>912</v>
      </c>
      <c r="B642" s="1">
        <v>42212</v>
      </c>
      <c r="C642" s="2" t="str">
        <f t="shared" si="54"/>
        <v>2015</v>
      </c>
      <c r="D642" s="2" t="s">
        <v>517</v>
      </c>
      <c r="E642" s="2" t="s">
        <v>246</v>
      </c>
      <c r="F642" s="2" t="s">
        <v>19</v>
      </c>
      <c r="G642" s="2" t="s">
        <v>20</v>
      </c>
      <c r="H642" s="2" t="s">
        <v>42</v>
      </c>
      <c r="I642" s="2" t="s">
        <v>22</v>
      </c>
      <c r="J642" s="2" t="s">
        <v>23</v>
      </c>
      <c r="K642" s="2" t="s">
        <v>323</v>
      </c>
      <c r="L642" s="2" t="s">
        <v>32</v>
      </c>
      <c r="M642" s="2" t="s">
        <v>33</v>
      </c>
      <c r="N642" s="2" t="s">
        <v>27</v>
      </c>
      <c r="O642" s="1">
        <v>42217</v>
      </c>
      <c r="P642" s="3">
        <v>11.11</v>
      </c>
      <c r="Q642" s="3">
        <v>19.84</v>
      </c>
      <c r="R642" s="3">
        <f t="shared" si="55"/>
        <v>8.73</v>
      </c>
      <c r="S642" s="2">
        <v>28</v>
      </c>
      <c r="T642" s="3">
        <f t="shared" si="56"/>
        <v>555.52</v>
      </c>
      <c r="U642" s="4">
        <v>0.08</v>
      </c>
      <c r="V642" s="6">
        <f t="shared" si="57"/>
        <v>44.441600000000001</v>
      </c>
      <c r="W642" s="6">
        <f t="shared" si="58"/>
        <v>511.07839999999999</v>
      </c>
      <c r="X642" s="3">
        <v>4.0999999999999996</v>
      </c>
      <c r="Y642" s="5">
        <f t="shared" si="59"/>
        <v>515.17840000000001</v>
      </c>
    </row>
    <row r="643" spans="1:25" x14ac:dyDescent="0.2">
      <c r="A643" t="s">
        <v>1521</v>
      </c>
      <c r="B643" s="1">
        <v>42214</v>
      </c>
      <c r="C643" s="2" t="str">
        <f t="shared" si="54"/>
        <v>2015</v>
      </c>
      <c r="D643" s="2" t="s">
        <v>567</v>
      </c>
      <c r="E643" s="2" t="s">
        <v>69</v>
      </c>
      <c r="F643" s="2" t="s">
        <v>19</v>
      </c>
      <c r="G643" s="2" t="s">
        <v>20</v>
      </c>
      <c r="H643" s="2" t="s">
        <v>50</v>
      </c>
      <c r="I643" s="2" t="s">
        <v>22</v>
      </c>
      <c r="J643" s="2" t="s">
        <v>44</v>
      </c>
      <c r="K643" s="2" t="s">
        <v>125</v>
      </c>
      <c r="L643" s="2" t="s">
        <v>32</v>
      </c>
      <c r="M643" s="2" t="s">
        <v>33</v>
      </c>
      <c r="N643" s="2" t="s">
        <v>27</v>
      </c>
      <c r="O643" s="1">
        <v>42216</v>
      </c>
      <c r="P643" s="3">
        <v>1.53</v>
      </c>
      <c r="Q643" s="3">
        <v>2.78</v>
      </c>
      <c r="R643" s="3">
        <f t="shared" si="55"/>
        <v>1.2499999999999998</v>
      </c>
      <c r="S643" s="2">
        <v>38</v>
      </c>
      <c r="T643" s="3">
        <f t="shared" si="56"/>
        <v>105.63999999999999</v>
      </c>
      <c r="U643" s="4">
        <v>0.1</v>
      </c>
      <c r="V643" s="6">
        <f t="shared" si="57"/>
        <v>10.564</v>
      </c>
      <c r="W643" s="6">
        <f t="shared" si="58"/>
        <v>95.075999999999993</v>
      </c>
      <c r="X643" s="3">
        <v>1.34</v>
      </c>
      <c r="Y643" s="5">
        <f t="shared" si="59"/>
        <v>96.415999999999997</v>
      </c>
    </row>
    <row r="644" spans="1:25" x14ac:dyDescent="0.2">
      <c r="A644" t="s">
        <v>1522</v>
      </c>
      <c r="B644" s="1">
        <v>42214</v>
      </c>
      <c r="C644" s="2" t="str">
        <f t="shared" si="54"/>
        <v>2015</v>
      </c>
      <c r="D644" s="2" t="s">
        <v>568</v>
      </c>
      <c r="E644" s="2" t="s">
        <v>110</v>
      </c>
      <c r="F644" s="2" t="s">
        <v>36</v>
      </c>
      <c r="G644" s="2" t="s">
        <v>37</v>
      </c>
      <c r="H644" s="2" t="s">
        <v>21</v>
      </c>
      <c r="I644" s="2" t="s">
        <v>75</v>
      </c>
      <c r="J644" s="2" t="s">
        <v>52</v>
      </c>
      <c r="K644" s="2" t="s">
        <v>277</v>
      </c>
      <c r="L644" s="2" t="s">
        <v>32</v>
      </c>
      <c r="M644" s="2" t="s">
        <v>26</v>
      </c>
      <c r="N644" s="2" t="s">
        <v>27</v>
      </c>
      <c r="O644" s="1">
        <v>42215</v>
      </c>
      <c r="P644" s="3">
        <v>54.29</v>
      </c>
      <c r="Q644" s="3">
        <v>90.48</v>
      </c>
      <c r="R644" s="3">
        <f t="shared" si="55"/>
        <v>36.190000000000005</v>
      </c>
      <c r="S644" s="2">
        <v>15</v>
      </c>
      <c r="T644" s="3">
        <f t="shared" si="56"/>
        <v>1357.2</v>
      </c>
      <c r="U644" s="4">
        <v>0.01</v>
      </c>
      <c r="V644" s="6">
        <f t="shared" si="57"/>
        <v>13.572000000000001</v>
      </c>
      <c r="W644" s="6">
        <f t="shared" si="58"/>
        <v>1343.6280000000002</v>
      </c>
      <c r="X644" s="3">
        <v>19.989999999999998</v>
      </c>
      <c r="Y644" s="5">
        <f t="shared" si="59"/>
        <v>1363.6180000000002</v>
      </c>
    </row>
    <row r="645" spans="1:25" x14ac:dyDescent="0.2">
      <c r="A645" t="s">
        <v>1523</v>
      </c>
      <c r="B645" s="1">
        <v>42215</v>
      </c>
      <c r="C645" s="2" t="str">
        <f t="shared" si="54"/>
        <v>2015</v>
      </c>
      <c r="D645" s="2" t="s">
        <v>511</v>
      </c>
      <c r="E645" s="2" t="s">
        <v>182</v>
      </c>
      <c r="F645" s="2" t="s">
        <v>36</v>
      </c>
      <c r="G645" s="2" t="s">
        <v>37</v>
      </c>
      <c r="H645" s="2" t="s">
        <v>21</v>
      </c>
      <c r="I645" s="2" t="s">
        <v>96</v>
      </c>
      <c r="J645" s="2" t="s">
        <v>44</v>
      </c>
      <c r="K645" s="2" t="s">
        <v>337</v>
      </c>
      <c r="L645" s="2" t="s">
        <v>32</v>
      </c>
      <c r="M645" s="2" t="s">
        <v>26</v>
      </c>
      <c r="N645" s="2" t="s">
        <v>89</v>
      </c>
      <c r="O645" s="1">
        <v>42216</v>
      </c>
      <c r="P645" s="3">
        <v>2.29</v>
      </c>
      <c r="Q645" s="3">
        <v>3.69</v>
      </c>
      <c r="R645" s="3">
        <f t="shared" si="55"/>
        <v>1.4</v>
      </c>
      <c r="S645" s="2">
        <v>48</v>
      </c>
      <c r="T645" s="3">
        <f t="shared" si="56"/>
        <v>177.12</v>
      </c>
      <c r="U645" s="4">
        <v>0.1</v>
      </c>
      <c r="V645" s="6">
        <f t="shared" si="57"/>
        <v>17.712</v>
      </c>
      <c r="W645" s="6">
        <f t="shared" si="58"/>
        <v>159.40800000000002</v>
      </c>
      <c r="X645" s="3">
        <v>0.5</v>
      </c>
      <c r="Y645" s="5">
        <f t="shared" si="59"/>
        <v>159.90800000000002</v>
      </c>
    </row>
    <row r="646" spans="1:25" x14ac:dyDescent="0.2">
      <c r="A646" t="s">
        <v>1524</v>
      </c>
      <c r="B646" s="1">
        <v>42215</v>
      </c>
      <c r="C646" s="2" t="str">
        <f t="shared" ref="C646:C709" si="60">TEXT(B646,"yyyy")</f>
        <v>2015</v>
      </c>
      <c r="D646" s="2" t="s">
        <v>566</v>
      </c>
      <c r="E646" s="2" t="s">
        <v>41</v>
      </c>
      <c r="F646" s="2" t="s">
        <v>36</v>
      </c>
      <c r="G646" s="2" t="s">
        <v>37</v>
      </c>
      <c r="H646" s="2" t="s">
        <v>21</v>
      </c>
      <c r="I646" s="2" t="s">
        <v>43</v>
      </c>
      <c r="J646" s="2" t="s">
        <v>30</v>
      </c>
      <c r="K646" s="2" t="s">
        <v>290</v>
      </c>
      <c r="L646" s="2" t="s">
        <v>25</v>
      </c>
      <c r="M646" s="2" t="s">
        <v>26</v>
      </c>
      <c r="N646" s="2" t="s">
        <v>89</v>
      </c>
      <c r="O646" s="1">
        <v>42216</v>
      </c>
      <c r="P646" s="3">
        <v>14.7</v>
      </c>
      <c r="Q646" s="3">
        <v>29.99</v>
      </c>
      <c r="R646" s="3">
        <f t="shared" ref="R646:R709" si="61">Q646-P646</f>
        <v>15.29</v>
      </c>
      <c r="S646" s="2">
        <v>27</v>
      </c>
      <c r="T646" s="3">
        <f t="shared" ref="T646:T709" si="62">Q646*S646</f>
        <v>809.7299999999999</v>
      </c>
      <c r="U646" s="4">
        <v>0.05</v>
      </c>
      <c r="V646" s="6">
        <f t="shared" ref="V646:V709" si="63">T646*U646</f>
        <v>40.486499999999999</v>
      </c>
      <c r="W646" s="6">
        <f t="shared" ref="W646:W709" si="64">T646-V646</f>
        <v>769.24349999999993</v>
      </c>
      <c r="X646" s="3">
        <v>5.5</v>
      </c>
      <c r="Y646" s="5">
        <f t="shared" ref="Y646:Y709" si="65">W646+X646</f>
        <v>774.74349999999993</v>
      </c>
    </row>
    <row r="647" spans="1:25" x14ac:dyDescent="0.2">
      <c r="A647" t="s">
        <v>1525</v>
      </c>
      <c r="B647" s="1">
        <v>42217</v>
      </c>
      <c r="C647" s="2" t="str">
        <f t="shared" si="60"/>
        <v>2015</v>
      </c>
      <c r="D647" s="2" t="s">
        <v>495</v>
      </c>
      <c r="E647" s="2" t="s">
        <v>194</v>
      </c>
      <c r="F647" s="2" t="s">
        <v>36</v>
      </c>
      <c r="G647" s="2" t="s">
        <v>37</v>
      </c>
      <c r="H647" s="2" t="s">
        <v>21</v>
      </c>
      <c r="I647" s="2" t="s">
        <v>51</v>
      </c>
      <c r="J647" s="2" t="s">
        <v>66</v>
      </c>
      <c r="K647" s="2" t="s">
        <v>565</v>
      </c>
      <c r="L647" s="2" t="s">
        <v>25</v>
      </c>
      <c r="M647" s="2" t="s">
        <v>26</v>
      </c>
      <c r="N647" s="2" t="s">
        <v>27</v>
      </c>
      <c r="O647" s="1">
        <v>42219</v>
      </c>
      <c r="P647" s="3">
        <v>42.11</v>
      </c>
      <c r="Q647" s="3">
        <v>80.98</v>
      </c>
      <c r="R647" s="3">
        <f t="shared" si="61"/>
        <v>38.870000000000005</v>
      </c>
      <c r="S647" s="2">
        <v>22</v>
      </c>
      <c r="T647" s="3">
        <f t="shared" si="62"/>
        <v>1781.5600000000002</v>
      </c>
      <c r="U647" s="4">
        <v>0.1</v>
      </c>
      <c r="V647" s="6">
        <f t="shared" si="63"/>
        <v>178.15600000000003</v>
      </c>
      <c r="W647" s="6">
        <f t="shared" si="64"/>
        <v>1603.4040000000002</v>
      </c>
      <c r="X647" s="3">
        <v>7.18</v>
      </c>
      <c r="Y647" s="5">
        <f t="shared" si="65"/>
        <v>1610.5840000000003</v>
      </c>
    </row>
    <row r="648" spans="1:25" x14ac:dyDescent="0.2">
      <c r="A648" t="s">
        <v>1526</v>
      </c>
      <c r="B648" s="1">
        <v>42218</v>
      </c>
      <c r="C648" s="2" t="str">
        <f t="shared" si="60"/>
        <v>2015</v>
      </c>
      <c r="D648" s="2" t="s">
        <v>557</v>
      </c>
      <c r="E648" s="2" t="s">
        <v>558</v>
      </c>
      <c r="F648" s="2" t="s">
        <v>36</v>
      </c>
      <c r="G648" s="2" t="s">
        <v>37</v>
      </c>
      <c r="H648" s="2" t="s">
        <v>21</v>
      </c>
      <c r="I648" s="2" t="s">
        <v>56</v>
      </c>
      <c r="J648" s="2" t="s">
        <v>52</v>
      </c>
      <c r="K648" s="2" t="s">
        <v>186</v>
      </c>
      <c r="L648" s="2" t="s">
        <v>25</v>
      </c>
      <c r="M648" s="2" t="s">
        <v>261</v>
      </c>
      <c r="N648" s="2" t="s">
        <v>27</v>
      </c>
      <c r="O648" s="1">
        <v>42220</v>
      </c>
      <c r="P648" s="3">
        <v>216</v>
      </c>
      <c r="Q648" s="3">
        <v>449.99</v>
      </c>
      <c r="R648" s="3">
        <f t="shared" si="61"/>
        <v>233.99</v>
      </c>
      <c r="S648" s="2">
        <v>29</v>
      </c>
      <c r="T648" s="3">
        <f t="shared" si="62"/>
        <v>13049.710000000001</v>
      </c>
      <c r="U648" s="4">
        <v>0</v>
      </c>
      <c r="V648" s="6">
        <f t="shared" si="63"/>
        <v>0</v>
      </c>
      <c r="W648" s="6">
        <f t="shared" si="64"/>
        <v>13049.710000000001</v>
      </c>
      <c r="X648" s="3">
        <v>24.49</v>
      </c>
      <c r="Y648" s="5">
        <f t="shared" si="65"/>
        <v>13074.2</v>
      </c>
    </row>
    <row r="649" spans="1:25" x14ac:dyDescent="0.2">
      <c r="A649" t="s">
        <v>1527</v>
      </c>
      <c r="B649" s="1">
        <v>42218</v>
      </c>
      <c r="C649" s="2" t="str">
        <f t="shared" si="60"/>
        <v>2015</v>
      </c>
      <c r="D649" s="2" t="s">
        <v>564</v>
      </c>
      <c r="E649" s="2" t="s">
        <v>91</v>
      </c>
      <c r="F649" s="2" t="s">
        <v>19</v>
      </c>
      <c r="G649" s="2" t="s">
        <v>20</v>
      </c>
      <c r="H649" s="2" t="s">
        <v>29</v>
      </c>
      <c r="I649" s="2" t="s">
        <v>22</v>
      </c>
      <c r="J649" s="2" t="s">
        <v>52</v>
      </c>
      <c r="K649" s="2" t="s">
        <v>449</v>
      </c>
      <c r="L649" s="2" t="s">
        <v>32</v>
      </c>
      <c r="M649" s="2" t="s">
        <v>26</v>
      </c>
      <c r="N649" s="2" t="s">
        <v>27</v>
      </c>
      <c r="O649" s="1">
        <v>42220</v>
      </c>
      <c r="P649" s="3">
        <v>12.39</v>
      </c>
      <c r="Q649" s="3">
        <v>19.98</v>
      </c>
      <c r="R649" s="3">
        <f t="shared" si="61"/>
        <v>7.59</v>
      </c>
      <c r="S649" s="2">
        <v>44</v>
      </c>
      <c r="T649" s="3">
        <f t="shared" si="62"/>
        <v>879.12</v>
      </c>
      <c r="U649" s="4">
        <v>7.0000000000000007E-2</v>
      </c>
      <c r="V649" s="6">
        <f t="shared" si="63"/>
        <v>61.538400000000003</v>
      </c>
      <c r="W649" s="6">
        <f t="shared" si="64"/>
        <v>817.58159999999998</v>
      </c>
      <c r="X649" s="3">
        <v>5.77</v>
      </c>
      <c r="Y649" s="5">
        <f t="shared" si="65"/>
        <v>823.35159999999996</v>
      </c>
    </row>
    <row r="650" spans="1:25" x14ac:dyDescent="0.2">
      <c r="A650" t="s">
        <v>1528</v>
      </c>
      <c r="B650" s="1">
        <v>42219</v>
      </c>
      <c r="C650" s="2" t="str">
        <f t="shared" si="60"/>
        <v>2015</v>
      </c>
      <c r="D650" s="2" t="s">
        <v>106</v>
      </c>
      <c r="E650" s="2" t="s">
        <v>107</v>
      </c>
      <c r="F650" s="2" t="s">
        <v>36</v>
      </c>
      <c r="G650" s="2" t="s">
        <v>37</v>
      </c>
      <c r="H650" s="2" t="s">
        <v>50</v>
      </c>
      <c r="I650" s="2" t="s">
        <v>83</v>
      </c>
      <c r="J650" s="2" t="s">
        <v>23</v>
      </c>
      <c r="K650" s="2" t="s">
        <v>403</v>
      </c>
      <c r="L650" s="2" t="s">
        <v>32</v>
      </c>
      <c r="M650" s="2" t="s">
        <v>26</v>
      </c>
      <c r="N650" s="2" t="s">
        <v>27</v>
      </c>
      <c r="O650" s="1">
        <v>42224</v>
      </c>
      <c r="P650" s="3">
        <v>1.33</v>
      </c>
      <c r="Q650" s="3">
        <v>2.08</v>
      </c>
      <c r="R650" s="3">
        <f t="shared" si="61"/>
        <v>0.75</v>
      </c>
      <c r="S650" s="2">
        <v>20</v>
      </c>
      <c r="T650" s="3">
        <f t="shared" si="62"/>
        <v>41.6</v>
      </c>
      <c r="U650" s="4">
        <v>0.1</v>
      </c>
      <c r="V650" s="6">
        <f t="shared" si="63"/>
        <v>4.16</v>
      </c>
      <c r="W650" s="6">
        <f t="shared" si="64"/>
        <v>37.44</v>
      </c>
      <c r="X650" s="3">
        <v>1.49</v>
      </c>
      <c r="Y650" s="5">
        <f t="shared" si="65"/>
        <v>38.93</v>
      </c>
    </row>
    <row r="651" spans="1:25" x14ac:dyDescent="0.2">
      <c r="A651" t="s">
        <v>1529</v>
      </c>
      <c r="B651" s="1">
        <v>42223</v>
      </c>
      <c r="C651" s="2" t="str">
        <f t="shared" si="60"/>
        <v>2015</v>
      </c>
      <c r="D651" s="2" t="s">
        <v>361</v>
      </c>
      <c r="E651" s="2" t="s">
        <v>1923</v>
      </c>
      <c r="F651" s="2" t="s">
        <v>36</v>
      </c>
      <c r="G651" s="2" t="s">
        <v>37</v>
      </c>
      <c r="H651" s="2" t="s">
        <v>50</v>
      </c>
      <c r="I651" s="2" t="s">
        <v>79</v>
      </c>
      <c r="J651" s="2" t="s">
        <v>66</v>
      </c>
      <c r="K651" s="2" t="s">
        <v>252</v>
      </c>
      <c r="L651" s="2" t="s">
        <v>32</v>
      </c>
      <c r="M651" s="2" t="s">
        <v>33</v>
      </c>
      <c r="N651" s="2" t="s">
        <v>27</v>
      </c>
      <c r="O651" s="1">
        <v>42224</v>
      </c>
      <c r="P651" s="3">
        <v>2.59</v>
      </c>
      <c r="Q651" s="3">
        <v>3.98</v>
      </c>
      <c r="R651" s="3">
        <f t="shared" si="61"/>
        <v>1.3900000000000001</v>
      </c>
      <c r="S651" s="2">
        <v>16</v>
      </c>
      <c r="T651" s="3">
        <f t="shared" si="62"/>
        <v>63.68</v>
      </c>
      <c r="U651" s="4">
        <v>0.09</v>
      </c>
      <c r="V651" s="6">
        <f t="shared" si="63"/>
        <v>5.7311999999999994</v>
      </c>
      <c r="W651" s="6">
        <f t="shared" si="64"/>
        <v>57.948799999999999</v>
      </c>
      <c r="X651" s="3">
        <v>2.97</v>
      </c>
      <c r="Y651" s="5">
        <f t="shared" si="65"/>
        <v>60.918799999999997</v>
      </c>
    </row>
    <row r="652" spans="1:25" x14ac:dyDescent="0.2">
      <c r="A652" t="s">
        <v>1530</v>
      </c>
      <c r="B652" s="1">
        <v>42224</v>
      </c>
      <c r="C652" s="2" t="str">
        <f t="shared" si="60"/>
        <v>2015</v>
      </c>
      <c r="D652" s="2" t="s">
        <v>253</v>
      </c>
      <c r="E652" s="2" t="s">
        <v>254</v>
      </c>
      <c r="F652" s="2" t="s">
        <v>19</v>
      </c>
      <c r="G652" s="2" t="s">
        <v>20</v>
      </c>
      <c r="H652" s="2" t="s">
        <v>50</v>
      </c>
      <c r="I652" s="2" t="s">
        <v>92</v>
      </c>
      <c r="J652" s="2" t="s">
        <v>44</v>
      </c>
      <c r="K652" s="2" t="s">
        <v>300</v>
      </c>
      <c r="L652" s="2" t="s">
        <v>32</v>
      </c>
      <c r="M652" s="2" t="s">
        <v>26</v>
      </c>
      <c r="N652" s="2" t="s">
        <v>89</v>
      </c>
      <c r="O652" s="1">
        <v>42225</v>
      </c>
      <c r="P652" s="3">
        <v>5.33</v>
      </c>
      <c r="Q652" s="3">
        <v>8.6</v>
      </c>
      <c r="R652" s="3">
        <f t="shared" si="61"/>
        <v>3.2699999999999996</v>
      </c>
      <c r="S652" s="2">
        <v>15</v>
      </c>
      <c r="T652" s="3">
        <f t="shared" si="62"/>
        <v>129</v>
      </c>
      <c r="U652" s="4">
        <v>0.04</v>
      </c>
      <c r="V652" s="6">
        <f t="shared" si="63"/>
        <v>5.16</v>
      </c>
      <c r="W652" s="6">
        <f t="shared" si="64"/>
        <v>123.84</v>
      </c>
      <c r="X652" s="3">
        <v>6.19</v>
      </c>
      <c r="Y652" s="5">
        <f t="shared" si="65"/>
        <v>130.03</v>
      </c>
    </row>
    <row r="653" spans="1:25" x14ac:dyDescent="0.2">
      <c r="A653" t="s">
        <v>913</v>
      </c>
      <c r="B653" s="1">
        <v>42226</v>
      </c>
      <c r="C653" s="2" t="str">
        <f t="shared" si="60"/>
        <v>2015</v>
      </c>
      <c r="D653" s="2" t="s">
        <v>140</v>
      </c>
      <c r="E653" s="2" t="s">
        <v>141</v>
      </c>
      <c r="F653" s="2" t="s">
        <v>36</v>
      </c>
      <c r="G653" s="2" t="s">
        <v>37</v>
      </c>
      <c r="H653" s="2" t="s">
        <v>42</v>
      </c>
      <c r="I653" s="2" t="s">
        <v>142</v>
      </c>
      <c r="J653" s="2" t="s">
        <v>52</v>
      </c>
      <c r="K653" s="2" t="s">
        <v>563</v>
      </c>
      <c r="L653" s="2" t="s">
        <v>32</v>
      </c>
      <c r="M653" s="2" t="s">
        <v>26</v>
      </c>
      <c r="N653" s="2" t="s">
        <v>27</v>
      </c>
      <c r="O653" s="1">
        <v>42227</v>
      </c>
      <c r="P653" s="3">
        <v>2.76</v>
      </c>
      <c r="Q653" s="3">
        <v>4.38</v>
      </c>
      <c r="R653" s="3">
        <f t="shared" si="61"/>
        <v>1.62</v>
      </c>
      <c r="S653" s="2">
        <v>24</v>
      </c>
      <c r="T653" s="3">
        <f t="shared" si="62"/>
        <v>105.12</v>
      </c>
      <c r="U653" s="4">
        <v>0.02</v>
      </c>
      <c r="V653" s="6">
        <f t="shared" si="63"/>
        <v>2.1024000000000003</v>
      </c>
      <c r="W653" s="6">
        <f t="shared" si="64"/>
        <v>103.0176</v>
      </c>
      <c r="X653" s="3">
        <v>6.21</v>
      </c>
      <c r="Y653" s="5">
        <f t="shared" si="65"/>
        <v>109.2276</v>
      </c>
    </row>
    <row r="654" spans="1:25" x14ac:dyDescent="0.2">
      <c r="A654" t="s">
        <v>914</v>
      </c>
      <c r="B654" s="1">
        <v>42226</v>
      </c>
      <c r="C654" s="2" t="str">
        <f t="shared" si="60"/>
        <v>2015</v>
      </c>
      <c r="D654" s="2" t="s">
        <v>140</v>
      </c>
      <c r="E654" s="2" t="s">
        <v>141</v>
      </c>
      <c r="F654" s="2" t="s">
        <v>36</v>
      </c>
      <c r="G654" s="2" t="s">
        <v>37</v>
      </c>
      <c r="H654" s="2" t="s">
        <v>42</v>
      </c>
      <c r="I654" s="2" t="s">
        <v>142</v>
      </c>
      <c r="J654" s="2" t="s">
        <v>52</v>
      </c>
      <c r="K654" s="2" t="s">
        <v>429</v>
      </c>
      <c r="L654" s="2" t="s">
        <v>32</v>
      </c>
      <c r="M654" s="2" t="s">
        <v>58</v>
      </c>
      <c r="N654" s="2" t="s">
        <v>27</v>
      </c>
      <c r="O654" s="1">
        <v>42229</v>
      </c>
      <c r="P654" s="3">
        <v>4.0999999999999996</v>
      </c>
      <c r="Q654" s="3">
        <v>9.31</v>
      </c>
      <c r="R654" s="3">
        <f t="shared" si="61"/>
        <v>5.2100000000000009</v>
      </c>
      <c r="S654" s="2">
        <v>30</v>
      </c>
      <c r="T654" s="3">
        <f t="shared" si="62"/>
        <v>279.3</v>
      </c>
      <c r="U654" s="4">
        <v>0.03</v>
      </c>
      <c r="V654" s="6">
        <f t="shared" si="63"/>
        <v>8.3789999999999996</v>
      </c>
      <c r="W654" s="6">
        <f t="shared" si="64"/>
        <v>270.92099999999999</v>
      </c>
      <c r="X654" s="3">
        <v>3.98</v>
      </c>
      <c r="Y654" s="5">
        <f t="shared" si="65"/>
        <v>274.90100000000001</v>
      </c>
    </row>
    <row r="655" spans="1:25" x14ac:dyDescent="0.2">
      <c r="A655" t="s">
        <v>1531</v>
      </c>
      <c r="B655" s="1">
        <v>42227</v>
      </c>
      <c r="C655" s="2" t="str">
        <f t="shared" si="60"/>
        <v>2015</v>
      </c>
      <c r="D655" s="2" t="s">
        <v>560</v>
      </c>
      <c r="E655" s="2" t="s">
        <v>172</v>
      </c>
      <c r="F655" s="2" t="s">
        <v>36</v>
      </c>
      <c r="G655" s="2" t="s">
        <v>37</v>
      </c>
      <c r="H655" s="2" t="s">
        <v>29</v>
      </c>
      <c r="I655" s="2" t="s">
        <v>75</v>
      </c>
      <c r="J655" s="2" t="s">
        <v>44</v>
      </c>
      <c r="K655" s="2" t="s">
        <v>322</v>
      </c>
      <c r="L655" s="2" t="s">
        <v>25</v>
      </c>
      <c r="M655" s="2" t="s">
        <v>261</v>
      </c>
      <c r="N655" s="2" t="s">
        <v>27</v>
      </c>
      <c r="O655" s="1">
        <v>42228</v>
      </c>
      <c r="P655" s="3">
        <v>377.99</v>
      </c>
      <c r="Q655" s="3">
        <v>599.99</v>
      </c>
      <c r="R655" s="3">
        <f t="shared" si="61"/>
        <v>222</v>
      </c>
      <c r="S655" s="2">
        <v>46</v>
      </c>
      <c r="T655" s="3">
        <f t="shared" si="62"/>
        <v>27599.54</v>
      </c>
      <c r="U655" s="4">
        <v>7.0000000000000007E-2</v>
      </c>
      <c r="V655" s="6">
        <f t="shared" si="63"/>
        <v>1931.9678000000004</v>
      </c>
      <c r="W655" s="6">
        <f t="shared" si="64"/>
        <v>25667.572200000002</v>
      </c>
      <c r="X655" s="3">
        <v>24.49</v>
      </c>
      <c r="Y655" s="5">
        <f t="shared" si="65"/>
        <v>25692.062200000004</v>
      </c>
    </row>
    <row r="656" spans="1:25" x14ac:dyDescent="0.2">
      <c r="A656" t="s">
        <v>1532</v>
      </c>
      <c r="B656" s="1">
        <v>42227</v>
      </c>
      <c r="C656" s="2" t="str">
        <f t="shared" si="60"/>
        <v>2015</v>
      </c>
      <c r="D656" s="2" t="s">
        <v>561</v>
      </c>
      <c r="E656" s="2" t="s">
        <v>141</v>
      </c>
      <c r="F656" s="2" t="s">
        <v>36</v>
      </c>
      <c r="G656" s="2" t="s">
        <v>37</v>
      </c>
      <c r="H656" s="2" t="s">
        <v>42</v>
      </c>
      <c r="I656" s="2" t="s">
        <v>142</v>
      </c>
      <c r="J656" s="2" t="s">
        <v>44</v>
      </c>
      <c r="K656" s="2" t="s">
        <v>306</v>
      </c>
      <c r="L656" s="2" t="s">
        <v>32</v>
      </c>
      <c r="M656" s="2" t="s">
        <v>33</v>
      </c>
      <c r="N656" s="2" t="s">
        <v>27</v>
      </c>
      <c r="O656" s="1">
        <v>42230</v>
      </c>
      <c r="P656" s="3">
        <v>1.76</v>
      </c>
      <c r="Q656" s="3">
        <v>2.94</v>
      </c>
      <c r="R656" s="3">
        <f t="shared" si="61"/>
        <v>1.18</v>
      </c>
      <c r="S656" s="2">
        <v>39</v>
      </c>
      <c r="T656" s="3">
        <f t="shared" si="62"/>
        <v>114.66</v>
      </c>
      <c r="U656" s="4">
        <v>0.04</v>
      </c>
      <c r="V656" s="6">
        <f t="shared" si="63"/>
        <v>4.5864000000000003</v>
      </c>
      <c r="W656" s="6">
        <f t="shared" si="64"/>
        <v>110.0736</v>
      </c>
      <c r="X656" s="3">
        <v>0.81</v>
      </c>
      <c r="Y656" s="5">
        <f t="shared" si="65"/>
        <v>110.8836</v>
      </c>
    </row>
    <row r="657" spans="1:25" x14ac:dyDescent="0.2">
      <c r="A657" t="s">
        <v>1533</v>
      </c>
      <c r="B657" s="1">
        <v>42227</v>
      </c>
      <c r="C657" s="2" t="str">
        <f t="shared" si="60"/>
        <v>2015</v>
      </c>
      <c r="D657" s="2" t="s">
        <v>562</v>
      </c>
      <c r="E657" s="2" t="s">
        <v>60</v>
      </c>
      <c r="F657" s="2" t="s">
        <v>36</v>
      </c>
      <c r="G657" s="2" t="s">
        <v>37</v>
      </c>
      <c r="H657" s="2" t="s">
        <v>29</v>
      </c>
      <c r="I657" s="2" t="s">
        <v>56</v>
      </c>
      <c r="J657" s="2" t="s">
        <v>44</v>
      </c>
      <c r="K657" s="2" t="s">
        <v>128</v>
      </c>
      <c r="L657" s="2" t="s">
        <v>25</v>
      </c>
      <c r="M657" s="2" t="s">
        <v>26</v>
      </c>
      <c r="N657" s="2" t="s">
        <v>89</v>
      </c>
      <c r="O657" s="1">
        <v>42228</v>
      </c>
      <c r="P657" s="3">
        <v>10.07</v>
      </c>
      <c r="Q657" s="3">
        <v>15.98</v>
      </c>
      <c r="R657" s="3">
        <f t="shared" si="61"/>
        <v>5.91</v>
      </c>
      <c r="S657" s="2">
        <v>7</v>
      </c>
      <c r="T657" s="3">
        <f t="shared" si="62"/>
        <v>111.86</v>
      </c>
      <c r="U657" s="4">
        <v>0.04</v>
      </c>
      <c r="V657" s="6">
        <f t="shared" si="63"/>
        <v>4.4744000000000002</v>
      </c>
      <c r="W657" s="6">
        <f t="shared" si="64"/>
        <v>107.3856</v>
      </c>
      <c r="X657" s="3">
        <v>4</v>
      </c>
      <c r="Y657" s="5">
        <f t="shared" si="65"/>
        <v>111.3856</v>
      </c>
    </row>
    <row r="658" spans="1:25" x14ac:dyDescent="0.2">
      <c r="A658" t="s">
        <v>1534</v>
      </c>
      <c r="B658" s="1">
        <v>42228</v>
      </c>
      <c r="C658" s="2" t="str">
        <f t="shared" si="60"/>
        <v>2015</v>
      </c>
      <c r="D658" s="2" t="s">
        <v>175</v>
      </c>
      <c r="E658" s="2" t="s">
        <v>176</v>
      </c>
      <c r="F658" s="2" t="s">
        <v>36</v>
      </c>
      <c r="G658" s="2" t="s">
        <v>37</v>
      </c>
      <c r="H658" s="2" t="s">
        <v>50</v>
      </c>
      <c r="I658" s="2" t="s">
        <v>102</v>
      </c>
      <c r="J658" s="2" t="s">
        <v>52</v>
      </c>
      <c r="K658" s="2" t="s">
        <v>386</v>
      </c>
      <c r="L658" s="2" t="s">
        <v>25</v>
      </c>
      <c r="M658" s="2" t="s">
        <v>26</v>
      </c>
      <c r="N658" s="2" t="s">
        <v>27</v>
      </c>
      <c r="O658" s="1">
        <v>42231</v>
      </c>
      <c r="P658" s="3">
        <v>6.51</v>
      </c>
      <c r="Q658" s="3">
        <v>30.98</v>
      </c>
      <c r="R658" s="3">
        <f t="shared" si="61"/>
        <v>24.47</v>
      </c>
      <c r="S658" s="2">
        <v>8</v>
      </c>
      <c r="T658" s="3">
        <f t="shared" si="62"/>
        <v>247.84</v>
      </c>
      <c r="U658" s="4">
        <v>0.06</v>
      </c>
      <c r="V658" s="6">
        <f t="shared" si="63"/>
        <v>14.8704</v>
      </c>
      <c r="W658" s="6">
        <f t="shared" si="64"/>
        <v>232.96960000000001</v>
      </c>
      <c r="X658" s="3">
        <v>6.5</v>
      </c>
      <c r="Y658" s="5">
        <f t="shared" si="65"/>
        <v>239.46960000000001</v>
      </c>
    </row>
    <row r="659" spans="1:25" x14ac:dyDescent="0.2">
      <c r="A659" t="s">
        <v>1535</v>
      </c>
      <c r="B659" s="1">
        <v>42230</v>
      </c>
      <c r="C659" s="2" t="str">
        <f t="shared" si="60"/>
        <v>2015</v>
      </c>
      <c r="D659" s="2" t="s">
        <v>559</v>
      </c>
      <c r="E659" s="2" t="s">
        <v>540</v>
      </c>
      <c r="F659" s="2" t="s">
        <v>19</v>
      </c>
      <c r="G659" s="2" t="s">
        <v>20</v>
      </c>
      <c r="H659" s="2" t="s">
        <v>50</v>
      </c>
      <c r="I659" s="2" t="s">
        <v>22</v>
      </c>
      <c r="J659" s="2" t="s">
        <v>30</v>
      </c>
      <c r="K659" s="2" t="s">
        <v>53</v>
      </c>
      <c r="L659" s="2" t="s">
        <v>32</v>
      </c>
      <c r="M659" s="2" t="s">
        <v>33</v>
      </c>
      <c r="N659" s="2" t="s">
        <v>27</v>
      </c>
      <c r="O659" s="1">
        <v>42232</v>
      </c>
      <c r="P659" s="3">
        <v>3.75</v>
      </c>
      <c r="Q659" s="3">
        <v>7.08</v>
      </c>
      <c r="R659" s="3">
        <f t="shared" si="61"/>
        <v>3.33</v>
      </c>
      <c r="S659" s="2">
        <v>48</v>
      </c>
      <c r="T659" s="3">
        <f t="shared" si="62"/>
        <v>339.84000000000003</v>
      </c>
      <c r="U659" s="4">
        <v>0.03</v>
      </c>
      <c r="V659" s="6">
        <f t="shared" si="63"/>
        <v>10.1952</v>
      </c>
      <c r="W659" s="6">
        <f t="shared" si="64"/>
        <v>329.64480000000003</v>
      </c>
      <c r="X659" s="3">
        <v>2.35</v>
      </c>
      <c r="Y659" s="5">
        <f t="shared" si="65"/>
        <v>331.99480000000005</v>
      </c>
    </row>
    <row r="660" spans="1:25" x14ac:dyDescent="0.2">
      <c r="A660" t="s">
        <v>1536</v>
      </c>
      <c r="B660" s="1">
        <v>42231</v>
      </c>
      <c r="C660" s="2" t="str">
        <f t="shared" si="60"/>
        <v>2015</v>
      </c>
      <c r="D660" s="2" t="s">
        <v>382</v>
      </c>
      <c r="E660" s="2" t="s">
        <v>74</v>
      </c>
      <c r="F660" s="2" t="s">
        <v>36</v>
      </c>
      <c r="G660" s="2" t="s">
        <v>37</v>
      </c>
      <c r="H660" s="2" t="s">
        <v>29</v>
      </c>
      <c r="I660" s="2" t="s">
        <v>75</v>
      </c>
      <c r="J660" s="2" t="s">
        <v>44</v>
      </c>
      <c r="K660" s="2" t="s">
        <v>72</v>
      </c>
      <c r="L660" s="2" t="s">
        <v>32</v>
      </c>
      <c r="M660" s="2" t="s">
        <v>26</v>
      </c>
      <c r="N660" s="2" t="s">
        <v>89</v>
      </c>
      <c r="O660" s="1">
        <v>42233</v>
      </c>
      <c r="P660" s="3">
        <v>3.5</v>
      </c>
      <c r="Q660" s="3">
        <v>5.74</v>
      </c>
      <c r="R660" s="3">
        <f t="shared" si="61"/>
        <v>2.2400000000000002</v>
      </c>
      <c r="S660" s="2">
        <v>32</v>
      </c>
      <c r="T660" s="3">
        <f t="shared" si="62"/>
        <v>183.68</v>
      </c>
      <c r="U660" s="4">
        <v>0.08</v>
      </c>
      <c r="V660" s="6">
        <f t="shared" si="63"/>
        <v>14.694400000000002</v>
      </c>
      <c r="W660" s="6">
        <f t="shared" si="64"/>
        <v>168.98560000000001</v>
      </c>
      <c r="X660" s="3">
        <v>5.01</v>
      </c>
      <c r="Y660" s="5">
        <f t="shared" si="65"/>
        <v>173.9956</v>
      </c>
    </row>
    <row r="661" spans="1:25" x14ac:dyDescent="0.2">
      <c r="A661" t="s">
        <v>1537</v>
      </c>
      <c r="B661" s="1">
        <v>42237</v>
      </c>
      <c r="C661" s="2" t="str">
        <f t="shared" si="60"/>
        <v>2015</v>
      </c>
      <c r="D661" s="2" t="s">
        <v>557</v>
      </c>
      <c r="E661" s="2" t="s">
        <v>558</v>
      </c>
      <c r="F661" s="2" t="s">
        <v>36</v>
      </c>
      <c r="G661" s="2" t="s">
        <v>37</v>
      </c>
      <c r="H661" s="2" t="s">
        <v>21</v>
      </c>
      <c r="I661" s="2" t="s">
        <v>56</v>
      </c>
      <c r="J661" s="2" t="s">
        <v>52</v>
      </c>
      <c r="K661" s="2" t="s">
        <v>405</v>
      </c>
      <c r="L661" s="2" t="s">
        <v>32</v>
      </c>
      <c r="M661" s="2" t="s">
        <v>26</v>
      </c>
      <c r="N661" s="2" t="s">
        <v>27</v>
      </c>
      <c r="O661" s="1">
        <v>42239</v>
      </c>
      <c r="P661" s="3">
        <v>2.1800000000000002</v>
      </c>
      <c r="Q661" s="3">
        <v>3.52</v>
      </c>
      <c r="R661" s="3">
        <f t="shared" si="61"/>
        <v>1.3399999999999999</v>
      </c>
      <c r="S661" s="2">
        <v>38</v>
      </c>
      <c r="T661" s="3">
        <f t="shared" si="62"/>
        <v>133.76</v>
      </c>
      <c r="U661" s="4">
        <v>0.09</v>
      </c>
      <c r="V661" s="6">
        <f t="shared" si="63"/>
        <v>12.038399999999999</v>
      </c>
      <c r="W661" s="6">
        <f t="shared" si="64"/>
        <v>121.7216</v>
      </c>
      <c r="X661" s="3">
        <v>6.83</v>
      </c>
      <c r="Y661" s="5">
        <f t="shared" si="65"/>
        <v>128.55160000000001</v>
      </c>
    </row>
    <row r="662" spans="1:25" x14ac:dyDescent="0.2">
      <c r="A662" t="s">
        <v>1538</v>
      </c>
      <c r="B662" s="1">
        <v>42238</v>
      </c>
      <c r="C662" s="2" t="str">
        <f t="shared" si="60"/>
        <v>2015</v>
      </c>
      <c r="D662" s="2" t="s">
        <v>476</v>
      </c>
      <c r="E662" s="2" t="s">
        <v>477</v>
      </c>
      <c r="F662" s="2" t="s">
        <v>36</v>
      </c>
      <c r="G662" s="2" t="s">
        <v>37</v>
      </c>
      <c r="H662" s="2" t="s">
        <v>21</v>
      </c>
      <c r="I662" s="2" t="s">
        <v>83</v>
      </c>
      <c r="J662" s="2" t="s">
        <v>23</v>
      </c>
      <c r="K662" s="2" t="s">
        <v>128</v>
      </c>
      <c r="L662" s="2" t="s">
        <v>25</v>
      </c>
      <c r="M662" s="2" t="s">
        <v>26</v>
      </c>
      <c r="N662" s="2" t="s">
        <v>27</v>
      </c>
      <c r="O662" s="1">
        <v>42243</v>
      </c>
      <c r="P662" s="3">
        <v>10.07</v>
      </c>
      <c r="Q662" s="3">
        <v>15.98</v>
      </c>
      <c r="R662" s="3">
        <f t="shared" si="61"/>
        <v>5.91</v>
      </c>
      <c r="S662" s="2">
        <v>6</v>
      </c>
      <c r="T662" s="3">
        <f t="shared" si="62"/>
        <v>95.88</v>
      </c>
      <c r="U662" s="4">
        <v>0.1</v>
      </c>
      <c r="V662" s="6">
        <f t="shared" si="63"/>
        <v>9.5879999999999992</v>
      </c>
      <c r="W662" s="6">
        <f t="shared" si="64"/>
        <v>86.292000000000002</v>
      </c>
      <c r="X662" s="3">
        <v>4</v>
      </c>
      <c r="Y662" s="5">
        <f t="shared" si="65"/>
        <v>90.292000000000002</v>
      </c>
    </row>
    <row r="663" spans="1:25" x14ac:dyDescent="0.2">
      <c r="A663" t="s">
        <v>1539</v>
      </c>
      <c r="B663" s="1">
        <v>42239</v>
      </c>
      <c r="C663" s="2" t="str">
        <f t="shared" si="60"/>
        <v>2015</v>
      </c>
      <c r="D663" s="2" t="s">
        <v>555</v>
      </c>
      <c r="E663" s="2" t="s">
        <v>434</v>
      </c>
      <c r="F663" s="2" t="s">
        <v>19</v>
      </c>
      <c r="G663" s="2" t="s">
        <v>20</v>
      </c>
      <c r="H663" s="2" t="s">
        <v>42</v>
      </c>
      <c r="I663" s="2" t="s">
        <v>92</v>
      </c>
      <c r="J663" s="2" t="s">
        <v>23</v>
      </c>
      <c r="K663" s="2" t="s">
        <v>556</v>
      </c>
      <c r="L663" s="2" t="s">
        <v>32</v>
      </c>
      <c r="M663" s="2" t="s">
        <v>26</v>
      </c>
      <c r="N663" s="2" t="s">
        <v>89</v>
      </c>
      <c r="O663" s="1">
        <v>42246</v>
      </c>
      <c r="P663" s="3">
        <v>3.53</v>
      </c>
      <c r="Q663" s="3">
        <v>8.6199999999999992</v>
      </c>
      <c r="R663" s="3">
        <f t="shared" si="61"/>
        <v>5.09</v>
      </c>
      <c r="S663" s="2">
        <v>8</v>
      </c>
      <c r="T663" s="3">
        <f t="shared" si="62"/>
        <v>68.959999999999994</v>
      </c>
      <c r="U663" s="4">
        <v>0</v>
      </c>
      <c r="V663" s="6">
        <f t="shared" si="63"/>
        <v>0</v>
      </c>
      <c r="W663" s="6">
        <f t="shared" si="64"/>
        <v>68.959999999999994</v>
      </c>
      <c r="X663" s="3">
        <v>4.5</v>
      </c>
      <c r="Y663" s="5">
        <f t="shared" si="65"/>
        <v>73.459999999999994</v>
      </c>
    </row>
    <row r="664" spans="1:25" x14ac:dyDescent="0.2">
      <c r="A664" t="s">
        <v>1540</v>
      </c>
      <c r="B664" s="1">
        <v>42240</v>
      </c>
      <c r="C664" s="2" t="str">
        <f t="shared" si="60"/>
        <v>2015</v>
      </c>
      <c r="D664" s="2" t="s">
        <v>467</v>
      </c>
      <c r="E664" s="2" t="s">
        <v>276</v>
      </c>
      <c r="F664" s="2" t="s">
        <v>19</v>
      </c>
      <c r="G664" s="2" t="s">
        <v>20</v>
      </c>
      <c r="H664" s="2" t="s">
        <v>42</v>
      </c>
      <c r="I664" s="2" t="s">
        <v>22</v>
      </c>
      <c r="J664" s="2" t="s">
        <v>44</v>
      </c>
      <c r="K664" s="2" t="s">
        <v>408</v>
      </c>
      <c r="L664" s="2" t="s">
        <v>32</v>
      </c>
      <c r="M664" s="2" t="s">
        <v>26</v>
      </c>
      <c r="N664" s="2" t="s">
        <v>89</v>
      </c>
      <c r="O664" s="1">
        <v>42241</v>
      </c>
      <c r="P664" s="3">
        <v>84.22</v>
      </c>
      <c r="Q664" s="3">
        <v>210.55</v>
      </c>
      <c r="R664" s="3">
        <f t="shared" si="61"/>
        <v>126.33000000000001</v>
      </c>
      <c r="S664" s="2">
        <v>2</v>
      </c>
      <c r="T664" s="3">
        <f t="shared" si="62"/>
        <v>421.1</v>
      </c>
      <c r="U664" s="4">
        <v>0.05</v>
      </c>
      <c r="V664" s="6">
        <f t="shared" si="63"/>
        <v>21.055000000000003</v>
      </c>
      <c r="W664" s="6">
        <f t="shared" si="64"/>
        <v>400.04500000000002</v>
      </c>
      <c r="X664" s="3">
        <v>9.99</v>
      </c>
      <c r="Y664" s="5">
        <f t="shared" si="65"/>
        <v>410.03500000000003</v>
      </c>
    </row>
    <row r="665" spans="1:25" x14ac:dyDescent="0.2">
      <c r="A665" t="s">
        <v>1541</v>
      </c>
      <c r="B665" s="1">
        <v>42240</v>
      </c>
      <c r="C665" s="2" t="str">
        <f t="shared" si="60"/>
        <v>2015</v>
      </c>
      <c r="D665" s="2" t="s">
        <v>554</v>
      </c>
      <c r="E665" s="2" t="s">
        <v>196</v>
      </c>
      <c r="F665" s="2" t="s">
        <v>36</v>
      </c>
      <c r="G665" s="2" t="s">
        <v>37</v>
      </c>
      <c r="H665" s="2" t="s">
        <v>50</v>
      </c>
      <c r="I665" s="2" t="s">
        <v>102</v>
      </c>
      <c r="J665" s="2" t="s">
        <v>23</v>
      </c>
      <c r="K665" s="2" t="s">
        <v>220</v>
      </c>
      <c r="L665" s="2" t="s">
        <v>32</v>
      </c>
      <c r="M665" s="2" t="s">
        <v>33</v>
      </c>
      <c r="N665" s="2" t="s">
        <v>27</v>
      </c>
      <c r="O665" s="1">
        <v>42244</v>
      </c>
      <c r="P665" s="3">
        <v>1.0900000000000001</v>
      </c>
      <c r="Q665" s="3">
        <v>1.82</v>
      </c>
      <c r="R665" s="3">
        <f t="shared" si="61"/>
        <v>0.73</v>
      </c>
      <c r="S665" s="2">
        <v>42</v>
      </c>
      <c r="T665" s="3">
        <f t="shared" si="62"/>
        <v>76.44</v>
      </c>
      <c r="U665" s="4">
        <v>0.08</v>
      </c>
      <c r="V665" s="6">
        <f t="shared" si="63"/>
        <v>6.1151999999999997</v>
      </c>
      <c r="W665" s="6">
        <f t="shared" si="64"/>
        <v>70.324799999999996</v>
      </c>
      <c r="X665" s="3">
        <v>1</v>
      </c>
      <c r="Y665" s="5">
        <f t="shared" si="65"/>
        <v>71.324799999999996</v>
      </c>
    </row>
    <row r="666" spans="1:25" x14ac:dyDescent="0.2">
      <c r="A666" t="s">
        <v>1542</v>
      </c>
      <c r="B666" s="1">
        <v>42240</v>
      </c>
      <c r="C666" s="2" t="str">
        <f t="shared" si="60"/>
        <v>2015</v>
      </c>
      <c r="D666" s="2" t="s">
        <v>212</v>
      </c>
      <c r="E666" s="2" t="s">
        <v>213</v>
      </c>
      <c r="F666" s="2" t="s">
        <v>36</v>
      </c>
      <c r="G666" s="2" t="s">
        <v>37</v>
      </c>
      <c r="H666" s="2" t="s">
        <v>42</v>
      </c>
      <c r="I666" s="2" t="s">
        <v>79</v>
      </c>
      <c r="J666" s="2" t="s">
        <v>66</v>
      </c>
      <c r="K666" s="2" t="s">
        <v>234</v>
      </c>
      <c r="L666" s="2" t="s">
        <v>32</v>
      </c>
      <c r="M666" s="2" t="s">
        <v>58</v>
      </c>
      <c r="N666" s="2" t="s">
        <v>27</v>
      </c>
      <c r="O666" s="1">
        <v>42242</v>
      </c>
      <c r="P666" s="3">
        <v>16.8</v>
      </c>
      <c r="Q666" s="3">
        <v>40.97</v>
      </c>
      <c r="R666" s="3">
        <f t="shared" si="61"/>
        <v>24.169999999999998</v>
      </c>
      <c r="S666" s="2">
        <v>28</v>
      </c>
      <c r="T666" s="3">
        <f t="shared" si="62"/>
        <v>1147.1599999999999</v>
      </c>
      <c r="U666" s="4">
        <v>0.04</v>
      </c>
      <c r="V666" s="6">
        <f t="shared" si="63"/>
        <v>45.886399999999995</v>
      </c>
      <c r="W666" s="6">
        <f t="shared" si="64"/>
        <v>1101.2735999999998</v>
      </c>
      <c r="X666" s="3">
        <v>8.99</v>
      </c>
      <c r="Y666" s="5">
        <f t="shared" si="65"/>
        <v>1110.2635999999998</v>
      </c>
    </row>
    <row r="667" spans="1:25" x14ac:dyDescent="0.2">
      <c r="A667" t="s">
        <v>1543</v>
      </c>
      <c r="B667" s="1">
        <v>42242</v>
      </c>
      <c r="C667" s="2" t="str">
        <f t="shared" si="60"/>
        <v>2015</v>
      </c>
      <c r="D667" s="2" t="s">
        <v>326</v>
      </c>
      <c r="E667" s="2" t="s">
        <v>199</v>
      </c>
      <c r="F667" s="2" t="s">
        <v>19</v>
      </c>
      <c r="G667" s="2" t="s">
        <v>20</v>
      </c>
      <c r="H667" s="2" t="s">
        <v>50</v>
      </c>
      <c r="I667" s="2" t="s">
        <v>92</v>
      </c>
      <c r="J667" s="2" t="s">
        <v>30</v>
      </c>
      <c r="K667" s="2" t="s">
        <v>342</v>
      </c>
      <c r="L667" s="2" t="s">
        <v>32</v>
      </c>
      <c r="M667" s="2" t="s">
        <v>26</v>
      </c>
      <c r="N667" s="2" t="s">
        <v>27</v>
      </c>
      <c r="O667" s="1">
        <v>42244</v>
      </c>
      <c r="P667" s="3">
        <v>52.04</v>
      </c>
      <c r="Q667" s="3">
        <v>83.93</v>
      </c>
      <c r="R667" s="3">
        <f t="shared" si="61"/>
        <v>31.890000000000008</v>
      </c>
      <c r="S667" s="2">
        <v>3</v>
      </c>
      <c r="T667" s="3">
        <f t="shared" si="62"/>
        <v>251.79000000000002</v>
      </c>
      <c r="U667" s="4">
        <v>0</v>
      </c>
      <c r="V667" s="6">
        <f t="shared" si="63"/>
        <v>0</v>
      </c>
      <c r="W667" s="6">
        <f t="shared" si="64"/>
        <v>251.79000000000002</v>
      </c>
      <c r="X667" s="3">
        <v>19.989999999999998</v>
      </c>
      <c r="Y667" s="5">
        <f t="shared" si="65"/>
        <v>271.78000000000003</v>
      </c>
    </row>
    <row r="668" spans="1:25" x14ac:dyDescent="0.2">
      <c r="A668" t="s">
        <v>1544</v>
      </c>
      <c r="B668" s="1">
        <v>42242</v>
      </c>
      <c r="C668" s="2" t="str">
        <f t="shared" si="60"/>
        <v>2015</v>
      </c>
      <c r="D668" s="2" t="s">
        <v>553</v>
      </c>
      <c r="E668" s="2" t="s">
        <v>182</v>
      </c>
      <c r="F668" s="2" t="s">
        <v>36</v>
      </c>
      <c r="G668" s="2" t="s">
        <v>37</v>
      </c>
      <c r="H668" s="2" t="s">
        <v>50</v>
      </c>
      <c r="I668" s="2" t="s">
        <v>96</v>
      </c>
      <c r="J668" s="2" t="s">
        <v>52</v>
      </c>
      <c r="K668" s="2" t="s">
        <v>337</v>
      </c>
      <c r="L668" s="2" t="s">
        <v>32</v>
      </c>
      <c r="M668" s="2" t="s">
        <v>26</v>
      </c>
      <c r="N668" s="2" t="s">
        <v>27</v>
      </c>
      <c r="O668" s="1">
        <v>42243</v>
      </c>
      <c r="P668" s="3">
        <v>2.29</v>
      </c>
      <c r="Q668" s="3">
        <v>3.69</v>
      </c>
      <c r="R668" s="3">
        <f t="shared" si="61"/>
        <v>1.4</v>
      </c>
      <c r="S668" s="2">
        <v>39</v>
      </c>
      <c r="T668" s="3">
        <f t="shared" si="62"/>
        <v>143.91</v>
      </c>
      <c r="U668" s="4">
        <v>0.03</v>
      </c>
      <c r="V668" s="6">
        <f t="shared" si="63"/>
        <v>4.3172999999999995</v>
      </c>
      <c r="W668" s="6">
        <f t="shared" si="64"/>
        <v>139.59270000000001</v>
      </c>
      <c r="X668" s="3">
        <v>0.5</v>
      </c>
      <c r="Y668" s="5">
        <f t="shared" si="65"/>
        <v>140.09270000000001</v>
      </c>
    </row>
    <row r="669" spans="1:25" x14ac:dyDescent="0.2">
      <c r="A669" t="s">
        <v>1545</v>
      </c>
      <c r="B669" s="1">
        <v>42244</v>
      </c>
      <c r="C669" s="2" t="str">
        <f t="shared" si="60"/>
        <v>2015</v>
      </c>
      <c r="D669" s="2" t="s">
        <v>282</v>
      </c>
      <c r="E669" s="2" t="s">
        <v>60</v>
      </c>
      <c r="F669" s="2" t="s">
        <v>36</v>
      </c>
      <c r="G669" s="2" t="s">
        <v>37</v>
      </c>
      <c r="H669" s="2" t="s">
        <v>42</v>
      </c>
      <c r="I669" s="2" t="s">
        <v>56</v>
      </c>
      <c r="J669" s="2" t="s">
        <v>66</v>
      </c>
      <c r="K669" s="2" t="s">
        <v>180</v>
      </c>
      <c r="L669" s="2" t="s">
        <v>32</v>
      </c>
      <c r="M669" s="2" t="s">
        <v>26</v>
      </c>
      <c r="N669" s="2" t="s">
        <v>27</v>
      </c>
      <c r="O669" s="1">
        <v>42246</v>
      </c>
      <c r="P669" s="3">
        <v>1.94</v>
      </c>
      <c r="Q669" s="3">
        <v>3.08</v>
      </c>
      <c r="R669" s="3">
        <f t="shared" si="61"/>
        <v>1.1400000000000001</v>
      </c>
      <c r="S669" s="2">
        <v>6</v>
      </c>
      <c r="T669" s="3">
        <f t="shared" si="62"/>
        <v>18.48</v>
      </c>
      <c r="U669" s="4">
        <v>0.02</v>
      </c>
      <c r="V669" s="6">
        <f t="shared" si="63"/>
        <v>0.36960000000000004</v>
      </c>
      <c r="W669" s="6">
        <f t="shared" si="64"/>
        <v>18.110400000000002</v>
      </c>
      <c r="X669" s="3">
        <v>0.99</v>
      </c>
      <c r="Y669" s="5">
        <f t="shared" si="65"/>
        <v>19.1004</v>
      </c>
    </row>
    <row r="670" spans="1:25" x14ac:dyDescent="0.2">
      <c r="A670" t="s">
        <v>1546</v>
      </c>
      <c r="B670" s="1">
        <v>42246</v>
      </c>
      <c r="C670" s="2" t="str">
        <f t="shared" si="60"/>
        <v>2015</v>
      </c>
      <c r="D670" s="2" t="s">
        <v>552</v>
      </c>
      <c r="E670" s="2" t="s">
        <v>442</v>
      </c>
      <c r="F670" s="2" t="s">
        <v>36</v>
      </c>
      <c r="G670" s="2" t="s">
        <v>37</v>
      </c>
      <c r="H670" s="2" t="s">
        <v>50</v>
      </c>
      <c r="I670" s="2" t="s">
        <v>79</v>
      </c>
      <c r="J670" s="2" t="s">
        <v>30</v>
      </c>
      <c r="K670" s="2" t="s">
        <v>456</v>
      </c>
      <c r="L670" s="2" t="s">
        <v>25</v>
      </c>
      <c r="M670" s="2" t="s">
        <v>26</v>
      </c>
      <c r="N670" s="2" t="s">
        <v>27</v>
      </c>
      <c r="O670" s="1">
        <v>42248</v>
      </c>
      <c r="P670" s="3">
        <v>41.28</v>
      </c>
      <c r="Q670" s="3">
        <v>95.99</v>
      </c>
      <c r="R670" s="3">
        <f t="shared" si="61"/>
        <v>54.709999999999994</v>
      </c>
      <c r="S670" s="2">
        <v>26</v>
      </c>
      <c r="T670" s="3">
        <f t="shared" si="62"/>
        <v>2495.7399999999998</v>
      </c>
      <c r="U670" s="4">
        <v>0.02</v>
      </c>
      <c r="V670" s="6">
        <f t="shared" si="63"/>
        <v>49.9148</v>
      </c>
      <c r="W670" s="6">
        <f t="shared" si="64"/>
        <v>2445.8251999999998</v>
      </c>
      <c r="X670" s="3">
        <v>8.99</v>
      </c>
      <c r="Y670" s="5">
        <f t="shared" si="65"/>
        <v>2454.8151999999995</v>
      </c>
    </row>
    <row r="671" spans="1:25" x14ac:dyDescent="0.2">
      <c r="A671" t="s">
        <v>1547</v>
      </c>
      <c r="B671" s="1">
        <v>42247</v>
      </c>
      <c r="C671" s="2" t="str">
        <f t="shared" si="60"/>
        <v>2015</v>
      </c>
      <c r="D671" s="2" t="s">
        <v>414</v>
      </c>
      <c r="E671" s="2" t="s">
        <v>1899</v>
      </c>
      <c r="F671" s="2" t="s">
        <v>1881</v>
      </c>
      <c r="G671" s="2" t="s">
        <v>1882</v>
      </c>
      <c r="H671" s="2" t="s">
        <v>29</v>
      </c>
      <c r="I671" s="2" t="s">
        <v>75</v>
      </c>
      <c r="J671" s="2" t="s">
        <v>23</v>
      </c>
      <c r="K671" s="2" t="s">
        <v>189</v>
      </c>
      <c r="L671" s="2" t="s">
        <v>32</v>
      </c>
      <c r="M671" s="2" t="s">
        <v>26</v>
      </c>
      <c r="N671" s="2" t="s">
        <v>27</v>
      </c>
      <c r="O671" s="1">
        <v>42247</v>
      </c>
      <c r="P671" s="3">
        <v>3.4</v>
      </c>
      <c r="Q671" s="3">
        <v>5.4</v>
      </c>
      <c r="R671" s="3">
        <f t="shared" si="61"/>
        <v>2.0000000000000004</v>
      </c>
      <c r="S671" s="2">
        <v>14</v>
      </c>
      <c r="T671" s="3">
        <f t="shared" si="62"/>
        <v>75.600000000000009</v>
      </c>
      <c r="U671" s="4">
        <v>0.02</v>
      </c>
      <c r="V671" s="6">
        <f t="shared" si="63"/>
        <v>1.5120000000000002</v>
      </c>
      <c r="W671" s="6">
        <f t="shared" si="64"/>
        <v>74.088000000000008</v>
      </c>
      <c r="X671" s="3">
        <v>7.78</v>
      </c>
      <c r="Y671" s="5">
        <f t="shared" si="65"/>
        <v>81.868000000000009</v>
      </c>
    </row>
    <row r="672" spans="1:25" x14ac:dyDescent="0.2">
      <c r="A672" t="s">
        <v>1548</v>
      </c>
      <c r="B672" s="1">
        <v>42247</v>
      </c>
      <c r="C672" s="2" t="str">
        <f t="shared" si="60"/>
        <v>2015</v>
      </c>
      <c r="D672" s="2" t="s">
        <v>551</v>
      </c>
      <c r="E672" s="2" t="s">
        <v>254</v>
      </c>
      <c r="F672" s="2" t="s">
        <v>19</v>
      </c>
      <c r="G672" s="2" t="s">
        <v>20</v>
      </c>
      <c r="H672" s="2" t="s">
        <v>21</v>
      </c>
      <c r="I672" s="2" t="s">
        <v>92</v>
      </c>
      <c r="J672" s="2" t="s">
        <v>66</v>
      </c>
      <c r="K672" s="2" t="s">
        <v>247</v>
      </c>
      <c r="L672" s="2" t="s">
        <v>32</v>
      </c>
      <c r="M672" s="2" t="s">
        <v>26</v>
      </c>
      <c r="N672" s="2" t="s">
        <v>27</v>
      </c>
      <c r="O672" s="1">
        <v>42248</v>
      </c>
      <c r="P672" s="3">
        <v>4.46</v>
      </c>
      <c r="Q672" s="3">
        <v>10.89</v>
      </c>
      <c r="R672" s="3">
        <f t="shared" si="61"/>
        <v>6.4300000000000006</v>
      </c>
      <c r="S672" s="2">
        <v>50</v>
      </c>
      <c r="T672" s="3">
        <f t="shared" si="62"/>
        <v>544.5</v>
      </c>
      <c r="U672" s="4">
        <v>0.09</v>
      </c>
      <c r="V672" s="6">
        <f t="shared" si="63"/>
        <v>49.004999999999995</v>
      </c>
      <c r="W672" s="6">
        <f t="shared" si="64"/>
        <v>495.495</v>
      </c>
      <c r="X672" s="3">
        <v>4.5</v>
      </c>
      <c r="Y672" s="5">
        <f t="shared" si="65"/>
        <v>499.995</v>
      </c>
    </row>
    <row r="673" spans="1:25" x14ac:dyDescent="0.2">
      <c r="A673" t="s">
        <v>1549</v>
      </c>
      <c r="B673" s="1">
        <v>42249</v>
      </c>
      <c r="C673" s="2" t="str">
        <f t="shared" si="60"/>
        <v>2015</v>
      </c>
      <c r="D673" s="2" t="s">
        <v>302</v>
      </c>
      <c r="E673" s="2" t="s">
        <v>115</v>
      </c>
      <c r="F673" s="2" t="s">
        <v>36</v>
      </c>
      <c r="G673" s="2" t="s">
        <v>37</v>
      </c>
      <c r="H673" s="2" t="s">
        <v>21</v>
      </c>
      <c r="I673" s="2" t="s">
        <v>51</v>
      </c>
      <c r="J673" s="2" t="s">
        <v>30</v>
      </c>
      <c r="K673" s="2" t="s">
        <v>111</v>
      </c>
      <c r="L673" s="2" t="s">
        <v>25</v>
      </c>
      <c r="M673" s="2" t="s">
        <v>26</v>
      </c>
      <c r="N673" s="2" t="s">
        <v>27</v>
      </c>
      <c r="O673" s="1">
        <v>42252</v>
      </c>
      <c r="P673" s="3">
        <v>60.59</v>
      </c>
      <c r="Q673" s="3">
        <v>100.98</v>
      </c>
      <c r="R673" s="3">
        <f t="shared" si="61"/>
        <v>40.39</v>
      </c>
      <c r="S673" s="2">
        <v>9</v>
      </c>
      <c r="T673" s="3">
        <f t="shared" si="62"/>
        <v>908.82</v>
      </c>
      <c r="U673" s="4">
        <v>0.1</v>
      </c>
      <c r="V673" s="6">
        <f t="shared" si="63"/>
        <v>90.882000000000005</v>
      </c>
      <c r="W673" s="6">
        <f t="shared" si="64"/>
        <v>817.9380000000001</v>
      </c>
      <c r="X673" s="3">
        <v>7.18</v>
      </c>
      <c r="Y673" s="5">
        <f t="shared" si="65"/>
        <v>825.11800000000005</v>
      </c>
    </row>
    <row r="674" spans="1:25" x14ac:dyDescent="0.2">
      <c r="A674" t="s">
        <v>1550</v>
      </c>
      <c r="B674" s="1">
        <v>42249</v>
      </c>
      <c r="C674" s="2" t="str">
        <f t="shared" si="60"/>
        <v>2015</v>
      </c>
      <c r="D674" s="2" t="s">
        <v>407</v>
      </c>
      <c r="E674" s="2" t="s">
        <v>213</v>
      </c>
      <c r="F674" s="2" t="s">
        <v>36</v>
      </c>
      <c r="G674" s="2" t="s">
        <v>37</v>
      </c>
      <c r="H674" s="2" t="s">
        <v>50</v>
      </c>
      <c r="I674" s="2" t="s">
        <v>79</v>
      </c>
      <c r="J674" s="2" t="s">
        <v>30</v>
      </c>
      <c r="K674" s="2" t="s">
        <v>70</v>
      </c>
      <c r="L674" s="2" t="s">
        <v>25</v>
      </c>
      <c r="M674" s="2" t="s">
        <v>26</v>
      </c>
      <c r="N674" s="2" t="s">
        <v>27</v>
      </c>
      <c r="O674" s="1">
        <v>42251</v>
      </c>
      <c r="P674" s="3">
        <v>156.5</v>
      </c>
      <c r="Q674" s="3">
        <v>300.97000000000003</v>
      </c>
      <c r="R674" s="3">
        <f t="shared" si="61"/>
        <v>144.47000000000003</v>
      </c>
      <c r="S674" s="2">
        <v>20</v>
      </c>
      <c r="T674" s="3">
        <f t="shared" si="62"/>
        <v>6019.4000000000005</v>
      </c>
      <c r="U674" s="4">
        <v>0.05</v>
      </c>
      <c r="V674" s="6">
        <f t="shared" si="63"/>
        <v>300.97000000000003</v>
      </c>
      <c r="W674" s="6">
        <f t="shared" si="64"/>
        <v>5718.43</v>
      </c>
      <c r="X674" s="3">
        <v>7.18</v>
      </c>
      <c r="Y674" s="5">
        <f t="shared" si="65"/>
        <v>5725.6100000000006</v>
      </c>
    </row>
    <row r="675" spans="1:25" x14ac:dyDescent="0.2">
      <c r="A675" t="s">
        <v>1551</v>
      </c>
      <c r="B675" s="1">
        <v>42250</v>
      </c>
      <c r="C675" s="2" t="str">
        <f t="shared" si="60"/>
        <v>2015</v>
      </c>
      <c r="D675" s="2" t="s">
        <v>549</v>
      </c>
      <c r="E675" s="2" t="s">
        <v>550</v>
      </c>
      <c r="F675" s="2" t="s">
        <v>36</v>
      </c>
      <c r="G675" s="2" t="s">
        <v>37</v>
      </c>
      <c r="H675" s="2" t="s">
        <v>50</v>
      </c>
      <c r="I675" s="2" t="s">
        <v>43</v>
      </c>
      <c r="J675" s="2" t="s">
        <v>23</v>
      </c>
      <c r="K675" s="2" t="s">
        <v>247</v>
      </c>
      <c r="L675" s="2" t="s">
        <v>32</v>
      </c>
      <c r="M675" s="2" t="s">
        <v>26</v>
      </c>
      <c r="N675" s="2" t="s">
        <v>27</v>
      </c>
      <c r="O675" s="1">
        <v>42254</v>
      </c>
      <c r="P675" s="3">
        <v>4.46</v>
      </c>
      <c r="Q675" s="3">
        <v>10.89</v>
      </c>
      <c r="R675" s="3">
        <f t="shared" si="61"/>
        <v>6.4300000000000006</v>
      </c>
      <c r="S675" s="2">
        <v>3</v>
      </c>
      <c r="T675" s="3">
        <f t="shared" si="62"/>
        <v>32.67</v>
      </c>
      <c r="U675" s="4">
        <v>0.08</v>
      </c>
      <c r="V675" s="6">
        <f t="shared" si="63"/>
        <v>2.6136000000000004</v>
      </c>
      <c r="W675" s="6">
        <f t="shared" si="64"/>
        <v>30.0564</v>
      </c>
      <c r="X675" s="3">
        <v>4.5</v>
      </c>
      <c r="Y675" s="5">
        <f t="shared" si="65"/>
        <v>34.556399999999996</v>
      </c>
    </row>
    <row r="676" spans="1:25" x14ac:dyDescent="0.2">
      <c r="A676" t="s">
        <v>1552</v>
      </c>
      <c r="B676" s="1">
        <v>42251</v>
      </c>
      <c r="C676" s="2" t="str">
        <f t="shared" si="60"/>
        <v>2015</v>
      </c>
      <c r="D676" s="2" t="s">
        <v>548</v>
      </c>
      <c r="E676" s="2" t="s">
        <v>69</v>
      </c>
      <c r="F676" s="2" t="s">
        <v>19</v>
      </c>
      <c r="G676" s="2" t="s">
        <v>20</v>
      </c>
      <c r="H676" s="2" t="s">
        <v>29</v>
      </c>
      <c r="I676" s="2" t="s">
        <v>22</v>
      </c>
      <c r="J676" s="2" t="s">
        <v>30</v>
      </c>
      <c r="K676" s="2" t="s">
        <v>61</v>
      </c>
      <c r="L676" s="2" t="s">
        <v>25</v>
      </c>
      <c r="M676" s="2" t="s">
        <v>62</v>
      </c>
      <c r="N676" s="2" t="s">
        <v>63</v>
      </c>
      <c r="O676" s="1">
        <v>42253</v>
      </c>
      <c r="P676" s="3">
        <v>75</v>
      </c>
      <c r="Q676" s="3">
        <v>120.97</v>
      </c>
      <c r="R676" s="3">
        <f t="shared" si="61"/>
        <v>45.97</v>
      </c>
      <c r="S676" s="2">
        <v>46</v>
      </c>
      <c r="T676" s="3">
        <f t="shared" si="62"/>
        <v>5564.62</v>
      </c>
      <c r="U676" s="4">
        <v>7.0000000000000007E-2</v>
      </c>
      <c r="V676" s="6">
        <f t="shared" si="63"/>
        <v>389.52340000000004</v>
      </c>
      <c r="W676" s="6">
        <f t="shared" si="64"/>
        <v>5175.0965999999999</v>
      </c>
      <c r="X676" s="3">
        <v>26.3</v>
      </c>
      <c r="Y676" s="5">
        <f t="shared" si="65"/>
        <v>5201.3966</v>
      </c>
    </row>
    <row r="677" spans="1:25" x14ac:dyDescent="0.2">
      <c r="A677" t="s">
        <v>1553</v>
      </c>
      <c r="B677" s="1">
        <v>42253</v>
      </c>
      <c r="C677" s="2" t="str">
        <f t="shared" si="60"/>
        <v>2015</v>
      </c>
      <c r="D677" s="2" t="s">
        <v>406</v>
      </c>
      <c r="E677" s="2" t="s">
        <v>1903</v>
      </c>
      <c r="F677" s="2" t="s">
        <v>1881</v>
      </c>
      <c r="G677" s="2" t="s">
        <v>1882</v>
      </c>
      <c r="H677" s="2" t="s">
        <v>50</v>
      </c>
      <c r="I677" s="2" t="s">
        <v>43</v>
      </c>
      <c r="J677" s="2" t="s">
        <v>66</v>
      </c>
      <c r="K677" s="2" t="s">
        <v>111</v>
      </c>
      <c r="L677" s="2" t="s">
        <v>25</v>
      </c>
      <c r="M677" s="2" t="s">
        <v>26</v>
      </c>
      <c r="N677" s="2" t="s">
        <v>27</v>
      </c>
      <c r="O677" s="1">
        <v>42254</v>
      </c>
      <c r="P677" s="3">
        <v>60.59</v>
      </c>
      <c r="Q677" s="3">
        <v>100.98</v>
      </c>
      <c r="R677" s="3">
        <f t="shared" si="61"/>
        <v>40.39</v>
      </c>
      <c r="S677" s="2">
        <v>44</v>
      </c>
      <c r="T677" s="3">
        <f t="shared" si="62"/>
        <v>4443.12</v>
      </c>
      <c r="U677" s="4">
        <v>0.09</v>
      </c>
      <c r="V677" s="6">
        <f t="shared" si="63"/>
        <v>399.88079999999997</v>
      </c>
      <c r="W677" s="6">
        <f t="shared" si="64"/>
        <v>4043.2392</v>
      </c>
      <c r="X677" s="3">
        <v>7.18</v>
      </c>
      <c r="Y677" s="5">
        <f t="shared" si="65"/>
        <v>4050.4191999999998</v>
      </c>
    </row>
    <row r="678" spans="1:25" x14ac:dyDescent="0.2">
      <c r="A678" t="s">
        <v>1554</v>
      </c>
      <c r="B678" s="1">
        <v>42254</v>
      </c>
      <c r="C678" s="2" t="str">
        <f t="shared" si="60"/>
        <v>2015</v>
      </c>
      <c r="D678" s="2" t="s">
        <v>273</v>
      </c>
      <c r="E678" s="2" t="s">
        <v>231</v>
      </c>
      <c r="F678" s="2" t="s">
        <v>36</v>
      </c>
      <c r="G678" s="2" t="s">
        <v>37</v>
      </c>
      <c r="H678" s="2" t="s">
        <v>42</v>
      </c>
      <c r="I678" s="2" t="s">
        <v>79</v>
      </c>
      <c r="J678" s="2" t="s">
        <v>44</v>
      </c>
      <c r="K678" s="2" t="s">
        <v>295</v>
      </c>
      <c r="L678" s="2" t="s">
        <v>32</v>
      </c>
      <c r="M678" s="2" t="s">
        <v>58</v>
      </c>
      <c r="N678" s="2" t="s">
        <v>27</v>
      </c>
      <c r="O678" s="1">
        <v>42256</v>
      </c>
      <c r="P678" s="3">
        <v>4.79</v>
      </c>
      <c r="Q678" s="3">
        <v>11.97</v>
      </c>
      <c r="R678" s="3">
        <f t="shared" si="61"/>
        <v>7.1800000000000006</v>
      </c>
      <c r="S678" s="2">
        <v>48</v>
      </c>
      <c r="T678" s="3">
        <f t="shared" si="62"/>
        <v>574.56000000000006</v>
      </c>
      <c r="U678" s="4">
        <v>0.02</v>
      </c>
      <c r="V678" s="6">
        <f t="shared" si="63"/>
        <v>11.491200000000001</v>
      </c>
      <c r="W678" s="6">
        <f t="shared" si="64"/>
        <v>563.06880000000001</v>
      </c>
      <c r="X678" s="3">
        <v>5.81</v>
      </c>
      <c r="Y678" s="5">
        <f t="shared" si="65"/>
        <v>568.87879999999996</v>
      </c>
    </row>
    <row r="679" spans="1:25" x14ac:dyDescent="0.2">
      <c r="A679" t="s">
        <v>1555</v>
      </c>
      <c r="B679" s="1">
        <v>42255</v>
      </c>
      <c r="C679" s="2" t="str">
        <f t="shared" si="60"/>
        <v>2015</v>
      </c>
      <c r="D679" s="2" t="s">
        <v>343</v>
      </c>
      <c r="E679" s="2" t="s">
        <v>1918</v>
      </c>
      <c r="F679" s="2" t="s">
        <v>36</v>
      </c>
      <c r="G679" s="2" t="s">
        <v>37</v>
      </c>
      <c r="H679" s="2" t="s">
        <v>50</v>
      </c>
      <c r="I679" s="2" t="s">
        <v>75</v>
      </c>
      <c r="J679" s="2" t="s">
        <v>44</v>
      </c>
      <c r="K679" s="2" t="s">
        <v>316</v>
      </c>
      <c r="L679" s="2" t="s">
        <v>32</v>
      </c>
      <c r="M679" s="2" t="s">
        <v>33</v>
      </c>
      <c r="N679" s="2" t="s">
        <v>27</v>
      </c>
      <c r="O679" s="1">
        <v>42257</v>
      </c>
      <c r="P679" s="3">
        <v>3.32</v>
      </c>
      <c r="Q679" s="3">
        <v>5.18</v>
      </c>
      <c r="R679" s="3">
        <f t="shared" si="61"/>
        <v>1.8599999999999999</v>
      </c>
      <c r="S679" s="2">
        <v>20</v>
      </c>
      <c r="T679" s="3">
        <f t="shared" si="62"/>
        <v>103.6</v>
      </c>
      <c r="U679" s="4">
        <v>0.06</v>
      </c>
      <c r="V679" s="6">
        <f t="shared" si="63"/>
        <v>6.2159999999999993</v>
      </c>
      <c r="W679" s="6">
        <f t="shared" si="64"/>
        <v>97.384</v>
      </c>
      <c r="X679" s="3">
        <v>2.04</v>
      </c>
      <c r="Y679" s="5">
        <f t="shared" si="65"/>
        <v>99.424000000000007</v>
      </c>
    </row>
    <row r="680" spans="1:25" x14ac:dyDescent="0.2">
      <c r="A680" t="s">
        <v>1556</v>
      </c>
      <c r="B680" s="1">
        <v>42255</v>
      </c>
      <c r="C680" s="2" t="str">
        <f t="shared" si="60"/>
        <v>2015</v>
      </c>
      <c r="D680" s="2" t="s">
        <v>284</v>
      </c>
      <c r="E680" s="2" t="s">
        <v>18</v>
      </c>
      <c r="F680" s="2" t="s">
        <v>19</v>
      </c>
      <c r="G680" s="2" t="s">
        <v>20</v>
      </c>
      <c r="H680" s="2" t="s">
        <v>42</v>
      </c>
      <c r="I680" s="2" t="s">
        <v>22</v>
      </c>
      <c r="J680" s="2" t="s">
        <v>44</v>
      </c>
      <c r="K680" s="2" t="s">
        <v>155</v>
      </c>
      <c r="L680" s="2" t="s">
        <v>32</v>
      </c>
      <c r="M680" s="2" t="s">
        <v>33</v>
      </c>
      <c r="N680" s="2" t="s">
        <v>27</v>
      </c>
      <c r="O680" s="1">
        <v>42257</v>
      </c>
      <c r="P680" s="3">
        <v>0.24</v>
      </c>
      <c r="Q680" s="3">
        <v>1.26</v>
      </c>
      <c r="R680" s="3">
        <f t="shared" si="61"/>
        <v>1.02</v>
      </c>
      <c r="S680" s="2">
        <v>31</v>
      </c>
      <c r="T680" s="3">
        <f t="shared" si="62"/>
        <v>39.06</v>
      </c>
      <c r="U680" s="4">
        <v>0.06</v>
      </c>
      <c r="V680" s="6">
        <f t="shared" si="63"/>
        <v>2.3435999999999999</v>
      </c>
      <c r="W680" s="6">
        <f t="shared" si="64"/>
        <v>36.7164</v>
      </c>
      <c r="X680" s="3">
        <v>0.7</v>
      </c>
      <c r="Y680" s="5">
        <f t="shared" si="65"/>
        <v>37.416400000000003</v>
      </c>
    </row>
    <row r="681" spans="1:25" x14ac:dyDescent="0.2">
      <c r="A681" t="s">
        <v>1557</v>
      </c>
      <c r="B681" s="1">
        <v>42257</v>
      </c>
      <c r="C681" s="2" t="str">
        <f t="shared" si="60"/>
        <v>2015</v>
      </c>
      <c r="D681" s="2" t="s">
        <v>81</v>
      </c>
      <c r="E681" s="2" t="s">
        <v>82</v>
      </c>
      <c r="F681" s="2" t="s">
        <v>36</v>
      </c>
      <c r="G681" s="2" t="s">
        <v>37</v>
      </c>
      <c r="H681" s="2" t="s">
        <v>50</v>
      </c>
      <c r="I681" s="2" t="s">
        <v>83</v>
      </c>
      <c r="J681" s="2" t="s">
        <v>66</v>
      </c>
      <c r="K681" s="2" t="s">
        <v>332</v>
      </c>
      <c r="L681" s="2" t="s">
        <v>32</v>
      </c>
      <c r="M681" s="2" t="s">
        <v>26</v>
      </c>
      <c r="N681" s="2" t="s">
        <v>89</v>
      </c>
      <c r="O681" s="1">
        <v>42258</v>
      </c>
      <c r="P681" s="3">
        <v>2.25</v>
      </c>
      <c r="Q681" s="3">
        <v>3.69</v>
      </c>
      <c r="R681" s="3">
        <f t="shared" si="61"/>
        <v>1.44</v>
      </c>
      <c r="S681" s="2">
        <v>23</v>
      </c>
      <c r="T681" s="3">
        <f t="shared" si="62"/>
        <v>84.87</v>
      </c>
      <c r="U681" s="4">
        <v>0.02</v>
      </c>
      <c r="V681" s="6">
        <f t="shared" si="63"/>
        <v>1.6974</v>
      </c>
      <c r="W681" s="6">
        <f t="shared" si="64"/>
        <v>83.172600000000003</v>
      </c>
      <c r="X681" s="3">
        <v>2.5</v>
      </c>
      <c r="Y681" s="5">
        <f t="shared" si="65"/>
        <v>85.672600000000003</v>
      </c>
    </row>
    <row r="682" spans="1:25" x14ac:dyDescent="0.2">
      <c r="A682" t="s">
        <v>1558</v>
      </c>
      <c r="B682" s="1">
        <v>42258</v>
      </c>
      <c r="C682" s="2" t="str">
        <f t="shared" si="60"/>
        <v>2015</v>
      </c>
      <c r="D682" s="2" t="s">
        <v>214</v>
      </c>
      <c r="E682" s="2" t="s">
        <v>105</v>
      </c>
      <c r="F682" s="2" t="s">
        <v>36</v>
      </c>
      <c r="G682" s="2" t="s">
        <v>37</v>
      </c>
      <c r="H682" s="2" t="s">
        <v>29</v>
      </c>
      <c r="I682" s="2" t="s">
        <v>56</v>
      </c>
      <c r="J682" s="2" t="s">
        <v>52</v>
      </c>
      <c r="K682" s="2" t="s">
        <v>306</v>
      </c>
      <c r="L682" s="2" t="s">
        <v>32</v>
      </c>
      <c r="M682" s="2" t="s">
        <v>33</v>
      </c>
      <c r="N682" s="2" t="s">
        <v>89</v>
      </c>
      <c r="O682" s="1">
        <v>42258</v>
      </c>
      <c r="P682" s="3">
        <v>1.76</v>
      </c>
      <c r="Q682" s="3">
        <v>2.94</v>
      </c>
      <c r="R682" s="3">
        <f t="shared" si="61"/>
        <v>1.18</v>
      </c>
      <c r="S682" s="2">
        <v>47</v>
      </c>
      <c r="T682" s="3">
        <f t="shared" si="62"/>
        <v>138.18</v>
      </c>
      <c r="U682" s="4">
        <v>0.04</v>
      </c>
      <c r="V682" s="6">
        <f t="shared" si="63"/>
        <v>5.5272000000000006</v>
      </c>
      <c r="W682" s="6">
        <f t="shared" si="64"/>
        <v>132.65280000000001</v>
      </c>
      <c r="X682" s="3">
        <v>0.81</v>
      </c>
      <c r="Y682" s="5">
        <f t="shared" si="65"/>
        <v>133.46280000000002</v>
      </c>
    </row>
    <row r="683" spans="1:25" x14ac:dyDescent="0.2">
      <c r="A683" t="s">
        <v>1559</v>
      </c>
      <c r="B683" s="1">
        <v>42259</v>
      </c>
      <c r="C683" s="2" t="str">
        <f t="shared" si="60"/>
        <v>2015</v>
      </c>
      <c r="D683" s="2" t="s">
        <v>546</v>
      </c>
      <c r="E683" s="2" t="s">
        <v>1933</v>
      </c>
      <c r="F683" s="2" t="s">
        <v>19</v>
      </c>
      <c r="G683" s="2" t="s">
        <v>20</v>
      </c>
      <c r="H683" s="2" t="s">
        <v>42</v>
      </c>
      <c r="I683" s="2" t="s">
        <v>22</v>
      </c>
      <c r="J683" s="2" t="s">
        <v>52</v>
      </c>
      <c r="K683" s="2" t="s">
        <v>192</v>
      </c>
      <c r="L683" s="2" t="s">
        <v>32</v>
      </c>
      <c r="M683" s="2" t="s">
        <v>33</v>
      </c>
      <c r="N683" s="2" t="s">
        <v>27</v>
      </c>
      <c r="O683" s="1">
        <v>42260</v>
      </c>
      <c r="P683" s="3">
        <v>0.87</v>
      </c>
      <c r="Q683" s="3">
        <v>1.81</v>
      </c>
      <c r="R683" s="3">
        <f t="shared" si="61"/>
        <v>0.94000000000000006</v>
      </c>
      <c r="S683" s="2">
        <v>6</v>
      </c>
      <c r="T683" s="3">
        <f t="shared" si="62"/>
        <v>10.86</v>
      </c>
      <c r="U683" s="4">
        <v>7.0000000000000007E-2</v>
      </c>
      <c r="V683" s="6">
        <f t="shared" si="63"/>
        <v>0.76019999999999999</v>
      </c>
      <c r="W683" s="6">
        <f t="shared" si="64"/>
        <v>10.0998</v>
      </c>
      <c r="X683" s="3">
        <v>0.75</v>
      </c>
      <c r="Y683" s="5">
        <f t="shared" si="65"/>
        <v>10.8498</v>
      </c>
    </row>
    <row r="684" spans="1:25" x14ac:dyDescent="0.2">
      <c r="A684" t="s">
        <v>1560</v>
      </c>
      <c r="B684" s="1">
        <v>42262</v>
      </c>
      <c r="C684" s="2" t="str">
        <f t="shared" si="60"/>
        <v>2015</v>
      </c>
      <c r="D684" s="2" t="s">
        <v>545</v>
      </c>
      <c r="E684" s="2" t="s">
        <v>65</v>
      </c>
      <c r="F684" s="2" t="s">
        <v>36</v>
      </c>
      <c r="G684" s="2" t="s">
        <v>37</v>
      </c>
      <c r="H684" s="2" t="s">
        <v>50</v>
      </c>
      <c r="I684" s="2" t="s">
        <v>43</v>
      </c>
      <c r="J684" s="2" t="s">
        <v>66</v>
      </c>
      <c r="K684" s="2" t="s">
        <v>31</v>
      </c>
      <c r="L684" s="2" t="s">
        <v>32</v>
      </c>
      <c r="M684" s="2" t="s">
        <v>33</v>
      </c>
      <c r="N684" s="2" t="s">
        <v>27</v>
      </c>
      <c r="O684" s="1">
        <v>42264</v>
      </c>
      <c r="P684" s="3">
        <v>0.93</v>
      </c>
      <c r="Q684" s="3">
        <v>1.48</v>
      </c>
      <c r="R684" s="3">
        <f t="shared" si="61"/>
        <v>0.54999999999999993</v>
      </c>
      <c r="S684" s="2">
        <v>1</v>
      </c>
      <c r="T684" s="3">
        <f t="shared" si="62"/>
        <v>1.48</v>
      </c>
      <c r="U684" s="4">
        <v>0.01</v>
      </c>
      <c r="V684" s="6">
        <f t="shared" si="63"/>
        <v>1.4800000000000001E-2</v>
      </c>
      <c r="W684" s="6">
        <f t="shared" si="64"/>
        <v>1.4652000000000001</v>
      </c>
      <c r="X684" s="3">
        <v>0.7</v>
      </c>
      <c r="Y684" s="5">
        <f t="shared" si="65"/>
        <v>2.1652</v>
      </c>
    </row>
    <row r="685" spans="1:25" x14ac:dyDescent="0.2">
      <c r="A685" t="s">
        <v>1561</v>
      </c>
      <c r="B685" s="1">
        <v>42263</v>
      </c>
      <c r="C685" s="2" t="str">
        <f t="shared" si="60"/>
        <v>2015</v>
      </c>
      <c r="D685" s="2" t="s">
        <v>543</v>
      </c>
      <c r="E685" s="2" t="s">
        <v>115</v>
      </c>
      <c r="F685" s="2" t="s">
        <v>36</v>
      </c>
      <c r="G685" s="2" t="s">
        <v>37</v>
      </c>
      <c r="H685" s="2" t="s">
        <v>50</v>
      </c>
      <c r="I685" s="2" t="s">
        <v>51</v>
      </c>
      <c r="J685" s="2" t="s">
        <v>23</v>
      </c>
      <c r="K685" s="2" t="s">
        <v>544</v>
      </c>
      <c r="L685" s="2" t="s">
        <v>32</v>
      </c>
      <c r="M685" s="2" t="s">
        <v>58</v>
      </c>
      <c r="N685" s="2" t="s">
        <v>89</v>
      </c>
      <c r="O685" s="1">
        <v>42268</v>
      </c>
      <c r="P685" s="3">
        <v>3.51</v>
      </c>
      <c r="Q685" s="3">
        <v>8.57</v>
      </c>
      <c r="R685" s="3">
        <f t="shared" si="61"/>
        <v>5.0600000000000005</v>
      </c>
      <c r="S685" s="2">
        <v>49</v>
      </c>
      <c r="T685" s="3">
        <f t="shared" si="62"/>
        <v>419.93</v>
      </c>
      <c r="U685" s="4">
        <v>0.01</v>
      </c>
      <c r="V685" s="6">
        <f t="shared" si="63"/>
        <v>4.1993</v>
      </c>
      <c r="W685" s="6">
        <f t="shared" si="64"/>
        <v>415.73070000000001</v>
      </c>
      <c r="X685" s="3">
        <v>6.14</v>
      </c>
      <c r="Y685" s="5">
        <f t="shared" si="65"/>
        <v>421.8707</v>
      </c>
    </row>
    <row r="686" spans="1:25" x14ac:dyDescent="0.2">
      <c r="A686" t="s">
        <v>1562</v>
      </c>
      <c r="B686" s="1">
        <v>42264</v>
      </c>
      <c r="C686" s="2" t="str">
        <f t="shared" si="60"/>
        <v>2015</v>
      </c>
      <c r="D686" s="2" t="s">
        <v>273</v>
      </c>
      <c r="E686" s="2" t="s">
        <v>231</v>
      </c>
      <c r="F686" s="2" t="s">
        <v>36</v>
      </c>
      <c r="G686" s="2" t="s">
        <v>37</v>
      </c>
      <c r="H686" s="2" t="s">
        <v>42</v>
      </c>
      <c r="I686" s="2" t="s">
        <v>79</v>
      </c>
      <c r="J686" s="2" t="s">
        <v>52</v>
      </c>
      <c r="K686" s="2" t="s">
        <v>162</v>
      </c>
      <c r="L686" s="2" t="s">
        <v>32</v>
      </c>
      <c r="M686" s="2" t="s">
        <v>33</v>
      </c>
      <c r="N686" s="2" t="s">
        <v>27</v>
      </c>
      <c r="O686" s="1">
        <v>42264</v>
      </c>
      <c r="P686" s="3">
        <v>1.82</v>
      </c>
      <c r="Q686" s="3">
        <v>2.98</v>
      </c>
      <c r="R686" s="3">
        <f t="shared" si="61"/>
        <v>1.1599999999999999</v>
      </c>
      <c r="S686" s="2">
        <v>3</v>
      </c>
      <c r="T686" s="3">
        <f t="shared" si="62"/>
        <v>8.94</v>
      </c>
      <c r="U686" s="4">
        <v>0.04</v>
      </c>
      <c r="V686" s="6">
        <f t="shared" si="63"/>
        <v>0.35759999999999997</v>
      </c>
      <c r="W686" s="6">
        <f t="shared" si="64"/>
        <v>8.5823999999999998</v>
      </c>
      <c r="X686" s="3">
        <v>1.58</v>
      </c>
      <c r="Y686" s="5">
        <f t="shared" si="65"/>
        <v>10.1624</v>
      </c>
    </row>
    <row r="687" spans="1:25" x14ac:dyDescent="0.2">
      <c r="A687" t="s">
        <v>1563</v>
      </c>
      <c r="B687" s="1">
        <v>42272</v>
      </c>
      <c r="C687" s="2" t="str">
        <f t="shared" si="60"/>
        <v>2015</v>
      </c>
      <c r="D687" s="2" t="s">
        <v>542</v>
      </c>
      <c r="E687" s="2" t="s">
        <v>246</v>
      </c>
      <c r="F687" s="2" t="s">
        <v>19</v>
      </c>
      <c r="G687" s="2" t="s">
        <v>20</v>
      </c>
      <c r="H687" s="2" t="s">
        <v>21</v>
      </c>
      <c r="I687" s="2" t="s">
        <v>22</v>
      </c>
      <c r="J687" s="2" t="s">
        <v>52</v>
      </c>
      <c r="K687" s="2" t="s">
        <v>39</v>
      </c>
      <c r="L687" s="2" t="s">
        <v>32</v>
      </c>
      <c r="M687" s="2" t="s">
        <v>26</v>
      </c>
      <c r="N687" s="2" t="s">
        <v>27</v>
      </c>
      <c r="O687" s="1">
        <v>42273</v>
      </c>
      <c r="P687" s="3">
        <v>13.64</v>
      </c>
      <c r="Q687" s="3">
        <v>20.98</v>
      </c>
      <c r="R687" s="3">
        <f t="shared" si="61"/>
        <v>7.34</v>
      </c>
      <c r="S687" s="2">
        <v>10</v>
      </c>
      <c r="T687" s="3">
        <f t="shared" si="62"/>
        <v>209.8</v>
      </c>
      <c r="U687" s="4">
        <v>0.06</v>
      </c>
      <c r="V687" s="6">
        <f t="shared" si="63"/>
        <v>12.588000000000001</v>
      </c>
      <c r="W687" s="6">
        <f t="shared" si="64"/>
        <v>197.21200000000002</v>
      </c>
      <c r="X687" s="3">
        <v>1.49</v>
      </c>
      <c r="Y687" s="5">
        <f t="shared" si="65"/>
        <v>198.70200000000003</v>
      </c>
    </row>
    <row r="688" spans="1:25" x14ac:dyDescent="0.2">
      <c r="A688" t="s">
        <v>1564</v>
      </c>
      <c r="B688" s="1">
        <v>42272</v>
      </c>
      <c r="C688" s="2" t="str">
        <f t="shared" si="60"/>
        <v>2015</v>
      </c>
      <c r="D688" s="2" t="s">
        <v>240</v>
      </c>
      <c r="E688" s="2" t="s">
        <v>202</v>
      </c>
      <c r="F688" s="2" t="s">
        <v>19</v>
      </c>
      <c r="G688" s="2" t="s">
        <v>20</v>
      </c>
      <c r="H688" s="2" t="s">
        <v>50</v>
      </c>
      <c r="I688" s="2" t="s">
        <v>22</v>
      </c>
      <c r="J688" s="2" t="s">
        <v>66</v>
      </c>
      <c r="K688" s="2" t="s">
        <v>405</v>
      </c>
      <c r="L688" s="2" t="s">
        <v>32</v>
      </c>
      <c r="M688" s="2" t="s">
        <v>26</v>
      </c>
      <c r="N688" s="2" t="s">
        <v>27</v>
      </c>
      <c r="O688" s="1">
        <v>42274</v>
      </c>
      <c r="P688" s="3">
        <v>2.1800000000000002</v>
      </c>
      <c r="Q688" s="3">
        <v>3.52</v>
      </c>
      <c r="R688" s="3">
        <f t="shared" si="61"/>
        <v>1.3399999999999999</v>
      </c>
      <c r="S688" s="2">
        <v>13</v>
      </c>
      <c r="T688" s="3">
        <f t="shared" si="62"/>
        <v>45.76</v>
      </c>
      <c r="U688" s="4">
        <v>0.08</v>
      </c>
      <c r="V688" s="6">
        <f t="shared" si="63"/>
        <v>3.6608000000000001</v>
      </c>
      <c r="W688" s="6">
        <f t="shared" si="64"/>
        <v>42.099199999999996</v>
      </c>
      <c r="X688" s="3">
        <v>6.83</v>
      </c>
      <c r="Y688" s="5">
        <f t="shared" si="65"/>
        <v>48.929199999999994</v>
      </c>
    </row>
    <row r="689" spans="1:25" x14ac:dyDescent="0.2">
      <c r="A689" t="s">
        <v>1565</v>
      </c>
      <c r="B689" s="1">
        <v>42273</v>
      </c>
      <c r="C689" s="2" t="str">
        <f t="shared" si="60"/>
        <v>2015</v>
      </c>
      <c r="D689" s="2" t="s">
        <v>541</v>
      </c>
      <c r="E689" s="2" t="s">
        <v>49</v>
      </c>
      <c r="F689" s="2" t="s">
        <v>36</v>
      </c>
      <c r="G689" s="2" t="s">
        <v>37</v>
      </c>
      <c r="H689" s="2" t="s">
        <v>50</v>
      </c>
      <c r="I689" s="2" t="s">
        <v>51</v>
      </c>
      <c r="J689" s="2" t="s">
        <v>44</v>
      </c>
      <c r="K689" s="2" t="s">
        <v>189</v>
      </c>
      <c r="L689" s="2" t="s">
        <v>32</v>
      </c>
      <c r="M689" s="2" t="s">
        <v>26</v>
      </c>
      <c r="N689" s="2" t="s">
        <v>27</v>
      </c>
      <c r="O689" s="1">
        <v>42275</v>
      </c>
      <c r="P689" s="3">
        <v>3.4</v>
      </c>
      <c r="Q689" s="3">
        <v>5.4</v>
      </c>
      <c r="R689" s="3">
        <f t="shared" si="61"/>
        <v>2.0000000000000004</v>
      </c>
      <c r="S689" s="2">
        <v>10</v>
      </c>
      <c r="T689" s="3">
        <f t="shared" si="62"/>
        <v>54</v>
      </c>
      <c r="U689" s="4">
        <v>0.04</v>
      </c>
      <c r="V689" s="6">
        <f t="shared" si="63"/>
        <v>2.16</v>
      </c>
      <c r="W689" s="6">
        <f t="shared" si="64"/>
        <v>51.84</v>
      </c>
      <c r="X689" s="3">
        <v>7.78</v>
      </c>
      <c r="Y689" s="5">
        <f t="shared" si="65"/>
        <v>59.620000000000005</v>
      </c>
    </row>
    <row r="690" spans="1:25" x14ac:dyDescent="0.2">
      <c r="A690" t="s">
        <v>1566</v>
      </c>
      <c r="B690" s="1">
        <v>42274</v>
      </c>
      <c r="C690" s="2" t="str">
        <f t="shared" si="60"/>
        <v>2015</v>
      </c>
      <c r="D690" s="2" t="s">
        <v>538</v>
      </c>
      <c r="E690" s="2" t="s">
        <v>1919</v>
      </c>
      <c r="F690" s="2" t="s">
        <v>36</v>
      </c>
      <c r="G690" s="2" t="s">
        <v>37</v>
      </c>
      <c r="H690" s="2" t="s">
        <v>42</v>
      </c>
      <c r="I690" s="2" t="s">
        <v>51</v>
      </c>
      <c r="J690" s="2" t="s">
        <v>52</v>
      </c>
      <c r="K690" s="2" t="s">
        <v>449</v>
      </c>
      <c r="L690" s="2" t="s">
        <v>32</v>
      </c>
      <c r="M690" s="2" t="s">
        <v>26</v>
      </c>
      <c r="N690" s="2" t="s">
        <v>27</v>
      </c>
      <c r="O690" s="1">
        <v>42276</v>
      </c>
      <c r="P690" s="3">
        <v>12.39</v>
      </c>
      <c r="Q690" s="3">
        <v>19.98</v>
      </c>
      <c r="R690" s="3">
        <f t="shared" si="61"/>
        <v>7.59</v>
      </c>
      <c r="S690" s="2">
        <v>20</v>
      </c>
      <c r="T690" s="3">
        <f t="shared" si="62"/>
        <v>399.6</v>
      </c>
      <c r="U690" s="4">
        <v>0.05</v>
      </c>
      <c r="V690" s="6">
        <f t="shared" si="63"/>
        <v>19.980000000000004</v>
      </c>
      <c r="W690" s="6">
        <f t="shared" si="64"/>
        <v>379.62</v>
      </c>
      <c r="X690" s="3">
        <v>5.77</v>
      </c>
      <c r="Y690" s="5">
        <f t="shared" si="65"/>
        <v>385.39</v>
      </c>
    </row>
    <row r="691" spans="1:25" x14ac:dyDescent="0.2">
      <c r="A691" t="s">
        <v>1567</v>
      </c>
      <c r="B691" s="1">
        <v>42274</v>
      </c>
      <c r="C691" s="2" t="str">
        <f t="shared" si="60"/>
        <v>2015</v>
      </c>
      <c r="D691" s="2" t="s">
        <v>539</v>
      </c>
      <c r="E691" s="2" t="s">
        <v>540</v>
      </c>
      <c r="F691" s="2" t="s">
        <v>19</v>
      </c>
      <c r="G691" s="2" t="s">
        <v>20</v>
      </c>
      <c r="H691" s="2" t="s">
        <v>50</v>
      </c>
      <c r="I691" s="2" t="s">
        <v>92</v>
      </c>
      <c r="J691" s="2" t="s">
        <v>23</v>
      </c>
      <c r="K691" s="2" t="s">
        <v>449</v>
      </c>
      <c r="L691" s="2" t="s">
        <v>32</v>
      </c>
      <c r="M691" s="2" t="s">
        <v>26</v>
      </c>
      <c r="N691" s="2" t="s">
        <v>27</v>
      </c>
      <c r="O691" s="1">
        <v>42274</v>
      </c>
      <c r="P691" s="3">
        <v>12.39</v>
      </c>
      <c r="Q691" s="3">
        <v>19.98</v>
      </c>
      <c r="R691" s="3">
        <f t="shared" si="61"/>
        <v>7.59</v>
      </c>
      <c r="S691" s="2">
        <v>34</v>
      </c>
      <c r="T691" s="3">
        <f t="shared" si="62"/>
        <v>679.32</v>
      </c>
      <c r="U691" s="4">
        <v>0.06</v>
      </c>
      <c r="V691" s="6">
        <f t="shared" si="63"/>
        <v>40.7592</v>
      </c>
      <c r="W691" s="6">
        <f t="shared" si="64"/>
        <v>638.56080000000009</v>
      </c>
      <c r="X691" s="3">
        <v>5.77</v>
      </c>
      <c r="Y691" s="5">
        <f t="shared" si="65"/>
        <v>644.33080000000007</v>
      </c>
    </row>
    <row r="692" spans="1:25" x14ac:dyDescent="0.2">
      <c r="A692" t="s">
        <v>1568</v>
      </c>
      <c r="B692" s="1">
        <v>42275</v>
      </c>
      <c r="C692" s="2" t="str">
        <f t="shared" si="60"/>
        <v>2015</v>
      </c>
      <c r="D692" s="2" t="s">
        <v>486</v>
      </c>
      <c r="E692" s="2" t="s">
        <v>138</v>
      </c>
      <c r="F692" s="2" t="s">
        <v>36</v>
      </c>
      <c r="G692" s="2" t="s">
        <v>37</v>
      </c>
      <c r="H692" s="2" t="s">
        <v>21</v>
      </c>
      <c r="I692" s="2" t="s">
        <v>51</v>
      </c>
      <c r="J692" s="2" t="s">
        <v>52</v>
      </c>
      <c r="K692" s="2" t="s">
        <v>53</v>
      </c>
      <c r="L692" s="2" t="s">
        <v>32</v>
      </c>
      <c r="M692" s="2" t="s">
        <v>33</v>
      </c>
      <c r="N692" s="2" t="s">
        <v>27</v>
      </c>
      <c r="O692" s="1">
        <v>42277</v>
      </c>
      <c r="P692" s="3">
        <v>3.75</v>
      </c>
      <c r="Q692" s="3">
        <v>7.08</v>
      </c>
      <c r="R692" s="3">
        <f t="shared" si="61"/>
        <v>3.33</v>
      </c>
      <c r="S692" s="2">
        <v>37</v>
      </c>
      <c r="T692" s="3">
        <f t="shared" si="62"/>
        <v>261.95999999999998</v>
      </c>
      <c r="U692" s="4">
        <v>0.08</v>
      </c>
      <c r="V692" s="6">
        <f t="shared" si="63"/>
        <v>20.956799999999998</v>
      </c>
      <c r="W692" s="6">
        <f t="shared" si="64"/>
        <v>241.00319999999999</v>
      </c>
      <c r="X692" s="3">
        <v>2.35</v>
      </c>
      <c r="Y692" s="5">
        <f t="shared" si="65"/>
        <v>243.35319999999999</v>
      </c>
    </row>
    <row r="693" spans="1:25" x14ac:dyDescent="0.2">
      <c r="A693" t="s">
        <v>1569</v>
      </c>
      <c r="B693" s="1">
        <v>42276</v>
      </c>
      <c r="C693" s="2" t="str">
        <f t="shared" si="60"/>
        <v>2015</v>
      </c>
      <c r="D693" s="2" t="s">
        <v>517</v>
      </c>
      <c r="E693" s="2" t="s">
        <v>246</v>
      </c>
      <c r="F693" s="2" t="s">
        <v>19</v>
      </c>
      <c r="G693" s="2" t="s">
        <v>20</v>
      </c>
      <c r="H693" s="2" t="s">
        <v>42</v>
      </c>
      <c r="I693" s="2" t="s">
        <v>22</v>
      </c>
      <c r="J693" s="2" t="s">
        <v>30</v>
      </c>
      <c r="K693" s="2" t="s">
        <v>72</v>
      </c>
      <c r="L693" s="2" t="s">
        <v>32</v>
      </c>
      <c r="M693" s="2" t="s">
        <v>26</v>
      </c>
      <c r="N693" s="2" t="s">
        <v>89</v>
      </c>
      <c r="O693" s="1">
        <v>42277</v>
      </c>
      <c r="P693" s="3">
        <v>3.5</v>
      </c>
      <c r="Q693" s="3">
        <v>5.74</v>
      </c>
      <c r="R693" s="3">
        <f t="shared" si="61"/>
        <v>2.2400000000000002</v>
      </c>
      <c r="S693" s="2">
        <v>26</v>
      </c>
      <c r="T693" s="3">
        <f t="shared" si="62"/>
        <v>149.24</v>
      </c>
      <c r="U693" s="4">
        <v>0.03</v>
      </c>
      <c r="V693" s="6">
        <f t="shared" si="63"/>
        <v>4.4771999999999998</v>
      </c>
      <c r="W693" s="6">
        <f t="shared" si="64"/>
        <v>144.7628</v>
      </c>
      <c r="X693" s="3">
        <v>5.01</v>
      </c>
      <c r="Y693" s="5">
        <f t="shared" si="65"/>
        <v>149.77279999999999</v>
      </c>
    </row>
    <row r="694" spans="1:25" x14ac:dyDescent="0.2">
      <c r="A694" t="s">
        <v>1570</v>
      </c>
      <c r="B694" s="1">
        <v>42278</v>
      </c>
      <c r="C694" s="2" t="str">
        <f t="shared" si="60"/>
        <v>2015</v>
      </c>
      <c r="D694" s="2" t="s">
        <v>537</v>
      </c>
      <c r="E694" s="2" t="s">
        <v>60</v>
      </c>
      <c r="F694" s="2" t="s">
        <v>36</v>
      </c>
      <c r="G694" s="2" t="s">
        <v>37</v>
      </c>
      <c r="H694" s="2" t="s">
        <v>50</v>
      </c>
      <c r="I694" s="2" t="s">
        <v>56</v>
      </c>
      <c r="J694" s="2" t="s">
        <v>23</v>
      </c>
      <c r="K694" s="2" t="s">
        <v>200</v>
      </c>
      <c r="L694" s="2" t="s">
        <v>32</v>
      </c>
      <c r="M694" s="2" t="s">
        <v>33</v>
      </c>
      <c r="N694" s="2" t="s">
        <v>27</v>
      </c>
      <c r="O694" s="1">
        <v>42287</v>
      </c>
      <c r="P694" s="3">
        <v>1.05</v>
      </c>
      <c r="Q694" s="3">
        <v>1.95</v>
      </c>
      <c r="R694" s="3">
        <f t="shared" si="61"/>
        <v>0.89999999999999991</v>
      </c>
      <c r="S694" s="2">
        <v>4</v>
      </c>
      <c r="T694" s="3">
        <f t="shared" si="62"/>
        <v>7.8</v>
      </c>
      <c r="U694" s="4">
        <v>0.09</v>
      </c>
      <c r="V694" s="6">
        <f t="shared" si="63"/>
        <v>0.70199999999999996</v>
      </c>
      <c r="W694" s="6">
        <f t="shared" si="64"/>
        <v>7.0979999999999999</v>
      </c>
      <c r="X694" s="3">
        <v>1.63</v>
      </c>
      <c r="Y694" s="5">
        <f t="shared" si="65"/>
        <v>8.7279999999999998</v>
      </c>
    </row>
    <row r="695" spans="1:25" x14ac:dyDescent="0.2">
      <c r="A695" t="s">
        <v>1571</v>
      </c>
      <c r="B695" s="1">
        <v>42286</v>
      </c>
      <c r="C695" s="2" t="str">
        <f t="shared" si="60"/>
        <v>2015</v>
      </c>
      <c r="D695" s="2" t="s">
        <v>535</v>
      </c>
      <c r="E695" s="2" t="s">
        <v>115</v>
      </c>
      <c r="F695" s="2" t="s">
        <v>36</v>
      </c>
      <c r="G695" s="2" t="s">
        <v>37</v>
      </c>
      <c r="H695" s="2" t="s">
        <v>29</v>
      </c>
      <c r="I695" s="2" t="s">
        <v>51</v>
      </c>
      <c r="J695" s="2" t="s">
        <v>44</v>
      </c>
      <c r="K695" s="2" t="s">
        <v>536</v>
      </c>
      <c r="L695" s="2" t="s">
        <v>25</v>
      </c>
      <c r="M695" s="2" t="s">
        <v>62</v>
      </c>
      <c r="N695" s="2" t="s">
        <v>63</v>
      </c>
      <c r="O695" s="1">
        <v>42288</v>
      </c>
      <c r="P695" s="3">
        <v>315.61</v>
      </c>
      <c r="Q695" s="3">
        <v>500.97</v>
      </c>
      <c r="R695" s="3">
        <f t="shared" si="61"/>
        <v>185.36</v>
      </c>
      <c r="S695" s="2">
        <v>25</v>
      </c>
      <c r="T695" s="3">
        <f t="shared" si="62"/>
        <v>12524.25</v>
      </c>
      <c r="U695" s="4">
        <v>0.02</v>
      </c>
      <c r="V695" s="6">
        <f t="shared" si="63"/>
        <v>250.48500000000001</v>
      </c>
      <c r="W695" s="6">
        <f t="shared" si="64"/>
        <v>12273.764999999999</v>
      </c>
      <c r="X695" s="3">
        <v>69.3</v>
      </c>
      <c r="Y695" s="5">
        <f t="shared" si="65"/>
        <v>12343.064999999999</v>
      </c>
    </row>
    <row r="696" spans="1:25" x14ac:dyDescent="0.2">
      <c r="A696" t="s">
        <v>1572</v>
      </c>
      <c r="B696" s="1">
        <v>42289</v>
      </c>
      <c r="C696" s="2" t="str">
        <f t="shared" si="60"/>
        <v>2015</v>
      </c>
      <c r="D696" s="2" t="s">
        <v>521</v>
      </c>
      <c r="E696" s="2" t="s">
        <v>1934</v>
      </c>
      <c r="F696" s="2" t="s">
        <v>36</v>
      </c>
      <c r="G696" s="2" t="s">
        <v>37</v>
      </c>
      <c r="H696" s="2" t="s">
        <v>50</v>
      </c>
      <c r="I696" s="2" t="s">
        <v>75</v>
      </c>
      <c r="J696" s="2" t="s">
        <v>44</v>
      </c>
      <c r="K696" s="2" t="s">
        <v>120</v>
      </c>
      <c r="L696" s="2" t="s">
        <v>32</v>
      </c>
      <c r="M696" s="2" t="s">
        <v>26</v>
      </c>
      <c r="N696" s="2" t="s">
        <v>27</v>
      </c>
      <c r="O696" s="1">
        <v>42291</v>
      </c>
      <c r="P696" s="3">
        <v>1.18</v>
      </c>
      <c r="Q696" s="3">
        <v>1.88</v>
      </c>
      <c r="R696" s="3">
        <f t="shared" si="61"/>
        <v>0.7</v>
      </c>
      <c r="S696" s="2">
        <v>29</v>
      </c>
      <c r="T696" s="3">
        <f t="shared" si="62"/>
        <v>54.519999999999996</v>
      </c>
      <c r="U696" s="4">
        <v>0.1</v>
      </c>
      <c r="V696" s="6">
        <f t="shared" si="63"/>
        <v>5.452</v>
      </c>
      <c r="W696" s="6">
        <f t="shared" si="64"/>
        <v>49.067999999999998</v>
      </c>
      <c r="X696" s="3">
        <v>1.49</v>
      </c>
      <c r="Y696" s="5">
        <f t="shared" si="65"/>
        <v>50.558</v>
      </c>
    </row>
    <row r="697" spans="1:25" x14ac:dyDescent="0.2">
      <c r="A697" t="s">
        <v>1573</v>
      </c>
      <c r="B697" s="1">
        <v>42290</v>
      </c>
      <c r="C697" s="2" t="str">
        <f t="shared" si="60"/>
        <v>2015</v>
      </c>
      <c r="D697" s="2" t="s">
        <v>533</v>
      </c>
      <c r="E697" s="2" t="s">
        <v>534</v>
      </c>
      <c r="F697" s="2" t="s">
        <v>36</v>
      </c>
      <c r="G697" s="2" t="s">
        <v>37</v>
      </c>
      <c r="H697" s="2" t="s">
        <v>42</v>
      </c>
      <c r="I697" s="2" t="s">
        <v>124</v>
      </c>
      <c r="J697" s="2" t="s">
        <v>23</v>
      </c>
      <c r="K697" s="2" t="s">
        <v>186</v>
      </c>
      <c r="L697" s="2" t="s">
        <v>25</v>
      </c>
      <c r="M697" s="2" t="s">
        <v>62</v>
      </c>
      <c r="N697" s="2" t="s">
        <v>63</v>
      </c>
      <c r="O697" s="1">
        <v>42292</v>
      </c>
      <c r="P697" s="3">
        <v>278.99</v>
      </c>
      <c r="Q697" s="3">
        <v>449.99</v>
      </c>
      <c r="R697" s="3">
        <f t="shared" si="61"/>
        <v>171</v>
      </c>
      <c r="S697" s="2">
        <v>47</v>
      </c>
      <c r="T697" s="3">
        <f t="shared" si="62"/>
        <v>21149.53</v>
      </c>
      <c r="U697" s="4">
        <v>0.02</v>
      </c>
      <c r="V697" s="6">
        <f t="shared" si="63"/>
        <v>422.99059999999997</v>
      </c>
      <c r="W697" s="6">
        <f t="shared" si="64"/>
        <v>20726.539399999998</v>
      </c>
      <c r="X697" s="3">
        <v>49</v>
      </c>
      <c r="Y697" s="5">
        <f t="shared" si="65"/>
        <v>20775.539399999998</v>
      </c>
    </row>
    <row r="698" spans="1:25" x14ac:dyDescent="0.2">
      <c r="A698" t="s">
        <v>1574</v>
      </c>
      <c r="B698" s="1">
        <v>42292</v>
      </c>
      <c r="C698" s="2" t="str">
        <f t="shared" si="60"/>
        <v>2015</v>
      </c>
      <c r="D698" s="2" t="s">
        <v>530</v>
      </c>
      <c r="E698" s="2" t="s">
        <v>1923</v>
      </c>
      <c r="F698" s="2" t="s">
        <v>19</v>
      </c>
      <c r="G698" s="2" t="s">
        <v>20</v>
      </c>
      <c r="H698" s="2" t="s">
        <v>42</v>
      </c>
      <c r="I698" s="2" t="s">
        <v>22</v>
      </c>
      <c r="J698" s="2" t="s">
        <v>66</v>
      </c>
      <c r="K698" s="2" t="s">
        <v>189</v>
      </c>
      <c r="L698" s="2" t="s">
        <v>32</v>
      </c>
      <c r="M698" s="2" t="s">
        <v>26</v>
      </c>
      <c r="N698" s="2" t="s">
        <v>27</v>
      </c>
      <c r="O698" s="1">
        <v>42293</v>
      </c>
      <c r="P698" s="3">
        <v>3.4</v>
      </c>
      <c r="Q698" s="3">
        <v>5.4</v>
      </c>
      <c r="R698" s="3">
        <f t="shared" si="61"/>
        <v>2.0000000000000004</v>
      </c>
      <c r="S698" s="2">
        <v>8</v>
      </c>
      <c r="T698" s="3">
        <f t="shared" si="62"/>
        <v>43.2</v>
      </c>
      <c r="U698" s="4">
        <v>0</v>
      </c>
      <c r="V698" s="6">
        <f t="shared" si="63"/>
        <v>0</v>
      </c>
      <c r="W698" s="6">
        <f t="shared" si="64"/>
        <v>43.2</v>
      </c>
      <c r="X698" s="3">
        <v>7.78</v>
      </c>
      <c r="Y698" s="5">
        <f t="shared" si="65"/>
        <v>50.980000000000004</v>
      </c>
    </row>
    <row r="699" spans="1:25" x14ac:dyDescent="0.2">
      <c r="A699" t="s">
        <v>1575</v>
      </c>
      <c r="B699" s="1">
        <v>42297</v>
      </c>
      <c r="C699" s="2" t="str">
        <f t="shared" si="60"/>
        <v>2015</v>
      </c>
      <c r="D699" s="2" t="s">
        <v>393</v>
      </c>
      <c r="E699" s="2" t="s">
        <v>105</v>
      </c>
      <c r="F699" s="2" t="s">
        <v>36</v>
      </c>
      <c r="G699" s="2" t="s">
        <v>37</v>
      </c>
      <c r="H699" s="2" t="s">
        <v>21</v>
      </c>
      <c r="I699" s="2" t="s">
        <v>56</v>
      </c>
      <c r="J699" s="2" t="s">
        <v>23</v>
      </c>
      <c r="K699" s="2" t="s">
        <v>475</v>
      </c>
      <c r="L699" s="2" t="s">
        <v>32</v>
      </c>
      <c r="M699" s="2" t="s">
        <v>26</v>
      </c>
      <c r="N699" s="2" t="s">
        <v>27</v>
      </c>
      <c r="O699" s="1">
        <v>42301</v>
      </c>
      <c r="P699" s="3">
        <v>1.19</v>
      </c>
      <c r="Q699" s="3">
        <v>1.98</v>
      </c>
      <c r="R699" s="3">
        <f t="shared" si="61"/>
        <v>0.79</v>
      </c>
      <c r="S699" s="2">
        <v>4</v>
      </c>
      <c r="T699" s="3">
        <f t="shared" si="62"/>
        <v>7.92</v>
      </c>
      <c r="U699" s="4">
        <v>0.08</v>
      </c>
      <c r="V699" s="6">
        <f t="shared" si="63"/>
        <v>0.63360000000000005</v>
      </c>
      <c r="W699" s="6">
        <f t="shared" si="64"/>
        <v>7.2863999999999995</v>
      </c>
      <c r="X699" s="3">
        <v>4.7699999999999996</v>
      </c>
      <c r="Y699" s="5">
        <f t="shared" si="65"/>
        <v>12.0564</v>
      </c>
    </row>
    <row r="700" spans="1:25" x14ac:dyDescent="0.2">
      <c r="A700" t="s">
        <v>1576</v>
      </c>
      <c r="B700" s="1">
        <v>42298</v>
      </c>
      <c r="C700" s="2" t="str">
        <f t="shared" si="60"/>
        <v>2015</v>
      </c>
      <c r="D700" s="2" t="s">
        <v>528</v>
      </c>
      <c r="E700" s="2" t="s">
        <v>258</v>
      </c>
      <c r="F700" s="2" t="s">
        <v>36</v>
      </c>
      <c r="G700" s="2" t="s">
        <v>37</v>
      </c>
      <c r="H700" s="2" t="s">
        <v>21</v>
      </c>
      <c r="I700" s="2" t="s">
        <v>102</v>
      </c>
      <c r="J700" s="2" t="s">
        <v>30</v>
      </c>
      <c r="K700" s="2" t="s">
        <v>529</v>
      </c>
      <c r="L700" s="2" t="s">
        <v>32</v>
      </c>
      <c r="M700" s="2" t="s">
        <v>33</v>
      </c>
      <c r="N700" s="2" t="s">
        <v>89</v>
      </c>
      <c r="O700" s="1">
        <v>42300</v>
      </c>
      <c r="P700" s="3">
        <v>2.13</v>
      </c>
      <c r="Q700" s="3">
        <v>3.49</v>
      </c>
      <c r="R700" s="3">
        <f t="shared" si="61"/>
        <v>1.3600000000000003</v>
      </c>
      <c r="S700" s="2">
        <v>3</v>
      </c>
      <c r="T700" s="3">
        <f t="shared" si="62"/>
        <v>10.47</v>
      </c>
      <c r="U700" s="4">
        <v>0.01</v>
      </c>
      <c r="V700" s="6">
        <f t="shared" si="63"/>
        <v>0.10470000000000002</v>
      </c>
      <c r="W700" s="6">
        <f t="shared" si="64"/>
        <v>10.365300000000001</v>
      </c>
      <c r="X700" s="3">
        <v>0.76</v>
      </c>
      <c r="Y700" s="5">
        <f t="shared" si="65"/>
        <v>11.125300000000001</v>
      </c>
    </row>
    <row r="701" spans="1:25" x14ac:dyDescent="0.2">
      <c r="A701" t="s">
        <v>1577</v>
      </c>
      <c r="B701" s="1">
        <v>42298</v>
      </c>
      <c r="C701" s="2" t="str">
        <f t="shared" si="60"/>
        <v>2015</v>
      </c>
      <c r="D701" s="2" t="s">
        <v>338</v>
      </c>
      <c r="E701" s="2" t="s">
        <v>339</v>
      </c>
      <c r="F701" s="2" t="s">
        <v>36</v>
      </c>
      <c r="G701" s="2" t="s">
        <v>37</v>
      </c>
      <c r="H701" s="2" t="s">
        <v>50</v>
      </c>
      <c r="I701" s="2" t="s">
        <v>79</v>
      </c>
      <c r="J701" s="2" t="s">
        <v>44</v>
      </c>
      <c r="K701" s="2" t="s">
        <v>120</v>
      </c>
      <c r="L701" s="2" t="s">
        <v>32</v>
      </c>
      <c r="M701" s="2" t="s">
        <v>26</v>
      </c>
      <c r="N701" s="2" t="s">
        <v>27</v>
      </c>
      <c r="O701" s="1">
        <v>42300</v>
      </c>
      <c r="P701" s="3">
        <v>1.18</v>
      </c>
      <c r="Q701" s="3">
        <v>1.88</v>
      </c>
      <c r="R701" s="3">
        <f t="shared" si="61"/>
        <v>0.7</v>
      </c>
      <c r="S701" s="2">
        <v>6</v>
      </c>
      <c r="T701" s="3">
        <f t="shared" si="62"/>
        <v>11.28</v>
      </c>
      <c r="U701" s="4">
        <v>7.0000000000000007E-2</v>
      </c>
      <c r="V701" s="6">
        <f t="shared" si="63"/>
        <v>0.78960000000000008</v>
      </c>
      <c r="W701" s="6">
        <f t="shared" si="64"/>
        <v>10.490399999999999</v>
      </c>
      <c r="X701" s="3">
        <v>1.49</v>
      </c>
      <c r="Y701" s="5">
        <f t="shared" si="65"/>
        <v>11.980399999999999</v>
      </c>
    </row>
    <row r="702" spans="1:25" x14ac:dyDescent="0.2">
      <c r="A702" t="s">
        <v>1578</v>
      </c>
      <c r="B702" s="1">
        <v>42301</v>
      </c>
      <c r="C702" s="2" t="str">
        <f t="shared" si="60"/>
        <v>2015</v>
      </c>
      <c r="D702" s="2" t="s">
        <v>527</v>
      </c>
      <c r="E702" s="2" t="s">
        <v>1918</v>
      </c>
      <c r="F702" s="2" t="s">
        <v>19</v>
      </c>
      <c r="G702" s="2" t="s">
        <v>20</v>
      </c>
      <c r="H702" s="2" t="s">
        <v>29</v>
      </c>
      <c r="I702" s="2" t="s">
        <v>92</v>
      </c>
      <c r="J702" s="2" t="s">
        <v>66</v>
      </c>
      <c r="K702" s="2" t="s">
        <v>330</v>
      </c>
      <c r="L702" s="2" t="s">
        <v>32</v>
      </c>
      <c r="M702" s="2" t="s">
        <v>26</v>
      </c>
      <c r="N702" s="2" t="s">
        <v>27</v>
      </c>
      <c r="O702" s="1">
        <v>42303</v>
      </c>
      <c r="P702" s="3">
        <v>4.53</v>
      </c>
      <c r="Q702" s="3">
        <v>7.3</v>
      </c>
      <c r="R702" s="3">
        <f t="shared" si="61"/>
        <v>2.7699999999999996</v>
      </c>
      <c r="S702" s="2">
        <v>34</v>
      </c>
      <c r="T702" s="3">
        <f t="shared" si="62"/>
        <v>248.2</v>
      </c>
      <c r="U702" s="4">
        <v>0.03</v>
      </c>
      <c r="V702" s="6">
        <f t="shared" si="63"/>
        <v>7.4459999999999997</v>
      </c>
      <c r="W702" s="6">
        <f t="shared" si="64"/>
        <v>240.75399999999999</v>
      </c>
      <c r="X702" s="3">
        <v>7.72</v>
      </c>
      <c r="Y702" s="5">
        <f t="shared" si="65"/>
        <v>248.47399999999999</v>
      </c>
    </row>
    <row r="703" spans="1:25" x14ac:dyDescent="0.2">
      <c r="A703" t="s">
        <v>1579</v>
      </c>
      <c r="B703" s="1">
        <v>42301</v>
      </c>
      <c r="C703" s="2" t="str">
        <f t="shared" si="60"/>
        <v>2015</v>
      </c>
      <c r="D703" s="2" t="s">
        <v>513</v>
      </c>
      <c r="E703" s="2" t="s">
        <v>41</v>
      </c>
      <c r="F703" s="2" t="s">
        <v>36</v>
      </c>
      <c r="G703" s="2" t="s">
        <v>37</v>
      </c>
      <c r="H703" s="2" t="s">
        <v>42</v>
      </c>
      <c r="I703" s="2" t="s">
        <v>43</v>
      </c>
      <c r="J703" s="2" t="s">
        <v>44</v>
      </c>
      <c r="K703" s="2" t="s">
        <v>332</v>
      </c>
      <c r="L703" s="2" t="s">
        <v>32</v>
      </c>
      <c r="M703" s="2" t="s">
        <v>26</v>
      </c>
      <c r="N703" s="2" t="s">
        <v>27</v>
      </c>
      <c r="O703" s="1">
        <v>42303</v>
      </c>
      <c r="P703" s="3">
        <v>2.25</v>
      </c>
      <c r="Q703" s="3">
        <v>3.69</v>
      </c>
      <c r="R703" s="3">
        <f t="shared" si="61"/>
        <v>1.44</v>
      </c>
      <c r="S703" s="2">
        <v>47</v>
      </c>
      <c r="T703" s="3">
        <f t="shared" si="62"/>
        <v>173.43</v>
      </c>
      <c r="U703" s="4">
        <v>0</v>
      </c>
      <c r="V703" s="6">
        <f t="shared" si="63"/>
        <v>0</v>
      </c>
      <c r="W703" s="6">
        <f t="shared" si="64"/>
        <v>173.43</v>
      </c>
      <c r="X703" s="3">
        <v>2.5</v>
      </c>
      <c r="Y703" s="5">
        <f t="shared" si="65"/>
        <v>175.93</v>
      </c>
    </row>
    <row r="704" spans="1:25" x14ac:dyDescent="0.2">
      <c r="A704" t="s">
        <v>1580</v>
      </c>
      <c r="B704" s="1">
        <v>42305</v>
      </c>
      <c r="C704" s="2" t="str">
        <f t="shared" si="60"/>
        <v>2015</v>
      </c>
      <c r="D704" s="2" t="s">
        <v>525</v>
      </c>
      <c r="E704" s="2" t="s">
        <v>498</v>
      </c>
      <c r="F704" s="2" t="s">
        <v>19</v>
      </c>
      <c r="G704" s="2" t="s">
        <v>20</v>
      </c>
      <c r="H704" s="2" t="s">
        <v>50</v>
      </c>
      <c r="I704" s="2" t="s">
        <v>92</v>
      </c>
      <c r="J704" s="2" t="s">
        <v>52</v>
      </c>
      <c r="K704" s="2" t="s">
        <v>526</v>
      </c>
      <c r="L704" s="2" t="s">
        <v>25</v>
      </c>
      <c r="M704" s="2" t="s">
        <v>85</v>
      </c>
      <c r="N704" s="2" t="s">
        <v>27</v>
      </c>
      <c r="O704" s="1">
        <v>42307</v>
      </c>
      <c r="P704" s="3">
        <v>7.92</v>
      </c>
      <c r="Q704" s="3">
        <v>12.99</v>
      </c>
      <c r="R704" s="3">
        <f t="shared" si="61"/>
        <v>5.07</v>
      </c>
      <c r="S704" s="2">
        <v>46</v>
      </c>
      <c r="T704" s="3">
        <f t="shared" si="62"/>
        <v>597.54</v>
      </c>
      <c r="U704" s="4">
        <v>0.01</v>
      </c>
      <c r="V704" s="6">
        <f t="shared" si="63"/>
        <v>5.9753999999999996</v>
      </c>
      <c r="W704" s="6">
        <f t="shared" si="64"/>
        <v>591.56459999999993</v>
      </c>
      <c r="X704" s="3">
        <v>9.44</v>
      </c>
      <c r="Y704" s="5">
        <f t="shared" si="65"/>
        <v>601.00459999999998</v>
      </c>
    </row>
    <row r="705" spans="1:25" x14ac:dyDescent="0.2">
      <c r="A705" t="s">
        <v>1581</v>
      </c>
      <c r="B705" s="1">
        <v>42308</v>
      </c>
      <c r="C705" s="2" t="str">
        <f t="shared" si="60"/>
        <v>2015</v>
      </c>
      <c r="D705" s="2" t="s">
        <v>522</v>
      </c>
      <c r="E705" s="2" t="s">
        <v>172</v>
      </c>
      <c r="F705" s="2" t="s">
        <v>36</v>
      </c>
      <c r="G705" s="2" t="s">
        <v>37</v>
      </c>
      <c r="H705" s="2" t="s">
        <v>21</v>
      </c>
      <c r="I705" s="2" t="s">
        <v>75</v>
      </c>
      <c r="J705" s="2" t="s">
        <v>44</v>
      </c>
      <c r="K705" s="2" t="s">
        <v>347</v>
      </c>
      <c r="L705" s="2" t="s">
        <v>32</v>
      </c>
      <c r="M705" s="2" t="s">
        <v>26</v>
      </c>
      <c r="N705" s="2" t="s">
        <v>27</v>
      </c>
      <c r="O705" s="1">
        <v>42308</v>
      </c>
      <c r="P705" s="3">
        <v>178.83</v>
      </c>
      <c r="Q705" s="3">
        <v>415.88</v>
      </c>
      <c r="R705" s="3">
        <f t="shared" si="61"/>
        <v>237.04999999999998</v>
      </c>
      <c r="S705" s="2">
        <v>21</v>
      </c>
      <c r="T705" s="3">
        <f t="shared" si="62"/>
        <v>8733.48</v>
      </c>
      <c r="U705" s="4">
        <v>0.09</v>
      </c>
      <c r="V705" s="6">
        <f t="shared" si="63"/>
        <v>786.01319999999998</v>
      </c>
      <c r="W705" s="6">
        <f t="shared" si="64"/>
        <v>7947.4667999999992</v>
      </c>
      <c r="X705" s="3">
        <v>11.37</v>
      </c>
      <c r="Y705" s="5">
        <f t="shared" si="65"/>
        <v>7958.8367999999991</v>
      </c>
    </row>
    <row r="706" spans="1:25" x14ac:dyDescent="0.2">
      <c r="A706" t="s">
        <v>1582</v>
      </c>
      <c r="B706" s="1">
        <v>42308</v>
      </c>
      <c r="C706" s="2" t="str">
        <f t="shared" si="60"/>
        <v>2015</v>
      </c>
      <c r="D706" s="2" t="s">
        <v>523</v>
      </c>
      <c r="E706" s="2" t="s">
        <v>524</v>
      </c>
      <c r="F706" s="2" t="s">
        <v>36</v>
      </c>
      <c r="G706" s="2" t="s">
        <v>37</v>
      </c>
      <c r="H706" s="2" t="s">
        <v>50</v>
      </c>
      <c r="I706" s="2" t="s">
        <v>83</v>
      </c>
      <c r="J706" s="2" t="s">
        <v>44</v>
      </c>
      <c r="K706" s="2" t="s">
        <v>70</v>
      </c>
      <c r="L706" s="2" t="s">
        <v>25</v>
      </c>
      <c r="M706" s="2" t="s">
        <v>26</v>
      </c>
      <c r="N706" s="2" t="s">
        <v>27</v>
      </c>
      <c r="O706" s="1">
        <v>42309</v>
      </c>
      <c r="P706" s="3">
        <v>156.5</v>
      </c>
      <c r="Q706" s="3">
        <v>300.97000000000003</v>
      </c>
      <c r="R706" s="3">
        <f t="shared" si="61"/>
        <v>144.47000000000003</v>
      </c>
      <c r="S706" s="2">
        <v>23</v>
      </c>
      <c r="T706" s="3">
        <f t="shared" si="62"/>
        <v>6922.31</v>
      </c>
      <c r="U706" s="4">
        <v>0.06</v>
      </c>
      <c r="V706" s="6">
        <f t="shared" si="63"/>
        <v>415.33859999999999</v>
      </c>
      <c r="W706" s="6">
        <f t="shared" si="64"/>
        <v>6506.9714000000004</v>
      </c>
      <c r="X706" s="3">
        <v>7.18</v>
      </c>
      <c r="Y706" s="5">
        <f t="shared" si="65"/>
        <v>6514.1514000000006</v>
      </c>
    </row>
    <row r="707" spans="1:25" x14ac:dyDescent="0.2">
      <c r="A707" t="s">
        <v>915</v>
      </c>
      <c r="B707" s="1">
        <v>42309</v>
      </c>
      <c r="C707" s="2" t="str">
        <f t="shared" si="60"/>
        <v>2015</v>
      </c>
      <c r="D707" s="2" t="s">
        <v>521</v>
      </c>
      <c r="E707" s="2" t="s">
        <v>1934</v>
      </c>
      <c r="F707" s="2" t="s">
        <v>36</v>
      </c>
      <c r="G707" s="2" t="s">
        <v>37</v>
      </c>
      <c r="H707" s="2" t="s">
        <v>42</v>
      </c>
      <c r="I707" s="2" t="s">
        <v>75</v>
      </c>
      <c r="J707" s="2" t="s">
        <v>23</v>
      </c>
      <c r="K707" s="2" t="s">
        <v>157</v>
      </c>
      <c r="L707" s="2" t="s">
        <v>32</v>
      </c>
      <c r="M707" s="2" t="s">
        <v>33</v>
      </c>
      <c r="N707" s="2" t="s">
        <v>27</v>
      </c>
      <c r="O707" s="1">
        <v>42311</v>
      </c>
      <c r="P707" s="3">
        <v>2.39</v>
      </c>
      <c r="Q707" s="3">
        <v>4.26</v>
      </c>
      <c r="R707" s="3">
        <f t="shared" si="61"/>
        <v>1.8699999999999997</v>
      </c>
      <c r="S707" s="2">
        <v>47</v>
      </c>
      <c r="T707" s="3">
        <f t="shared" si="62"/>
        <v>200.22</v>
      </c>
      <c r="U707" s="4">
        <v>7.0000000000000007E-2</v>
      </c>
      <c r="V707" s="6">
        <f t="shared" si="63"/>
        <v>14.015400000000001</v>
      </c>
      <c r="W707" s="6">
        <f t="shared" si="64"/>
        <v>186.2046</v>
      </c>
      <c r="X707" s="3">
        <v>1.2</v>
      </c>
      <c r="Y707" s="5">
        <f t="shared" si="65"/>
        <v>187.40459999999999</v>
      </c>
    </row>
    <row r="708" spans="1:25" x14ac:dyDescent="0.2">
      <c r="A708" t="s">
        <v>916</v>
      </c>
      <c r="B708" s="1">
        <v>42309</v>
      </c>
      <c r="C708" s="2" t="str">
        <f t="shared" si="60"/>
        <v>2015</v>
      </c>
      <c r="D708" s="2" t="s">
        <v>521</v>
      </c>
      <c r="E708" s="2" t="s">
        <v>1934</v>
      </c>
      <c r="F708" s="2" t="s">
        <v>36</v>
      </c>
      <c r="G708" s="2" t="s">
        <v>37</v>
      </c>
      <c r="H708" s="2" t="s">
        <v>42</v>
      </c>
      <c r="I708" s="2" t="s">
        <v>75</v>
      </c>
      <c r="J708" s="2" t="s">
        <v>23</v>
      </c>
      <c r="K708" s="2" t="s">
        <v>236</v>
      </c>
      <c r="L708" s="2" t="s">
        <v>32</v>
      </c>
      <c r="M708" s="2" t="s">
        <v>33</v>
      </c>
      <c r="N708" s="2" t="s">
        <v>27</v>
      </c>
      <c r="O708" s="1">
        <v>42314</v>
      </c>
      <c r="P708" s="3">
        <v>1.3</v>
      </c>
      <c r="Q708" s="3">
        <v>2.88</v>
      </c>
      <c r="R708" s="3">
        <f t="shared" si="61"/>
        <v>1.5799999999999998</v>
      </c>
      <c r="S708" s="2">
        <v>17</v>
      </c>
      <c r="T708" s="3">
        <f t="shared" si="62"/>
        <v>48.96</v>
      </c>
      <c r="U708" s="4">
        <v>0.09</v>
      </c>
      <c r="V708" s="6">
        <f t="shared" si="63"/>
        <v>4.4063999999999997</v>
      </c>
      <c r="W708" s="6">
        <f t="shared" si="64"/>
        <v>44.553600000000003</v>
      </c>
      <c r="X708" s="3">
        <v>1.01</v>
      </c>
      <c r="Y708" s="5">
        <f t="shared" si="65"/>
        <v>45.563600000000001</v>
      </c>
    </row>
    <row r="709" spans="1:25" x14ac:dyDescent="0.2">
      <c r="A709" t="s">
        <v>1583</v>
      </c>
      <c r="B709" s="1">
        <v>42314</v>
      </c>
      <c r="C709" s="2" t="str">
        <f t="shared" si="60"/>
        <v>2015</v>
      </c>
      <c r="D709" s="2" t="s">
        <v>331</v>
      </c>
      <c r="E709" s="2" t="s">
        <v>46</v>
      </c>
      <c r="F709" s="2" t="s">
        <v>19</v>
      </c>
      <c r="G709" s="2" t="s">
        <v>20</v>
      </c>
      <c r="H709" s="2" t="s">
        <v>50</v>
      </c>
      <c r="I709" s="2" t="s">
        <v>22</v>
      </c>
      <c r="J709" s="2" t="s">
        <v>44</v>
      </c>
      <c r="K709" s="2" t="s">
        <v>290</v>
      </c>
      <c r="L709" s="2" t="s">
        <v>25</v>
      </c>
      <c r="M709" s="2" t="s">
        <v>26</v>
      </c>
      <c r="N709" s="2" t="s">
        <v>89</v>
      </c>
      <c r="O709" s="1">
        <v>42314</v>
      </c>
      <c r="P709" s="3">
        <v>14.7</v>
      </c>
      <c r="Q709" s="3">
        <v>29.99</v>
      </c>
      <c r="R709" s="3">
        <f t="shared" si="61"/>
        <v>15.29</v>
      </c>
      <c r="S709" s="2">
        <v>20</v>
      </c>
      <c r="T709" s="3">
        <f t="shared" si="62"/>
        <v>599.79999999999995</v>
      </c>
      <c r="U709" s="4">
        <v>0.04</v>
      </c>
      <c r="V709" s="6">
        <f t="shared" si="63"/>
        <v>23.991999999999997</v>
      </c>
      <c r="W709" s="6">
        <f t="shared" si="64"/>
        <v>575.80799999999999</v>
      </c>
      <c r="X709" s="3">
        <v>5.5</v>
      </c>
      <c r="Y709" s="5">
        <f t="shared" si="65"/>
        <v>581.30799999999999</v>
      </c>
    </row>
    <row r="710" spans="1:25" x14ac:dyDescent="0.2">
      <c r="A710" t="s">
        <v>1584</v>
      </c>
      <c r="B710" s="1">
        <v>42314</v>
      </c>
      <c r="C710" s="2" t="str">
        <f t="shared" ref="C710:C773" si="66">TEXT(B710,"yyyy")</f>
        <v>2015</v>
      </c>
      <c r="D710" s="2" t="s">
        <v>520</v>
      </c>
      <c r="E710" s="2" t="s">
        <v>188</v>
      </c>
      <c r="F710" s="2" t="s">
        <v>36</v>
      </c>
      <c r="G710" s="2" t="s">
        <v>37</v>
      </c>
      <c r="H710" s="2" t="s">
        <v>42</v>
      </c>
      <c r="I710" s="2" t="s">
        <v>75</v>
      </c>
      <c r="J710" s="2" t="s">
        <v>23</v>
      </c>
      <c r="K710" s="2" t="s">
        <v>277</v>
      </c>
      <c r="L710" s="2" t="s">
        <v>32</v>
      </c>
      <c r="M710" s="2" t="s">
        <v>26</v>
      </c>
      <c r="N710" s="2" t="s">
        <v>27</v>
      </c>
      <c r="O710" s="1">
        <v>42321</v>
      </c>
      <c r="P710" s="3">
        <v>54.29</v>
      </c>
      <c r="Q710" s="3">
        <v>90.48</v>
      </c>
      <c r="R710" s="3">
        <f t="shared" ref="R710:R773" si="67">Q710-P710</f>
        <v>36.190000000000005</v>
      </c>
      <c r="S710" s="2">
        <v>49</v>
      </c>
      <c r="T710" s="3">
        <f t="shared" ref="T710:T773" si="68">Q710*S710</f>
        <v>4433.5200000000004</v>
      </c>
      <c r="U710" s="4">
        <v>0.05</v>
      </c>
      <c r="V710" s="6">
        <f t="shared" ref="V710:V773" si="69">T710*U710</f>
        <v>221.67600000000004</v>
      </c>
      <c r="W710" s="6">
        <f t="shared" ref="W710:W773" si="70">T710-V710</f>
        <v>4211.8440000000001</v>
      </c>
      <c r="X710" s="3">
        <v>19.989999999999998</v>
      </c>
      <c r="Y710" s="5">
        <f t="shared" ref="Y710:Y773" si="71">W710+X710</f>
        <v>4231.8339999999998</v>
      </c>
    </row>
    <row r="711" spans="1:25" x14ac:dyDescent="0.2">
      <c r="A711" t="s">
        <v>1585</v>
      </c>
      <c r="B711" s="1">
        <v>42315</v>
      </c>
      <c r="C711" s="2" t="str">
        <f t="shared" si="66"/>
        <v>2015</v>
      </c>
      <c r="D711" s="2" t="s">
        <v>519</v>
      </c>
      <c r="E711" s="2" t="s">
        <v>18</v>
      </c>
      <c r="F711" s="2" t="s">
        <v>19</v>
      </c>
      <c r="G711" s="2" t="s">
        <v>20</v>
      </c>
      <c r="H711" s="2" t="s">
        <v>50</v>
      </c>
      <c r="I711" s="2" t="s">
        <v>22</v>
      </c>
      <c r="J711" s="2" t="s">
        <v>66</v>
      </c>
      <c r="K711" s="2" t="s">
        <v>488</v>
      </c>
      <c r="L711" s="2" t="s">
        <v>32</v>
      </c>
      <c r="M711" s="2" t="s">
        <v>33</v>
      </c>
      <c r="N711" s="2" t="s">
        <v>27</v>
      </c>
      <c r="O711" s="1">
        <v>42316</v>
      </c>
      <c r="P711" s="3">
        <v>3.47</v>
      </c>
      <c r="Q711" s="3">
        <v>6.68</v>
      </c>
      <c r="R711" s="3">
        <f t="shared" si="67"/>
        <v>3.2099999999999995</v>
      </c>
      <c r="S711" s="2">
        <v>12</v>
      </c>
      <c r="T711" s="3">
        <f t="shared" si="68"/>
        <v>80.16</v>
      </c>
      <c r="U711" s="4">
        <v>0.06</v>
      </c>
      <c r="V711" s="6">
        <f t="shared" si="69"/>
        <v>4.8095999999999997</v>
      </c>
      <c r="W711" s="6">
        <f t="shared" si="70"/>
        <v>75.350399999999993</v>
      </c>
      <c r="X711" s="3">
        <v>1.5</v>
      </c>
      <c r="Y711" s="5">
        <f t="shared" si="71"/>
        <v>76.850399999999993</v>
      </c>
    </row>
    <row r="712" spans="1:25" x14ac:dyDescent="0.2">
      <c r="A712" t="s">
        <v>1586</v>
      </c>
      <c r="B712" s="1">
        <v>42318</v>
      </c>
      <c r="C712" s="2" t="str">
        <f t="shared" si="66"/>
        <v>2015</v>
      </c>
      <c r="D712" s="2" t="s">
        <v>518</v>
      </c>
      <c r="E712" s="2" t="s">
        <v>204</v>
      </c>
      <c r="F712" s="2" t="s">
        <v>36</v>
      </c>
      <c r="G712" s="2" t="s">
        <v>37</v>
      </c>
      <c r="H712" s="2" t="s">
        <v>50</v>
      </c>
      <c r="I712" s="2" t="s">
        <v>142</v>
      </c>
      <c r="J712" s="2" t="s">
        <v>23</v>
      </c>
      <c r="K712" s="2" t="s">
        <v>31</v>
      </c>
      <c r="L712" s="2" t="s">
        <v>32</v>
      </c>
      <c r="M712" s="2" t="s">
        <v>33</v>
      </c>
      <c r="N712" s="2" t="s">
        <v>27</v>
      </c>
      <c r="O712" s="1">
        <v>42322</v>
      </c>
      <c r="P712" s="3">
        <v>0.93</v>
      </c>
      <c r="Q712" s="3">
        <v>1.48</v>
      </c>
      <c r="R712" s="3">
        <f t="shared" si="67"/>
        <v>0.54999999999999993</v>
      </c>
      <c r="S712" s="2">
        <v>19</v>
      </c>
      <c r="T712" s="3">
        <f t="shared" si="68"/>
        <v>28.12</v>
      </c>
      <c r="U712" s="4">
        <v>0</v>
      </c>
      <c r="V712" s="6">
        <f t="shared" si="69"/>
        <v>0</v>
      </c>
      <c r="W712" s="6">
        <f t="shared" si="70"/>
        <v>28.12</v>
      </c>
      <c r="X712" s="3">
        <v>0.7</v>
      </c>
      <c r="Y712" s="5">
        <f t="shared" si="71"/>
        <v>28.82</v>
      </c>
    </row>
    <row r="713" spans="1:25" x14ac:dyDescent="0.2">
      <c r="A713" t="s">
        <v>1587</v>
      </c>
      <c r="B713" s="1">
        <v>42318</v>
      </c>
      <c r="C713" s="2" t="str">
        <f t="shared" si="66"/>
        <v>2015</v>
      </c>
      <c r="D713" s="2" t="s">
        <v>267</v>
      </c>
      <c r="E713" s="2" t="s">
        <v>1892</v>
      </c>
      <c r="F713" s="2" t="s">
        <v>1881</v>
      </c>
      <c r="G713" s="2" t="s">
        <v>1882</v>
      </c>
      <c r="H713" s="2" t="s">
        <v>50</v>
      </c>
      <c r="I713" s="2" t="s">
        <v>51</v>
      </c>
      <c r="J713" s="2" t="s">
        <v>30</v>
      </c>
      <c r="K713" s="2" t="s">
        <v>308</v>
      </c>
      <c r="L713" s="2" t="s">
        <v>32</v>
      </c>
      <c r="M713" s="2" t="s">
        <v>26</v>
      </c>
      <c r="N713" s="2" t="s">
        <v>27</v>
      </c>
      <c r="O713" s="1">
        <v>42318</v>
      </c>
      <c r="P713" s="3">
        <v>4.03</v>
      </c>
      <c r="Q713" s="3">
        <v>9.3800000000000008</v>
      </c>
      <c r="R713" s="3">
        <f t="shared" si="67"/>
        <v>5.3500000000000005</v>
      </c>
      <c r="S713" s="2">
        <v>24</v>
      </c>
      <c r="T713" s="3">
        <f t="shared" si="68"/>
        <v>225.12</v>
      </c>
      <c r="U713" s="4">
        <v>0.05</v>
      </c>
      <c r="V713" s="6">
        <f t="shared" si="69"/>
        <v>11.256</v>
      </c>
      <c r="W713" s="6">
        <f t="shared" si="70"/>
        <v>213.864</v>
      </c>
      <c r="X713" s="3">
        <v>7.28</v>
      </c>
      <c r="Y713" s="5">
        <f t="shared" si="71"/>
        <v>221.14400000000001</v>
      </c>
    </row>
    <row r="714" spans="1:25" x14ac:dyDescent="0.2">
      <c r="A714" t="s">
        <v>1588</v>
      </c>
      <c r="B714" s="1">
        <v>42319</v>
      </c>
      <c r="C714" s="2" t="str">
        <f t="shared" si="66"/>
        <v>2015</v>
      </c>
      <c r="D714" s="2" t="s">
        <v>140</v>
      </c>
      <c r="E714" s="2" t="s">
        <v>141</v>
      </c>
      <c r="F714" s="2" t="s">
        <v>36</v>
      </c>
      <c r="G714" s="2" t="s">
        <v>37</v>
      </c>
      <c r="H714" s="2" t="s">
        <v>21</v>
      </c>
      <c r="I714" s="2" t="s">
        <v>142</v>
      </c>
      <c r="J714" s="2" t="s">
        <v>44</v>
      </c>
      <c r="K714" s="2" t="s">
        <v>47</v>
      </c>
      <c r="L714" s="2" t="s">
        <v>32</v>
      </c>
      <c r="M714" s="2" t="s">
        <v>26</v>
      </c>
      <c r="N714" s="2" t="s">
        <v>27</v>
      </c>
      <c r="O714" s="1">
        <v>42321</v>
      </c>
      <c r="P714" s="3">
        <v>1.59</v>
      </c>
      <c r="Q714" s="3">
        <v>2.61</v>
      </c>
      <c r="R714" s="3">
        <f t="shared" si="67"/>
        <v>1.0199999999999998</v>
      </c>
      <c r="S714" s="2">
        <v>40</v>
      </c>
      <c r="T714" s="3">
        <f t="shared" si="68"/>
        <v>104.39999999999999</v>
      </c>
      <c r="U714" s="4">
        <v>0.03</v>
      </c>
      <c r="V714" s="6">
        <f t="shared" si="69"/>
        <v>3.1319999999999997</v>
      </c>
      <c r="W714" s="6">
        <f t="shared" si="70"/>
        <v>101.26799999999999</v>
      </c>
      <c r="X714" s="3">
        <v>0.5</v>
      </c>
      <c r="Y714" s="5">
        <f t="shared" si="71"/>
        <v>101.76799999999999</v>
      </c>
    </row>
    <row r="715" spans="1:25" x14ac:dyDescent="0.2">
      <c r="A715" t="s">
        <v>1589</v>
      </c>
      <c r="B715" s="1">
        <v>42320</v>
      </c>
      <c r="C715" s="2" t="str">
        <f t="shared" si="66"/>
        <v>2015</v>
      </c>
      <c r="D715" s="2" t="s">
        <v>517</v>
      </c>
      <c r="E715" s="2" t="s">
        <v>246</v>
      </c>
      <c r="F715" s="2" t="s">
        <v>19</v>
      </c>
      <c r="G715" s="2" t="s">
        <v>20</v>
      </c>
      <c r="H715" s="2" t="s">
        <v>42</v>
      </c>
      <c r="I715" s="2" t="s">
        <v>22</v>
      </c>
      <c r="J715" s="2" t="s">
        <v>52</v>
      </c>
      <c r="K715" s="2" t="s">
        <v>144</v>
      </c>
      <c r="L715" s="2" t="s">
        <v>32</v>
      </c>
      <c r="M715" s="2" t="s">
        <v>58</v>
      </c>
      <c r="N715" s="2" t="s">
        <v>27</v>
      </c>
      <c r="O715" s="1">
        <v>42322</v>
      </c>
      <c r="P715" s="3">
        <v>4.1900000000000004</v>
      </c>
      <c r="Q715" s="3">
        <v>10.23</v>
      </c>
      <c r="R715" s="3">
        <f t="shared" si="67"/>
        <v>6.04</v>
      </c>
      <c r="S715" s="2">
        <v>46</v>
      </c>
      <c r="T715" s="3">
        <f t="shared" si="68"/>
        <v>470.58000000000004</v>
      </c>
      <c r="U715" s="4">
        <v>0.08</v>
      </c>
      <c r="V715" s="6">
        <f t="shared" si="69"/>
        <v>37.646400000000007</v>
      </c>
      <c r="W715" s="6">
        <f t="shared" si="70"/>
        <v>432.93360000000001</v>
      </c>
      <c r="X715" s="3">
        <v>4.68</v>
      </c>
      <c r="Y715" s="5">
        <f t="shared" si="71"/>
        <v>437.61360000000002</v>
      </c>
    </row>
    <row r="716" spans="1:25" x14ac:dyDescent="0.2">
      <c r="A716" t="s">
        <v>1590</v>
      </c>
      <c r="B716" s="1">
        <v>42323</v>
      </c>
      <c r="C716" s="2" t="str">
        <f t="shared" si="66"/>
        <v>2015</v>
      </c>
      <c r="D716" s="2" t="s">
        <v>515</v>
      </c>
      <c r="E716" s="2" t="s">
        <v>516</v>
      </c>
      <c r="F716" s="2" t="s">
        <v>19</v>
      </c>
      <c r="G716" s="2" t="s">
        <v>20</v>
      </c>
      <c r="H716" s="2" t="s">
        <v>50</v>
      </c>
      <c r="I716" s="2" t="s">
        <v>92</v>
      </c>
      <c r="J716" s="2" t="s">
        <v>23</v>
      </c>
      <c r="K716" s="2" t="s">
        <v>383</v>
      </c>
      <c r="L716" s="2" t="s">
        <v>32</v>
      </c>
      <c r="M716" s="2" t="s">
        <v>33</v>
      </c>
      <c r="N716" s="2" t="s">
        <v>27</v>
      </c>
      <c r="O716" s="1">
        <v>42332</v>
      </c>
      <c r="P716" s="3">
        <v>3.95</v>
      </c>
      <c r="Q716" s="3">
        <v>6.08</v>
      </c>
      <c r="R716" s="3">
        <f t="shared" si="67"/>
        <v>2.13</v>
      </c>
      <c r="S716" s="2">
        <v>41</v>
      </c>
      <c r="T716" s="3">
        <f t="shared" si="68"/>
        <v>249.28</v>
      </c>
      <c r="U716" s="4">
        <v>0.03</v>
      </c>
      <c r="V716" s="6">
        <f t="shared" si="69"/>
        <v>7.4783999999999997</v>
      </c>
      <c r="W716" s="6">
        <f t="shared" si="70"/>
        <v>241.80160000000001</v>
      </c>
      <c r="X716" s="3">
        <v>1.82</v>
      </c>
      <c r="Y716" s="5">
        <f t="shared" si="71"/>
        <v>243.6216</v>
      </c>
    </row>
    <row r="717" spans="1:25" x14ac:dyDescent="0.2">
      <c r="A717" t="s">
        <v>1591</v>
      </c>
      <c r="B717" s="1">
        <v>42324</v>
      </c>
      <c r="C717" s="2" t="str">
        <f t="shared" si="66"/>
        <v>2015</v>
      </c>
      <c r="D717" s="2" t="s">
        <v>514</v>
      </c>
      <c r="E717" s="2" t="s">
        <v>194</v>
      </c>
      <c r="F717" s="2" t="s">
        <v>36</v>
      </c>
      <c r="G717" s="2" t="s">
        <v>37</v>
      </c>
      <c r="H717" s="2" t="s">
        <v>29</v>
      </c>
      <c r="I717" s="2" t="s">
        <v>51</v>
      </c>
      <c r="J717" s="2" t="s">
        <v>66</v>
      </c>
      <c r="K717" s="2" t="s">
        <v>509</v>
      </c>
      <c r="L717" s="2" t="s">
        <v>32</v>
      </c>
      <c r="M717" s="2" t="s">
        <v>33</v>
      </c>
      <c r="N717" s="2" t="s">
        <v>27</v>
      </c>
      <c r="O717" s="1">
        <v>42325</v>
      </c>
      <c r="P717" s="3">
        <v>3.88</v>
      </c>
      <c r="Q717" s="3">
        <v>6.47</v>
      </c>
      <c r="R717" s="3">
        <f t="shared" si="67"/>
        <v>2.59</v>
      </c>
      <c r="S717" s="2">
        <v>22</v>
      </c>
      <c r="T717" s="3">
        <f t="shared" si="68"/>
        <v>142.34</v>
      </c>
      <c r="U717" s="4">
        <v>0.04</v>
      </c>
      <c r="V717" s="6">
        <f t="shared" si="69"/>
        <v>5.6936</v>
      </c>
      <c r="W717" s="6">
        <f t="shared" si="70"/>
        <v>136.6464</v>
      </c>
      <c r="X717" s="3">
        <v>1.22</v>
      </c>
      <c r="Y717" s="5">
        <f t="shared" si="71"/>
        <v>137.8664</v>
      </c>
    </row>
    <row r="718" spans="1:25" x14ac:dyDescent="0.2">
      <c r="A718" t="s">
        <v>1592</v>
      </c>
      <c r="B718" s="1">
        <v>42325</v>
      </c>
      <c r="C718" s="2" t="str">
        <f t="shared" si="66"/>
        <v>2015</v>
      </c>
      <c r="D718" s="2" t="s">
        <v>512</v>
      </c>
      <c r="E718" s="2" t="s">
        <v>1930</v>
      </c>
      <c r="F718" s="2" t="s">
        <v>36</v>
      </c>
      <c r="G718" s="2" t="s">
        <v>37</v>
      </c>
      <c r="H718" s="2" t="s">
        <v>42</v>
      </c>
      <c r="I718" s="2" t="s">
        <v>153</v>
      </c>
      <c r="J718" s="2" t="s">
        <v>66</v>
      </c>
      <c r="K718" s="2" t="s">
        <v>144</v>
      </c>
      <c r="L718" s="2" t="s">
        <v>32</v>
      </c>
      <c r="M718" s="2" t="s">
        <v>58</v>
      </c>
      <c r="N718" s="2" t="s">
        <v>27</v>
      </c>
      <c r="O718" s="1">
        <v>42327</v>
      </c>
      <c r="P718" s="3">
        <v>4.1900000000000004</v>
      </c>
      <c r="Q718" s="3">
        <v>10.23</v>
      </c>
      <c r="R718" s="3">
        <f t="shared" si="67"/>
        <v>6.04</v>
      </c>
      <c r="S718" s="2">
        <v>16</v>
      </c>
      <c r="T718" s="3">
        <f t="shared" si="68"/>
        <v>163.68</v>
      </c>
      <c r="U718" s="4">
        <v>0.02</v>
      </c>
      <c r="V718" s="6">
        <f t="shared" si="69"/>
        <v>3.2736000000000001</v>
      </c>
      <c r="W718" s="6">
        <f t="shared" si="70"/>
        <v>160.40640000000002</v>
      </c>
      <c r="X718" s="3">
        <v>4.68</v>
      </c>
      <c r="Y718" s="5">
        <f t="shared" si="71"/>
        <v>165.08640000000003</v>
      </c>
    </row>
    <row r="719" spans="1:25" x14ac:dyDescent="0.2">
      <c r="A719" t="s">
        <v>1593</v>
      </c>
      <c r="B719" s="1">
        <v>42325</v>
      </c>
      <c r="C719" s="2" t="str">
        <f t="shared" si="66"/>
        <v>2015</v>
      </c>
      <c r="D719" s="2" t="s">
        <v>513</v>
      </c>
      <c r="E719" s="2" t="s">
        <v>41</v>
      </c>
      <c r="F719" s="2" t="s">
        <v>36</v>
      </c>
      <c r="G719" s="2" t="s">
        <v>37</v>
      </c>
      <c r="H719" s="2" t="s">
        <v>42</v>
      </c>
      <c r="I719" s="2" t="s">
        <v>43</v>
      </c>
      <c r="J719" s="2" t="s">
        <v>23</v>
      </c>
      <c r="K719" s="2" t="s">
        <v>247</v>
      </c>
      <c r="L719" s="2" t="s">
        <v>32</v>
      </c>
      <c r="M719" s="2" t="s">
        <v>26</v>
      </c>
      <c r="N719" s="2" t="s">
        <v>27</v>
      </c>
      <c r="O719" s="1">
        <v>42332</v>
      </c>
      <c r="P719" s="3">
        <v>4.46</v>
      </c>
      <c r="Q719" s="3">
        <v>10.89</v>
      </c>
      <c r="R719" s="3">
        <f t="shared" si="67"/>
        <v>6.4300000000000006</v>
      </c>
      <c r="S719" s="2">
        <v>10</v>
      </c>
      <c r="T719" s="3">
        <f t="shared" si="68"/>
        <v>108.9</v>
      </c>
      <c r="U719" s="4">
        <v>0.1</v>
      </c>
      <c r="V719" s="6">
        <f t="shared" si="69"/>
        <v>10.89</v>
      </c>
      <c r="W719" s="6">
        <f t="shared" si="70"/>
        <v>98.01</v>
      </c>
      <c r="X719" s="3">
        <v>4.5</v>
      </c>
      <c r="Y719" s="5">
        <f t="shared" si="71"/>
        <v>102.51</v>
      </c>
    </row>
    <row r="720" spans="1:25" x14ac:dyDescent="0.2">
      <c r="A720" t="s">
        <v>1594</v>
      </c>
      <c r="B720" s="1">
        <v>42328</v>
      </c>
      <c r="C720" s="2" t="str">
        <f t="shared" si="66"/>
        <v>2015</v>
      </c>
      <c r="D720" s="2" t="s">
        <v>511</v>
      </c>
      <c r="E720" s="2" t="s">
        <v>182</v>
      </c>
      <c r="F720" s="2" t="s">
        <v>36</v>
      </c>
      <c r="G720" s="2" t="s">
        <v>37</v>
      </c>
      <c r="H720" s="2" t="s">
        <v>21</v>
      </c>
      <c r="I720" s="2" t="s">
        <v>96</v>
      </c>
      <c r="J720" s="2" t="s">
        <v>44</v>
      </c>
      <c r="K720" s="2" t="s">
        <v>180</v>
      </c>
      <c r="L720" s="2" t="s">
        <v>32</v>
      </c>
      <c r="M720" s="2" t="s">
        <v>26</v>
      </c>
      <c r="N720" s="2" t="s">
        <v>27</v>
      </c>
      <c r="O720" s="1">
        <v>42330</v>
      </c>
      <c r="P720" s="3">
        <v>1.94</v>
      </c>
      <c r="Q720" s="3">
        <v>3.08</v>
      </c>
      <c r="R720" s="3">
        <f t="shared" si="67"/>
        <v>1.1400000000000001</v>
      </c>
      <c r="S720" s="2">
        <v>11</v>
      </c>
      <c r="T720" s="3">
        <f t="shared" si="68"/>
        <v>33.880000000000003</v>
      </c>
      <c r="U720" s="4">
        <v>0.09</v>
      </c>
      <c r="V720" s="6">
        <f t="shared" si="69"/>
        <v>3.0491999999999999</v>
      </c>
      <c r="W720" s="6">
        <f t="shared" si="70"/>
        <v>30.830800000000004</v>
      </c>
      <c r="X720" s="3">
        <v>0.99</v>
      </c>
      <c r="Y720" s="5">
        <f t="shared" si="71"/>
        <v>31.820800000000002</v>
      </c>
    </row>
    <row r="721" spans="1:25" x14ac:dyDescent="0.2">
      <c r="A721" t="s">
        <v>1595</v>
      </c>
      <c r="B721" s="1">
        <v>42330</v>
      </c>
      <c r="C721" s="2" t="str">
        <f t="shared" si="66"/>
        <v>2015</v>
      </c>
      <c r="D721" s="2" t="s">
        <v>510</v>
      </c>
      <c r="E721" s="2" t="s">
        <v>49</v>
      </c>
      <c r="F721" s="2" t="s">
        <v>36</v>
      </c>
      <c r="G721" s="2" t="s">
        <v>37</v>
      </c>
      <c r="H721" s="2" t="s">
        <v>50</v>
      </c>
      <c r="I721" s="2" t="s">
        <v>51</v>
      </c>
      <c r="J721" s="2" t="s">
        <v>30</v>
      </c>
      <c r="K721" s="2" t="s">
        <v>125</v>
      </c>
      <c r="L721" s="2" t="s">
        <v>32</v>
      </c>
      <c r="M721" s="2" t="s">
        <v>33</v>
      </c>
      <c r="N721" s="2" t="s">
        <v>27</v>
      </c>
      <c r="O721" s="1">
        <v>42331</v>
      </c>
      <c r="P721" s="3">
        <v>1.53</v>
      </c>
      <c r="Q721" s="3">
        <v>2.78</v>
      </c>
      <c r="R721" s="3">
        <f t="shared" si="67"/>
        <v>1.2499999999999998</v>
      </c>
      <c r="S721" s="2">
        <v>21</v>
      </c>
      <c r="T721" s="3">
        <f t="shared" si="68"/>
        <v>58.379999999999995</v>
      </c>
      <c r="U721" s="4">
        <v>0.06</v>
      </c>
      <c r="V721" s="6">
        <f t="shared" si="69"/>
        <v>3.5027999999999997</v>
      </c>
      <c r="W721" s="6">
        <f t="shared" si="70"/>
        <v>54.877199999999995</v>
      </c>
      <c r="X721" s="3">
        <v>1.34</v>
      </c>
      <c r="Y721" s="5">
        <f t="shared" si="71"/>
        <v>56.217199999999998</v>
      </c>
    </row>
    <row r="722" spans="1:25" x14ac:dyDescent="0.2">
      <c r="A722" t="s">
        <v>1596</v>
      </c>
      <c r="B722" s="1">
        <v>42332</v>
      </c>
      <c r="C722" s="2" t="str">
        <f t="shared" si="66"/>
        <v>2015</v>
      </c>
      <c r="D722" s="2" t="s">
        <v>320</v>
      </c>
      <c r="E722" s="2" t="s">
        <v>254</v>
      </c>
      <c r="F722" s="2" t="s">
        <v>19</v>
      </c>
      <c r="G722" s="2" t="s">
        <v>20</v>
      </c>
      <c r="H722" s="2" t="s">
        <v>42</v>
      </c>
      <c r="I722" s="2" t="s">
        <v>92</v>
      </c>
      <c r="J722" s="2" t="s">
        <v>23</v>
      </c>
      <c r="K722" s="2" t="s">
        <v>117</v>
      </c>
      <c r="L722" s="2" t="s">
        <v>25</v>
      </c>
      <c r="M722" s="2" t="s">
        <v>26</v>
      </c>
      <c r="N722" s="2" t="s">
        <v>27</v>
      </c>
      <c r="O722" s="1">
        <v>42332</v>
      </c>
      <c r="P722" s="3">
        <v>39.64</v>
      </c>
      <c r="Q722" s="3">
        <v>152.47999999999999</v>
      </c>
      <c r="R722" s="3">
        <f t="shared" si="67"/>
        <v>112.83999999999999</v>
      </c>
      <c r="S722" s="2">
        <v>17</v>
      </c>
      <c r="T722" s="3">
        <f t="shared" si="68"/>
        <v>2592.16</v>
      </c>
      <c r="U722" s="4">
        <v>0.04</v>
      </c>
      <c r="V722" s="6">
        <f t="shared" si="69"/>
        <v>103.68639999999999</v>
      </c>
      <c r="W722" s="6">
        <f t="shared" si="70"/>
        <v>2488.4735999999998</v>
      </c>
      <c r="X722" s="3">
        <v>6.5</v>
      </c>
      <c r="Y722" s="5">
        <f t="shared" si="71"/>
        <v>2494.9735999999998</v>
      </c>
    </row>
    <row r="723" spans="1:25" x14ac:dyDescent="0.2">
      <c r="A723" t="s">
        <v>1597</v>
      </c>
      <c r="B723" s="1">
        <v>42336</v>
      </c>
      <c r="C723" s="2" t="str">
        <f t="shared" si="66"/>
        <v>2015</v>
      </c>
      <c r="D723" s="2" t="s">
        <v>335</v>
      </c>
      <c r="E723" s="2" t="s">
        <v>336</v>
      </c>
      <c r="F723" s="2" t="s">
        <v>36</v>
      </c>
      <c r="G723" s="2" t="s">
        <v>37</v>
      </c>
      <c r="H723" s="2" t="s">
        <v>42</v>
      </c>
      <c r="I723" s="2" t="s">
        <v>79</v>
      </c>
      <c r="J723" s="2" t="s">
        <v>66</v>
      </c>
      <c r="K723" s="2" t="s">
        <v>509</v>
      </c>
      <c r="L723" s="2" t="s">
        <v>32</v>
      </c>
      <c r="M723" s="2" t="s">
        <v>33</v>
      </c>
      <c r="N723" s="2" t="s">
        <v>27</v>
      </c>
      <c r="O723" s="1">
        <v>42338</v>
      </c>
      <c r="P723" s="3">
        <v>3.88</v>
      </c>
      <c r="Q723" s="3">
        <v>6.47</v>
      </c>
      <c r="R723" s="3">
        <f t="shared" si="67"/>
        <v>2.59</v>
      </c>
      <c r="S723" s="2">
        <v>16</v>
      </c>
      <c r="T723" s="3">
        <f t="shared" si="68"/>
        <v>103.52</v>
      </c>
      <c r="U723" s="4">
        <v>0.01</v>
      </c>
      <c r="V723" s="6">
        <f t="shared" si="69"/>
        <v>1.0351999999999999</v>
      </c>
      <c r="W723" s="6">
        <f t="shared" si="70"/>
        <v>102.48479999999999</v>
      </c>
      <c r="X723" s="3">
        <v>1.22</v>
      </c>
      <c r="Y723" s="5">
        <f t="shared" si="71"/>
        <v>103.70479999999999</v>
      </c>
    </row>
    <row r="724" spans="1:25" x14ac:dyDescent="0.2">
      <c r="A724" t="s">
        <v>1598</v>
      </c>
      <c r="B724" s="1">
        <v>42338</v>
      </c>
      <c r="C724" s="2" t="str">
        <f t="shared" si="66"/>
        <v>2015</v>
      </c>
      <c r="D724" s="2" t="s">
        <v>506</v>
      </c>
      <c r="E724" s="2" t="s">
        <v>166</v>
      </c>
      <c r="F724" s="2" t="s">
        <v>19</v>
      </c>
      <c r="G724" s="2" t="s">
        <v>20</v>
      </c>
      <c r="H724" s="2" t="s">
        <v>50</v>
      </c>
      <c r="I724" s="2" t="s">
        <v>92</v>
      </c>
      <c r="J724" s="2" t="s">
        <v>44</v>
      </c>
      <c r="K724" s="2" t="s">
        <v>507</v>
      </c>
      <c r="L724" s="2" t="s">
        <v>32</v>
      </c>
      <c r="M724" s="2" t="s">
        <v>26</v>
      </c>
      <c r="N724" s="2" t="s">
        <v>27</v>
      </c>
      <c r="O724" s="1">
        <v>42339</v>
      </c>
      <c r="P724" s="3">
        <v>36.020000000000003</v>
      </c>
      <c r="Q724" s="3">
        <v>58.1</v>
      </c>
      <c r="R724" s="3">
        <f t="shared" si="67"/>
        <v>22.08</v>
      </c>
      <c r="S724" s="2">
        <v>27</v>
      </c>
      <c r="T724" s="3">
        <f t="shared" si="68"/>
        <v>1568.7</v>
      </c>
      <c r="U724" s="4">
        <v>7.0000000000000007E-2</v>
      </c>
      <c r="V724" s="6">
        <f t="shared" si="69"/>
        <v>109.80900000000001</v>
      </c>
      <c r="W724" s="6">
        <f t="shared" si="70"/>
        <v>1458.8910000000001</v>
      </c>
      <c r="X724" s="3">
        <v>1.49</v>
      </c>
      <c r="Y724" s="5">
        <f t="shared" si="71"/>
        <v>1460.3810000000001</v>
      </c>
    </row>
    <row r="725" spans="1:25" x14ac:dyDescent="0.2">
      <c r="A725" t="s">
        <v>1599</v>
      </c>
      <c r="B725" s="1">
        <v>42338</v>
      </c>
      <c r="C725" s="2" t="str">
        <f t="shared" si="66"/>
        <v>2015</v>
      </c>
      <c r="D725" s="2" t="s">
        <v>508</v>
      </c>
      <c r="E725" s="2" t="s">
        <v>313</v>
      </c>
      <c r="F725" s="2" t="s">
        <v>36</v>
      </c>
      <c r="G725" s="2" t="s">
        <v>37</v>
      </c>
      <c r="H725" s="2" t="s">
        <v>50</v>
      </c>
      <c r="I725" s="2" t="s">
        <v>75</v>
      </c>
      <c r="J725" s="2" t="s">
        <v>52</v>
      </c>
      <c r="K725" s="2" t="s">
        <v>491</v>
      </c>
      <c r="L725" s="2" t="s">
        <v>32</v>
      </c>
      <c r="M725" s="2" t="s">
        <v>33</v>
      </c>
      <c r="N725" s="2" t="s">
        <v>27</v>
      </c>
      <c r="O725" s="1">
        <v>42339</v>
      </c>
      <c r="P725" s="3">
        <v>4.37</v>
      </c>
      <c r="Q725" s="3">
        <v>9.11</v>
      </c>
      <c r="R725" s="3">
        <f t="shared" si="67"/>
        <v>4.7399999999999993</v>
      </c>
      <c r="S725" s="2">
        <v>30</v>
      </c>
      <c r="T725" s="3">
        <f t="shared" si="68"/>
        <v>273.29999999999995</v>
      </c>
      <c r="U725" s="4">
        <v>0.03</v>
      </c>
      <c r="V725" s="6">
        <f t="shared" si="69"/>
        <v>8.1989999999999981</v>
      </c>
      <c r="W725" s="6">
        <f t="shared" si="70"/>
        <v>265.10099999999994</v>
      </c>
      <c r="X725" s="3">
        <v>2.25</v>
      </c>
      <c r="Y725" s="5">
        <f t="shared" si="71"/>
        <v>267.35099999999994</v>
      </c>
    </row>
    <row r="726" spans="1:25" x14ac:dyDescent="0.2">
      <c r="A726" t="s">
        <v>1600</v>
      </c>
      <c r="B726" s="1">
        <v>42342</v>
      </c>
      <c r="C726" s="2" t="str">
        <f t="shared" si="66"/>
        <v>2015</v>
      </c>
      <c r="D726" s="2" t="s">
        <v>362</v>
      </c>
      <c r="E726" s="2" t="s">
        <v>363</v>
      </c>
      <c r="F726" s="2" t="s">
        <v>36</v>
      </c>
      <c r="G726" s="2" t="s">
        <v>37</v>
      </c>
      <c r="H726" s="2" t="s">
        <v>42</v>
      </c>
      <c r="I726" s="2" t="s">
        <v>153</v>
      </c>
      <c r="J726" s="2" t="s">
        <v>44</v>
      </c>
      <c r="K726" s="2" t="s">
        <v>108</v>
      </c>
      <c r="L726" s="2" t="s">
        <v>32</v>
      </c>
      <c r="M726" s="2" t="s">
        <v>26</v>
      </c>
      <c r="N726" s="2" t="s">
        <v>27</v>
      </c>
      <c r="O726" s="1">
        <v>42343</v>
      </c>
      <c r="P726" s="3">
        <v>1.84</v>
      </c>
      <c r="Q726" s="3">
        <v>2.88</v>
      </c>
      <c r="R726" s="3">
        <f t="shared" si="67"/>
        <v>1.0399999999999998</v>
      </c>
      <c r="S726" s="2">
        <v>28</v>
      </c>
      <c r="T726" s="3">
        <f t="shared" si="68"/>
        <v>80.64</v>
      </c>
      <c r="U726" s="4">
        <v>0.1</v>
      </c>
      <c r="V726" s="6">
        <f t="shared" si="69"/>
        <v>8.0640000000000001</v>
      </c>
      <c r="W726" s="6">
        <f t="shared" si="70"/>
        <v>72.575999999999993</v>
      </c>
      <c r="X726" s="3">
        <v>0.99</v>
      </c>
      <c r="Y726" s="5">
        <f t="shared" si="71"/>
        <v>73.565999999999988</v>
      </c>
    </row>
    <row r="727" spans="1:25" x14ac:dyDescent="0.2">
      <c r="A727" t="s">
        <v>1601</v>
      </c>
      <c r="B727" s="1">
        <v>42344</v>
      </c>
      <c r="C727" s="2" t="str">
        <f t="shared" si="66"/>
        <v>2015</v>
      </c>
      <c r="D727" s="2" t="s">
        <v>504</v>
      </c>
      <c r="E727" s="2" t="s">
        <v>271</v>
      </c>
      <c r="F727" s="2" t="s">
        <v>36</v>
      </c>
      <c r="G727" s="2" t="s">
        <v>37</v>
      </c>
      <c r="H727" s="2" t="s">
        <v>50</v>
      </c>
      <c r="I727" s="2" t="s">
        <v>102</v>
      </c>
      <c r="J727" s="2" t="s">
        <v>23</v>
      </c>
      <c r="K727" s="2" t="s">
        <v>125</v>
      </c>
      <c r="L727" s="2" t="s">
        <v>32</v>
      </c>
      <c r="M727" s="2" t="s">
        <v>33</v>
      </c>
      <c r="N727" s="2" t="s">
        <v>27</v>
      </c>
      <c r="O727" s="1">
        <v>42346</v>
      </c>
      <c r="P727" s="3">
        <v>1.17</v>
      </c>
      <c r="Q727" s="3">
        <v>2.78</v>
      </c>
      <c r="R727" s="3">
        <f t="shared" si="67"/>
        <v>1.6099999999999999</v>
      </c>
      <c r="S727" s="2">
        <v>39</v>
      </c>
      <c r="T727" s="3">
        <f t="shared" si="68"/>
        <v>108.41999999999999</v>
      </c>
      <c r="U727" s="4">
        <v>0.05</v>
      </c>
      <c r="V727" s="6">
        <f t="shared" si="69"/>
        <v>5.4209999999999994</v>
      </c>
      <c r="W727" s="6">
        <f t="shared" si="70"/>
        <v>102.999</v>
      </c>
      <c r="X727" s="3">
        <v>1.2</v>
      </c>
      <c r="Y727" s="5">
        <f t="shared" si="71"/>
        <v>104.199</v>
      </c>
    </row>
    <row r="728" spans="1:25" x14ac:dyDescent="0.2">
      <c r="A728" t="s">
        <v>1602</v>
      </c>
      <c r="B728" s="1">
        <v>42344</v>
      </c>
      <c r="C728" s="2" t="str">
        <f t="shared" si="66"/>
        <v>2015</v>
      </c>
      <c r="D728" s="2" t="s">
        <v>505</v>
      </c>
      <c r="E728" s="2" t="s">
        <v>60</v>
      </c>
      <c r="F728" s="2" t="s">
        <v>36</v>
      </c>
      <c r="G728" s="2" t="s">
        <v>37</v>
      </c>
      <c r="H728" s="2" t="s">
        <v>50</v>
      </c>
      <c r="I728" s="2" t="s">
        <v>56</v>
      </c>
      <c r="J728" s="2" t="s">
        <v>52</v>
      </c>
      <c r="K728" s="2" t="s">
        <v>120</v>
      </c>
      <c r="L728" s="2" t="s">
        <v>32</v>
      </c>
      <c r="M728" s="2" t="s">
        <v>26</v>
      </c>
      <c r="N728" s="2" t="s">
        <v>27</v>
      </c>
      <c r="O728" s="1">
        <v>42345</v>
      </c>
      <c r="P728" s="3">
        <v>1.18</v>
      </c>
      <c r="Q728" s="3">
        <v>1.88</v>
      </c>
      <c r="R728" s="3">
        <f t="shared" si="67"/>
        <v>0.7</v>
      </c>
      <c r="S728" s="2">
        <v>20</v>
      </c>
      <c r="T728" s="3">
        <f t="shared" si="68"/>
        <v>37.599999999999994</v>
      </c>
      <c r="U728" s="4">
        <v>7.0000000000000007E-2</v>
      </c>
      <c r="V728" s="6">
        <f t="shared" si="69"/>
        <v>2.6319999999999997</v>
      </c>
      <c r="W728" s="6">
        <f t="shared" si="70"/>
        <v>34.967999999999996</v>
      </c>
      <c r="X728" s="3">
        <v>1.49</v>
      </c>
      <c r="Y728" s="5">
        <f t="shared" si="71"/>
        <v>36.457999999999998</v>
      </c>
    </row>
    <row r="729" spans="1:25" x14ac:dyDescent="0.2">
      <c r="A729" t="s">
        <v>1603</v>
      </c>
      <c r="B729" s="1">
        <v>42346</v>
      </c>
      <c r="C729" s="2" t="str">
        <f t="shared" si="66"/>
        <v>2015</v>
      </c>
      <c r="D729" s="2" t="s">
        <v>291</v>
      </c>
      <c r="E729" s="2" t="s">
        <v>1890</v>
      </c>
      <c r="F729" s="2" t="s">
        <v>1881</v>
      </c>
      <c r="G729" s="2" t="s">
        <v>1882</v>
      </c>
      <c r="H729" s="2" t="s">
        <v>50</v>
      </c>
      <c r="I729" s="2" t="s">
        <v>51</v>
      </c>
      <c r="J729" s="2" t="s">
        <v>23</v>
      </c>
      <c r="K729" s="2" t="s">
        <v>116</v>
      </c>
      <c r="L729" s="2" t="s">
        <v>32</v>
      </c>
      <c r="M729" s="2" t="s">
        <v>33</v>
      </c>
      <c r="N729" s="2" t="s">
        <v>27</v>
      </c>
      <c r="O729" s="1">
        <v>42350</v>
      </c>
      <c r="P729" s="3">
        <v>1.6</v>
      </c>
      <c r="Q729" s="3">
        <v>2.62</v>
      </c>
      <c r="R729" s="3">
        <f t="shared" si="67"/>
        <v>1.02</v>
      </c>
      <c r="S729" s="2">
        <v>26</v>
      </c>
      <c r="T729" s="3">
        <f t="shared" si="68"/>
        <v>68.12</v>
      </c>
      <c r="U729" s="4">
        <v>0.08</v>
      </c>
      <c r="V729" s="6">
        <f t="shared" si="69"/>
        <v>5.4496000000000002</v>
      </c>
      <c r="W729" s="6">
        <f t="shared" si="70"/>
        <v>62.670400000000001</v>
      </c>
      <c r="X729" s="3">
        <v>0.8</v>
      </c>
      <c r="Y729" s="5">
        <f t="shared" si="71"/>
        <v>63.470399999999998</v>
      </c>
    </row>
    <row r="730" spans="1:25" x14ac:dyDescent="0.2">
      <c r="A730" t="s">
        <v>1604</v>
      </c>
      <c r="B730" s="1">
        <v>42347</v>
      </c>
      <c r="C730" s="2" t="str">
        <f t="shared" si="66"/>
        <v>2015</v>
      </c>
      <c r="D730" s="2" t="s">
        <v>502</v>
      </c>
      <c r="E730" s="2" t="s">
        <v>46</v>
      </c>
      <c r="F730" s="2" t="s">
        <v>19</v>
      </c>
      <c r="G730" s="2" t="s">
        <v>20</v>
      </c>
      <c r="H730" s="2" t="s">
        <v>50</v>
      </c>
      <c r="I730" s="2" t="s">
        <v>22</v>
      </c>
      <c r="J730" s="2" t="s">
        <v>44</v>
      </c>
      <c r="K730" s="2" t="s">
        <v>163</v>
      </c>
      <c r="L730" s="2" t="s">
        <v>32</v>
      </c>
      <c r="M730" s="2" t="s">
        <v>33</v>
      </c>
      <c r="N730" s="2" t="s">
        <v>27</v>
      </c>
      <c r="O730" s="1">
        <v>42347</v>
      </c>
      <c r="P730" s="3">
        <v>1.0900000000000001</v>
      </c>
      <c r="Q730" s="3">
        <v>2.6</v>
      </c>
      <c r="R730" s="3">
        <f t="shared" si="67"/>
        <v>1.51</v>
      </c>
      <c r="S730" s="2">
        <v>14</v>
      </c>
      <c r="T730" s="3">
        <f t="shared" si="68"/>
        <v>36.4</v>
      </c>
      <c r="U730" s="4">
        <v>0.08</v>
      </c>
      <c r="V730" s="6">
        <f t="shared" si="69"/>
        <v>2.9119999999999999</v>
      </c>
      <c r="W730" s="6">
        <f t="shared" si="70"/>
        <v>33.488</v>
      </c>
      <c r="X730" s="3">
        <v>2.4</v>
      </c>
      <c r="Y730" s="5">
        <f t="shared" si="71"/>
        <v>35.887999999999998</v>
      </c>
    </row>
    <row r="731" spans="1:25" x14ac:dyDescent="0.2">
      <c r="A731" t="s">
        <v>1605</v>
      </c>
      <c r="B731" s="1">
        <v>42347</v>
      </c>
      <c r="C731" s="2" t="str">
        <f t="shared" si="66"/>
        <v>2015</v>
      </c>
      <c r="D731" s="2" t="s">
        <v>331</v>
      </c>
      <c r="E731" s="2" t="s">
        <v>46</v>
      </c>
      <c r="F731" s="2" t="s">
        <v>19</v>
      </c>
      <c r="G731" s="2" t="s">
        <v>20</v>
      </c>
      <c r="H731" s="2" t="s">
        <v>21</v>
      </c>
      <c r="I731" s="2" t="s">
        <v>22</v>
      </c>
      <c r="J731" s="2" t="s">
        <v>30</v>
      </c>
      <c r="K731" s="2" t="s">
        <v>503</v>
      </c>
      <c r="L731" s="2" t="s">
        <v>32</v>
      </c>
      <c r="M731" s="2" t="s">
        <v>33</v>
      </c>
      <c r="N731" s="2" t="s">
        <v>89</v>
      </c>
      <c r="O731" s="1">
        <v>42348</v>
      </c>
      <c r="P731" s="3">
        <v>0.32</v>
      </c>
      <c r="Q731" s="3">
        <v>1.68</v>
      </c>
      <c r="R731" s="3">
        <f t="shared" si="67"/>
        <v>1.3599999999999999</v>
      </c>
      <c r="S731" s="2">
        <v>6</v>
      </c>
      <c r="T731" s="3">
        <f t="shared" si="68"/>
        <v>10.08</v>
      </c>
      <c r="U731" s="4">
        <v>0.05</v>
      </c>
      <c r="V731" s="6">
        <f t="shared" si="69"/>
        <v>0.504</v>
      </c>
      <c r="W731" s="6">
        <f t="shared" si="70"/>
        <v>9.5760000000000005</v>
      </c>
      <c r="X731" s="3">
        <v>1.02</v>
      </c>
      <c r="Y731" s="5">
        <f t="shared" si="71"/>
        <v>10.596</v>
      </c>
    </row>
    <row r="732" spans="1:25" x14ac:dyDescent="0.2">
      <c r="A732" t="s">
        <v>917</v>
      </c>
      <c r="B732" s="1">
        <v>42354</v>
      </c>
      <c r="C732" s="2" t="str">
        <f t="shared" si="66"/>
        <v>2015</v>
      </c>
      <c r="D732" s="2" t="s">
        <v>499</v>
      </c>
      <c r="E732" s="2" t="s">
        <v>1889</v>
      </c>
      <c r="F732" s="2" t="s">
        <v>1881</v>
      </c>
      <c r="G732" s="2" t="s">
        <v>1882</v>
      </c>
      <c r="H732" s="2" t="s">
        <v>21</v>
      </c>
      <c r="I732" s="2" t="s">
        <v>51</v>
      </c>
      <c r="J732" s="2" t="s">
        <v>66</v>
      </c>
      <c r="K732" s="2" t="s">
        <v>24</v>
      </c>
      <c r="L732" s="2" t="s">
        <v>25</v>
      </c>
      <c r="M732" s="2" t="s">
        <v>26</v>
      </c>
      <c r="N732" s="2" t="s">
        <v>89</v>
      </c>
      <c r="O732" s="1">
        <v>42356</v>
      </c>
      <c r="P732" s="3">
        <v>6.39</v>
      </c>
      <c r="Q732" s="3">
        <v>19.98</v>
      </c>
      <c r="R732" s="3">
        <f t="shared" si="67"/>
        <v>13.59</v>
      </c>
      <c r="S732" s="2">
        <v>18</v>
      </c>
      <c r="T732" s="3">
        <f t="shared" si="68"/>
        <v>359.64</v>
      </c>
      <c r="U732" s="4">
        <v>0.04</v>
      </c>
      <c r="V732" s="6">
        <f t="shared" si="69"/>
        <v>14.3856</v>
      </c>
      <c r="W732" s="6">
        <f t="shared" si="70"/>
        <v>345.25439999999998</v>
      </c>
      <c r="X732" s="3">
        <v>4</v>
      </c>
      <c r="Y732" s="5">
        <f t="shared" si="71"/>
        <v>349.25439999999998</v>
      </c>
    </row>
    <row r="733" spans="1:25" x14ac:dyDescent="0.2">
      <c r="A733" t="s">
        <v>918</v>
      </c>
      <c r="B733" s="1">
        <v>42354</v>
      </c>
      <c r="C733" s="2" t="str">
        <f t="shared" si="66"/>
        <v>2015</v>
      </c>
      <c r="D733" s="2" t="s">
        <v>499</v>
      </c>
      <c r="E733" s="2" t="s">
        <v>1889</v>
      </c>
      <c r="F733" s="2" t="s">
        <v>1881</v>
      </c>
      <c r="G733" s="2" t="s">
        <v>1882</v>
      </c>
      <c r="H733" s="2" t="s">
        <v>21</v>
      </c>
      <c r="I733" s="2" t="s">
        <v>51</v>
      </c>
      <c r="J733" s="2" t="s">
        <v>66</v>
      </c>
      <c r="K733" s="2" t="s">
        <v>167</v>
      </c>
      <c r="L733" s="2" t="s">
        <v>32</v>
      </c>
      <c r="M733" s="2" t="s">
        <v>26</v>
      </c>
      <c r="N733" s="2" t="s">
        <v>27</v>
      </c>
      <c r="O733" s="1">
        <v>42356</v>
      </c>
      <c r="P733" s="3">
        <v>14.95</v>
      </c>
      <c r="Q733" s="3">
        <v>34.76</v>
      </c>
      <c r="R733" s="3">
        <f t="shared" si="67"/>
        <v>19.809999999999999</v>
      </c>
      <c r="S733" s="2">
        <v>46</v>
      </c>
      <c r="T733" s="3">
        <f t="shared" si="68"/>
        <v>1598.9599999999998</v>
      </c>
      <c r="U733" s="4">
        <v>0.09</v>
      </c>
      <c r="V733" s="6">
        <f t="shared" si="69"/>
        <v>143.90639999999999</v>
      </c>
      <c r="W733" s="6">
        <f t="shared" si="70"/>
        <v>1455.0535999999997</v>
      </c>
      <c r="X733" s="3">
        <v>8.2200000000000006</v>
      </c>
      <c r="Y733" s="5">
        <f t="shared" si="71"/>
        <v>1463.2735999999998</v>
      </c>
    </row>
    <row r="734" spans="1:25" x14ac:dyDescent="0.2">
      <c r="A734" t="s">
        <v>1606</v>
      </c>
      <c r="B734" s="1">
        <v>42354</v>
      </c>
      <c r="C734" s="2" t="str">
        <f t="shared" si="66"/>
        <v>2015</v>
      </c>
      <c r="D734" s="2" t="s">
        <v>500</v>
      </c>
      <c r="E734" s="2" t="s">
        <v>185</v>
      </c>
      <c r="F734" s="2" t="s">
        <v>36</v>
      </c>
      <c r="G734" s="2" t="s">
        <v>37</v>
      </c>
      <c r="H734" s="2" t="s">
        <v>29</v>
      </c>
      <c r="I734" s="2" t="s">
        <v>153</v>
      </c>
      <c r="J734" s="2" t="s">
        <v>30</v>
      </c>
      <c r="K734" s="2" t="s">
        <v>375</v>
      </c>
      <c r="L734" s="2" t="s">
        <v>32</v>
      </c>
      <c r="M734" s="2" t="s">
        <v>26</v>
      </c>
      <c r="N734" s="2" t="s">
        <v>27</v>
      </c>
      <c r="O734" s="1">
        <v>42355</v>
      </c>
      <c r="P734" s="3">
        <v>99.39</v>
      </c>
      <c r="Q734" s="3">
        <v>162.93</v>
      </c>
      <c r="R734" s="3">
        <f t="shared" si="67"/>
        <v>63.540000000000006</v>
      </c>
      <c r="S734" s="2">
        <v>41</v>
      </c>
      <c r="T734" s="3">
        <f t="shared" si="68"/>
        <v>6680.13</v>
      </c>
      <c r="U734" s="4">
        <v>0.01</v>
      </c>
      <c r="V734" s="6">
        <f t="shared" si="69"/>
        <v>66.801299999999998</v>
      </c>
      <c r="W734" s="6">
        <f t="shared" si="70"/>
        <v>6613.3287</v>
      </c>
      <c r="X734" s="3">
        <v>19.989999999999998</v>
      </c>
      <c r="Y734" s="5">
        <f t="shared" si="71"/>
        <v>6633.3186999999998</v>
      </c>
    </row>
    <row r="735" spans="1:25" x14ac:dyDescent="0.2">
      <c r="A735" t="s">
        <v>1607</v>
      </c>
      <c r="B735" s="1">
        <v>42357</v>
      </c>
      <c r="C735" s="2" t="str">
        <f t="shared" si="66"/>
        <v>2015</v>
      </c>
      <c r="D735" s="2" t="s">
        <v>497</v>
      </c>
      <c r="E735" s="2" t="s">
        <v>498</v>
      </c>
      <c r="F735" s="2" t="s">
        <v>19</v>
      </c>
      <c r="G735" s="2" t="s">
        <v>20</v>
      </c>
      <c r="H735" s="2" t="s">
        <v>21</v>
      </c>
      <c r="I735" s="2" t="s">
        <v>92</v>
      </c>
      <c r="J735" s="2" t="s">
        <v>52</v>
      </c>
      <c r="K735" s="2" t="s">
        <v>316</v>
      </c>
      <c r="L735" s="2" t="s">
        <v>32</v>
      </c>
      <c r="M735" s="2" t="s">
        <v>33</v>
      </c>
      <c r="N735" s="2" t="s">
        <v>27</v>
      </c>
      <c r="O735" s="1">
        <v>42359</v>
      </c>
      <c r="P735" s="3">
        <v>3.32</v>
      </c>
      <c r="Q735" s="3">
        <v>5.18</v>
      </c>
      <c r="R735" s="3">
        <f t="shared" si="67"/>
        <v>1.8599999999999999</v>
      </c>
      <c r="S735" s="2">
        <v>25</v>
      </c>
      <c r="T735" s="3">
        <f t="shared" si="68"/>
        <v>129.5</v>
      </c>
      <c r="U735" s="4">
        <v>0.1</v>
      </c>
      <c r="V735" s="6">
        <f t="shared" si="69"/>
        <v>12.950000000000001</v>
      </c>
      <c r="W735" s="6">
        <f t="shared" si="70"/>
        <v>116.55</v>
      </c>
      <c r="X735" s="3">
        <v>2.04</v>
      </c>
      <c r="Y735" s="5">
        <f t="shared" si="71"/>
        <v>118.59</v>
      </c>
    </row>
    <row r="736" spans="1:25" x14ac:dyDescent="0.2">
      <c r="A736" t="s">
        <v>1608</v>
      </c>
      <c r="B736" s="1">
        <v>42357</v>
      </c>
      <c r="C736" s="2" t="str">
        <f t="shared" si="66"/>
        <v>2015</v>
      </c>
      <c r="D736" s="2" t="s">
        <v>487</v>
      </c>
      <c r="E736" s="2" t="s">
        <v>95</v>
      </c>
      <c r="F736" s="2" t="s">
        <v>36</v>
      </c>
      <c r="G736" s="2" t="s">
        <v>37</v>
      </c>
      <c r="H736" s="2" t="s">
        <v>50</v>
      </c>
      <c r="I736" s="2" t="s">
        <v>96</v>
      </c>
      <c r="J736" s="2" t="s">
        <v>66</v>
      </c>
      <c r="K736" s="2" t="s">
        <v>247</v>
      </c>
      <c r="L736" s="2" t="s">
        <v>32</v>
      </c>
      <c r="M736" s="2" t="s">
        <v>26</v>
      </c>
      <c r="N736" s="2" t="s">
        <v>27</v>
      </c>
      <c r="O736" s="1">
        <v>42359</v>
      </c>
      <c r="P736" s="3">
        <v>4.46</v>
      </c>
      <c r="Q736" s="3">
        <v>10.89</v>
      </c>
      <c r="R736" s="3">
        <f t="shared" si="67"/>
        <v>6.4300000000000006</v>
      </c>
      <c r="S736" s="2">
        <v>30</v>
      </c>
      <c r="T736" s="3">
        <f t="shared" si="68"/>
        <v>326.70000000000005</v>
      </c>
      <c r="U736" s="4">
        <v>0.08</v>
      </c>
      <c r="V736" s="6">
        <f t="shared" si="69"/>
        <v>26.136000000000003</v>
      </c>
      <c r="W736" s="6">
        <f t="shared" si="70"/>
        <v>300.56400000000002</v>
      </c>
      <c r="X736" s="3">
        <v>4.5</v>
      </c>
      <c r="Y736" s="5">
        <f t="shared" si="71"/>
        <v>305.06400000000002</v>
      </c>
    </row>
    <row r="737" spans="1:25" x14ac:dyDescent="0.2">
      <c r="A737" t="s">
        <v>1609</v>
      </c>
      <c r="B737" s="1">
        <v>42360</v>
      </c>
      <c r="C737" s="2" t="str">
        <f t="shared" si="66"/>
        <v>2015</v>
      </c>
      <c r="D737" s="2" t="s">
        <v>219</v>
      </c>
      <c r="E737" s="2" t="s">
        <v>1891</v>
      </c>
      <c r="F737" s="2" t="s">
        <v>1881</v>
      </c>
      <c r="G737" s="2" t="s">
        <v>1882</v>
      </c>
      <c r="H737" s="2" t="s">
        <v>21</v>
      </c>
      <c r="I737" s="2" t="s">
        <v>124</v>
      </c>
      <c r="J737" s="2" t="s">
        <v>52</v>
      </c>
      <c r="K737" s="2" t="s">
        <v>319</v>
      </c>
      <c r="L737" s="2" t="s">
        <v>25</v>
      </c>
      <c r="M737" s="2" t="s">
        <v>26</v>
      </c>
      <c r="N737" s="2" t="s">
        <v>27</v>
      </c>
      <c r="O737" s="1">
        <v>42362</v>
      </c>
      <c r="P737" s="3">
        <v>19.78</v>
      </c>
      <c r="Q737" s="3">
        <v>45.99</v>
      </c>
      <c r="R737" s="3">
        <f t="shared" si="67"/>
        <v>26.21</v>
      </c>
      <c r="S737" s="2">
        <v>11</v>
      </c>
      <c r="T737" s="3">
        <f t="shared" si="68"/>
        <v>505.89000000000004</v>
      </c>
      <c r="U737" s="4">
        <v>7.0000000000000007E-2</v>
      </c>
      <c r="V737" s="6">
        <f t="shared" si="69"/>
        <v>35.412300000000009</v>
      </c>
      <c r="W737" s="6">
        <f t="shared" si="70"/>
        <v>470.47770000000003</v>
      </c>
      <c r="X737" s="3">
        <v>4.99</v>
      </c>
      <c r="Y737" s="5">
        <f t="shared" si="71"/>
        <v>475.46770000000004</v>
      </c>
    </row>
    <row r="738" spans="1:25" x14ac:dyDescent="0.2">
      <c r="A738" t="s">
        <v>1610</v>
      </c>
      <c r="B738" s="1">
        <v>42362</v>
      </c>
      <c r="C738" s="2" t="str">
        <f t="shared" si="66"/>
        <v>2015</v>
      </c>
      <c r="D738" s="2" t="s">
        <v>496</v>
      </c>
      <c r="E738" s="2" t="s">
        <v>185</v>
      </c>
      <c r="F738" s="2" t="s">
        <v>36</v>
      </c>
      <c r="G738" s="2" t="s">
        <v>37</v>
      </c>
      <c r="H738" s="2" t="s">
        <v>50</v>
      </c>
      <c r="I738" s="2" t="s">
        <v>153</v>
      </c>
      <c r="J738" s="2" t="s">
        <v>66</v>
      </c>
      <c r="K738" s="2" t="s">
        <v>120</v>
      </c>
      <c r="L738" s="2" t="s">
        <v>32</v>
      </c>
      <c r="M738" s="2" t="s">
        <v>26</v>
      </c>
      <c r="N738" s="2" t="s">
        <v>27</v>
      </c>
      <c r="O738" s="1">
        <v>42364</v>
      </c>
      <c r="P738" s="3">
        <v>1.18</v>
      </c>
      <c r="Q738" s="3">
        <v>1.88</v>
      </c>
      <c r="R738" s="3">
        <f t="shared" si="67"/>
        <v>0.7</v>
      </c>
      <c r="S738" s="2">
        <v>39</v>
      </c>
      <c r="T738" s="3">
        <f t="shared" si="68"/>
        <v>73.319999999999993</v>
      </c>
      <c r="U738" s="4">
        <v>7.0000000000000007E-2</v>
      </c>
      <c r="V738" s="6">
        <f t="shared" si="69"/>
        <v>5.1323999999999996</v>
      </c>
      <c r="W738" s="6">
        <f t="shared" si="70"/>
        <v>68.187599999999989</v>
      </c>
      <c r="X738" s="3">
        <v>1.49</v>
      </c>
      <c r="Y738" s="5">
        <f t="shared" si="71"/>
        <v>69.677599999999984</v>
      </c>
    </row>
    <row r="739" spans="1:25" x14ac:dyDescent="0.2">
      <c r="A739" t="s">
        <v>1611</v>
      </c>
      <c r="B739" s="1">
        <v>42363</v>
      </c>
      <c r="C739" s="2" t="str">
        <f t="shared" si="66"/>
        <v>2015</v>
      </c>
      <c r="D739" s="2" t="s">
        <v>494</v>
      </c>
      <c r="E739" s="2" t="s">
        <v>1920</v>
      </c>
      <c r="F739" s="2" t="s">
        <v>36</v>
      </c>
      <c r="G739" s="2" t="s">
        <v>37</v>
      </c>
      <c r="H739" s="2" t="s">
        <v>50</v>
      </c>
      <c r="I739" s="2" t="s">
        <v>79</v>
      </c>
      <c r="J739" s="2" t="s">
        <v>23</v>
      </c>
      <c r="K739" s="2" t="s">
        <v>322</v>
      </c>
      <c r="L739" s="2" t="s">
        <v>25</v>
      </c>
      <c r="M739" s="2" t="s">
        <v>261</v>
      </c>
      <c r="N739" s="2" t="s">
        <v>27</v>
      </c>
      <c r="O739" s="1">
        <v>42370</v>
      </c>
      <c r="P739" s="3">
        <v>377.99</v>
      </c>
      <c r="Q739" s="3">
        <v>599.99</v>
      </c>
      <c r="R739" s="3">
        <f t="shared" si="67"/>
        <v>222</v>
      </c>
      <c r="S739" s="2">
        <v>17</v>
      </c>
      <c r="T739" s="3">
        <f t="shared" si="68"/>
        <v>10199.83</v>
      </c>
      <c r="U739" s="4">
        <v>0.08</v>
      </c>
      <c r="V739" s="6">
        <f t="shared" si="69"/>
        <v>815.9864</v>
      </c>
      <c r="W739" s="6">
        <f t="shared" si="70"/>
        <v>9383.8436000000002</v>
      </c>
      <c r="X739" s="3">
        <v>24.49</v>
      </c>
      <c r="Y739" s="5">
        <f t="shared" si="71"/>
        <v>9408.3335999999999</v>
      </c>
    </row>
    <row r="740" spans="1:25" x14ac:dyDescent="0.2">
      <c r="A740" t="s">
        <v>1612</v>
      </c>
      <c r="B740" s="1">
        <v>42363</v>
      </c>
      <c r="C740" s="2" t="str">
        <f t="shared" si="66"/>
        <v>2015</v>
      </c>
      <c r="D740" s="2" t="s">
        <v>495</v>
      </c>
      <c r="E740" s="2" t="s">
        <v>194</v>
      </c>
      <c r="F740" s="2" t="s">
        <v>36</v>
      </c>
      <c r="G740" s="2" t="s">
        <v>37</v>
      </c>
      <c r="H740" s="2" t="s">
        <v>50</v>
      </c>
      <c r="I740" s="2" t="s">
        <v>51</v>
      </c>
      <c r="J740" s="2" t="s">
        <v>44</v>
      </c>
      <c r="K740" s="2" t="s">
        <v>355</v>
      </c>
      <c r="L740" s="2" t="s">
        <v>32</v>
      </c>
      <c r="M740" s="2" t="s">
        <v>33</v>
      </c>
      <c r="N740" s="2" t="s">
        <v>27</v>
      </c>
      <c r="O740" s="1">
        <v>42364</v>
      </c>
      <c r="P740" s="3">
        <v>1.0900000000000001</v>
      </c>
      <c r="Q740" s="3">
        <v>1.68</v>
      </c>
      <c r="R740" s="3">
        <f t="shared" si="67"/>
        <v>0.58999999999999986</v>
      </c>
      <c r="S740" s="2">
        <v>24</v>
      </c>
      <c r="T740" s="3">
        <f t="shared" si="68"/>
        <v>40.32</v>
      </c>
      <c r="U740" s="4">
        <v>0.05</v>
      </c>
      <c r="V740" s="6">
        <f t="shared" si="69"/>
        <v>2.016</v>
      </c>
      <c r="W740" s="6">
        <f t="shared" si="70"/>
        <v>38.304000000000002</v>
      </c>
      <c r="X740" s="3">
        <v>1</v>
      </c>
      <c r="Y740" s="5">
        <f t="shared" si="71"/>
        <v>39.304000000000002</v>
      </c>
    </row>
    <row r="741" spans="1:25" x14ac:dyDescent="0.2">
      <c r="A741" t="s">
        <v>1613</v>
      </c>
      <c r="B741" s="1">
        <v>42366</v>
      </c>
      <c r="C741" s="2" t="str">
        <f t="shared" si="66"/>
        <v>2015</v>
      </c>
      <c r="D741" s="2" t="s">
        <v>492</v>
      </c>
      <c r="E741" s="2" t="s">
        <v>434</v>
      </c>
      <c r="F741" s="2" t="s">
        <v>19</v>
      </c>
      <c r="G741" s="2" t="s">
        <v>20</v>
      </c>
      <c r="H741" s="2" t="s">
        <v>21</v>
      </c>
      <c r="I741" s="2" t="s">
        <v>92</v>
      </c>
      <c r="J741" s="2" t="s">
        <v>44</v>
      </c>
      <c r="K741" s="2" t="s">
        <v>84</v>
      </c>
      <c r="L741" s="2" t="s">
        <v>25</v>
      </c>
      <c r="M741" s="2" t="s">
        <v>85</v>
      </c>
      <c r="N741" s="2" t="s">
        <v>27</v>
      </c>
      <c r="O741" s="1">
        <v>42367</v>
      </c>
      <c r="P741" s="3">
        <v>8.82</v>
      </c>
      <c r="Q741" s="3">
        <v>20.99</v>
      </c>
      <c r="R741" s="3">
        <f t="shared" si="67"/>
        <v>12.169999999999998</v>
      </c>
      <c r="S741" s="2">
        <v>30</v>
      </c>
      <c r="T741" s="3">
        <f t="shared" si="68"/>
        <v>629.69999999999993</v>
      </c>
      <c r="U741" s="4">
        <v>0.03</v>
      </c>
      <c r="V741" s="6">
        <f t="shared" si="69"/>
        <v>18.890999999999998</v>
      </c>
      <c r="W741" s="6">
        <f t="shared" si="70"/>
        <v>610.80899999999997</v>
      </c>
      <c r="X741" s="3">
        <v>4.8099999999999996</v>
      </c>
      <c r="Y741" s="5">
        <f t="shared" si="71"/>
        <v>615.61899999999991</v>
      </c>
    </row>
    <row r="742" spans="1:25" x14ac:dyDescent="0.2">
      <c r="A742" t="s">
        <v>1614</v>
      </c>
      <c r="B742" s="1">
        <v>42366</v>
      </c>
      <c r="C742" s="2" t="str">
        <f t="shared" si="66"/>
        <v>2015</v>
      </c>
      <c r="D742" s="2" t="s">
        <v>493</v>
      </c>
      <c r="E742" s="2" t="s">
        <v>359</v>
      </c>
      <c r="F742" s="2" t="s">
        <v>36</v>
      </c>
      <c r="G742" s="2" t="s">
        <v>37</v>
      </c>
      <c r="H742" s="2" t="s">
        <v>42</v>
      </c>
      <c r="I742" s="2" t="s">
        <v>51</v>
      </c>
      <c r="J742" s="2" t="s">
        <v>66</v>
      </c>
      <c r="K742" s="2" t="s">
        <v>120</v>
      </c>
      <c r="L742" s="2" t="s">
        <v>32</v>
      </c>
      <c r="M742" s="2" t="s">
        <v>26</v>
      </c>
      <c r="N742" s="2" t="s">
        <v>27</v>
      </c>
      <c r="O742" s="1">
        <v>42368</v>
      </c>
      <c r="P742" s="3">
        <v>1.18</v>
      </c>
      <c r="Q742" s="3">
        <v>1.88</v>
      </c>
      <c r="R742" s="3">
        <f t="shared" si="67"/>
        <v>0.7</v>
      </c>
      <c r="S742" s="2">
        <v>1</v>
      </c>
      <c r="T742" s="3">
        <f t="shared" si="68"/>
        <v>1.88</v>
      </c>
      <c r="U742" s="4">
        <v>0.09</v>
      </c>
      <c r="V742" s="6">
        <f t="shared" si="69"/>
        <v>0.16919999999999999</v>
      </c>
      <c r="W742" s="6">
        <f t="shared" si="70"/>
        <v>1.7107999999999999</v>
      </c>
      <c r="X742" s="3">
        <v>1.49</v>
      </c>
      <c r="Y742" s="5">
        <f t="shared" si="71"/>
        <v>3.2008000000000001</v>
      </c>
    </row>
    <row r="743" spans="1:25" x14ac:dyDescent="0.2">
      <c r="A743" t="s">
        <v>1615</v>
      </c>
      <c r="B743" s="1">
        <v>42366</v>
      </c>
      <c r="C743" s="2" t="str">
        <f t="shared" si="66"/>
        <v>2015</v>
      </c>
      <c r="D743" s="2" t="s">
        <v>414</v>
      </c>
      <c r="E743" s="2" t="s">
        <v>1899</v>
      </c>
      <c r="F743" s="2" t="s">
        <v>1881</v>
      </c>
      <c r="G743" s="2" t="s">
        <v>1882</v>
      </c>
      <c r="H743" s="2" t="s">
        <v>50</v>
      </c>
      <c r="I743" s="2" t="s">
        <v>75</v>
      </c>
      <c r="J743" s="2" t="s">
        <v>23</v>
      </c>
      <c r="K743" s="2" t="s">
        <v>234</v>
      </c>
      <c r="L743" s="2" t="s">
        <v>32</v>
      </c>
      <c r="M743" s="2" t="s">
        <v>58</v>
      </c>
      <c r="N743" s="2" t="s">
        <v>89</v>
      </c>
      <c r="O743" s="1">
        <v>42373</v>
      </c>
      <c r="P743" s="3">
        <v>16.8</v>
      </c>
      <c r="Q743" s="3">
        <v>40.97</v>
      </c>
      <c r="R743" s="3">
        <f t="shared" si="67"/>
        <v>24.169999999999998</v>
      </c>
      <c r="S743" s="2">
        <v>49</v>
      </c>
      <c r="T743" s="3">
        <f t="shared" si="68"/>
        <v>2007.53</v>
      </c>
      <c r="U743" s="4">
        <v>0.1</v>
      </c>
      <c r="V743" s="6">
        <f t="shared" si="69"/>
        <v>200.75300000000001</v>
      </c>
      <c r="W743" s="6">
        <f t="shared" si="70"/>
        <v>1806.777</v>
      </c>
      <c r="X743" s="3">
        <v>8.99</v>
      </c>
      <c r="Y743" s="5">
        <f t="shared" si="71"/>
        <v>1815.7670000000001</v>
      </c>
    </row>
    <row r="744" spans="1:25" x14ac:dyDescent="0.2">
      <c r="A744" t="s">
        <v>919</v>
      </c>
      <c r="B744" s="1">
        <v>42369</v>
      </c>
      <c r="C744" s="2" t="str">
        <f t="shared" si="66"/>
        <v>2015</v>
      </c>
      <c r="D744" s="2" t="s">
        <v>490</v>
      </c>
      <c r="E744" s="2" t="s">
        <v>1896</v>
      </c>
      <c r="F744" s="2" t="s">
        <v>1881</v>
      </c>
      <c r="G744" s="2" t="s">
        <v>1882</v>
      </c>
      <c r="H744" s="2" t="s">
        <v>21</v>
      </c>
      <c r="I744" s="2" t="s">
        <v>43</v>
      </c>
      <c r="J744" s="2" t="s">
        <v>44</v>
      </c>
      <c r="K744" s="2" t="s">
        <v>330</v>
      </c>
      <c r="L744" s="2" t="s">
        <v>32</v>
      </c>
      <c r="M744" s="2" t="s">
        <v>26</v>
      </c>
      <c r="N744" s="2" t="s">
        <v>27</v>
      </c>
      <c r="O744" s="1">
        <v>42370</v>
      </c>
      <c r="P744" s="3">
        <v>4.53</v>
      </c>
      <c r="Q744" s="3">
        <v>7.3</v>
      </c>
      <c r="R744" s="3">
        <f t="shared" si="67"/>
        <v>2.7699999999999996</v>
      </c>
      <c r="S744" s="2">
        <v>38</v>
      </c>
      <c r="T744" s="3">
        <f t="shared" si="68"/>
        <v>277.39999999999998</v>
      </c>
      <c r="U744" s="4">
        <v>0.05</v>
      </c>
      <c r="V744" s="6">
        <f t="shared" si="69"/>
        <v>13.87</v>
      </c>
      <c r="W744" s="6">
        <f t="shared" si="70"/>
        <v>263.52999999999997</v>
      </c>
      <c r="X744" s="3">
        <v>7.72</v>
      </c>
      <c r="Y744" s="5">
        <f t="shared" si="71"/>
        <v>271.25</v>
      </c>
    </row>
    <row r="745" spans="1:25" x14ac:dyDescent="0.2">
      <c r="A745" t="s">
        <v>920</v>
      </c>
      <c r="B745" s="1">
        <v>42369</v>
      </c>
      <c r="C745" s="2" t="str">
        <f t="shared" si="66"/>
        <v>2015</v>
      </c>
      <c r="D745" s="2" t="s">
        <v>490</v>
      </c>
      <c r="E745" s="2" t="s">
        <v>1896</v>
      </c>
      <c r="F745" s="2" t="s">
        <v>1881</v>
      </c>
      <c r="G745" s="2" t="s">
        <v>1882</v>
      </c>
      <c r="H745" s="2" t="s">
        <v>21</v>
      </c>
      <c r="I745" s="2" t="s">
        <v>43</v>
      </c>
      <c r="J745" s="2" t="s">
        <v>30</v>
      </c>
      <c r="K745" s="2" t="s">
        <v>337</v>
      </c>
      <c r="L745" s="2" t="s">
        <v>32</v>
      </c>
      <c r="M745" s="2" t="s">
        <v>26</v>
      </c>
      <c r="N745" s="2" t="s">
        <v>27</v>
      </c>
      <c r="O745" s="1">
        <v>42370</v>
      </c>
      <c r="P745" s="3">
        <v>2.29</v>
      </c>
      <c r="Q745" s="3">
        <v>3.69</v>
      </c>
      <c r="R745" s="3">
        <f t="shared" si="67"/>
        <v>1.4</v>
      </c>
      <c r="S745" s="2">
        <v>41</v>
      </c>
      <c r="T745" s="3">
        <f t="shared" si="68"/>
        <v>151.29</v>
      </c>
      <c r="U745" s="4">
        <v>0.01</v>
      </c>
      <c r="V745" s="6">
        <f t="shared" si="69"/>
        <v>1.5128999999999999</v>
      </c>
      <c r="W745" s="6">
        <f t="shared" si="70"/>
        <v>149.77709999999999</v>
      </c>
      <c r="X745" s="3">
        <v>0.5</v>
      </c>
      <c r="Y745" s="5">
        <f t="shared" si="71"/>
        <v>150.27709999999999</v>
      </c>
    </row>
    <row r="746" spans="1:25" x14ac:dyDescent="0.2">
      <c r="A746" t="s">
        <v>920</v>
      </c>
      <c r="B746" s="1">
        <v>42369</v>
      </c>
      <c r="C746" s="2" t="str">
        <f t="shared" si="66"/>
        <v>2015</v>
      </c>
      <c r="D746" s="2" t="s">
        <v>490</v>
      </c>
      <c r="E746" s="2" t="s">
        <v>1896</v>
      </c>
      <c r="F746" s="2" t="s">
        <v>1881</v>
      </c>
      <c r="G746" s="2" t="s">
        <v>1882</v>
      </c>
      <c r="H746" s="2" t="s">
        <v>21</v>
      </c>
      <c r="I746" s="2" t="s">
        <v>43</v>
      </c>
      <c r="J746" s="2" t="s">
        <v>44</v>
      </c>
      <c r="K746" s="2" t="s">
        <v>491</v>
      </c>
      <c r="L746" s="2" t="s">
        <v>32</v>
      </c>
      <c r="M746" s="2" t="s">
        <v>33</v>
      </c>
      <c r="N746" s="2" t="s">
        <v>89</v>
      </c>
      <c r="O746" s="1">
        <v>42370</v>
      </c>
      <c r="P746" s="3">
        <v>4.37</v>
      </c>
      <c r="Q746" s="3">
        <v>9.11</v>
      </c>
      <c r="R746" s="3">
        <f t="shared" si="67"/>
        <v>4.7399999999999993</v>
      </c>
      <c r="S746" s="2">
        <v>21</v>
      </c>
      <c r="T746" s="3">
        <f t="shared" si="68"/>
        <v>191.31</v>
      </c>
      <c r="U746" s="4">
        <v>0.03</v>
      </c>
      <c r="V746" s="6">
        <f t="shared" si="69"/>
        <v>5.7393000000000001</v>
      </c>
      <c r="W746" s="6">
        <f t="shared" si="70"/>
        <v>185.57069999999999</v>
      </c>
      <c r="X746" s="3">
        <v>2.25</v>
      </c>
      <c r="Y746" s="5">
        <f t="shared" si="71"/>
        <v>187.82069999999999</v>
      </c>
    </row>
    <row r="747" spans="1:25" x14ac:dyDescent="0.2">
      <c r="A747" t="s">
        <v>1616</v>
      </c>
      <c r="B747" s="1">
        <v>42371</v>
      </c>
      <c r="C747" s="2" t="str">
        <f t="shared" si="66"/>
        <v>2016</v>
      </c>
      <c r="D747" s="2" t="s">
        <v>489</v>
      </c>
      <c r="E747" s="2" t="s">
        <v>1926</v>
      </c>
      <c r="F747" s="2" t="s">
        <v>36</v>
      </c>
      <c r="G747" s="2" t="s">
        <v>37</v>
      </c>
      <c r="H747" s="2" t="s">
        <v>50</v>
      </c>
      <c r="I747" s="2" t="s">
        <v>142</v>
      </c>
      <c r="J747" s="2" t="s">
        <v>52</v>
      </c>
      <c r="K747" s="2" t="s">
        <v>290</v>
      </c>
      <c r="L747" s="2" t="s">
        <v>25</v>
      </c>
      <c r="M747" s="2" t="s">
        <v>26</v>
      </c>
      <c r="N747" s="2" t="s">
        <v>27</v>
      </c>
      <c r="O747" s="1">
        <v>42372</v>
      </c>
      <c r="P747" s="3">
        <v>14.7</v>
      </c>
      <c r="Q747" s="3">
        <v>29.99</v>
      </c>
      <c r="R747" s="3">
        <f t="shared" si="67"/>
        <v>15.29</v>
      </c>
      <c r="S747" s="2">
        <v>14</v>
      </c>
      <c r="T747" s="3">
        <f t="shared" si="68"/>
        <v>419.85999999999996</v>
      </c>
      <c r="U747" s="4">
        <v>0.04</v>
      </c>
      <c r="V747" s="6">
        <f t="shared" si="69"/>
        <v>16.7944</v>
      </c>
      <c r="W747" s="6">
        <f t="shared" si="70"/>
        <v>403.06559999999996</v>
      </c>
      <c r="X747" s="3">
        <v>5.5</v>
      </c>
      <c r="Y747" s="5">
        <f t="shared" si="71"/>
        <v>408.56559999999996</v>
      </c>
    </row>
    <row r="748" spans="1:25" x14ac:dyDescent="0.2">
      <c r="A748" t="s">
        <v>1617</v>
      </c>
      <c r="B748" s="1">
        <v>42378</v>
      </c>
      <c r="C748" s="2" t="str">
        <f t="shared" si="66"/>
        <v>2016</v>
      </c>
      <c r="D748" s="2" t="s">
        <v>487</v>
      </c>
      <c r="E748" s="2" t="s">
        <v>95</v>
      </c>
      <c r="F748" s="2" t="s">
        <v>36</v>
      </c>
      <c r="G748" s="2" t="s">
        <v>37</v>
      </c>
      <c r="H748" s="2" t="s">
        <v>21</v>
      </c>
      <c r="I748" s="2" t="s">
        <v>96</v>
      </c>
      <c r="J748" s="2" t="s">
        <v>44</v>
      </c>
      <c r="K748" s="2" t="s">
        <v>488</v>
      </c>
      <c r="L748" s="2" t="s">
        <v>32</v>
      </c>
      <c r="M748" s="2" t="s">
        <v>33</v>
      </c>
      <c r="N748" s="2" t="s">
        <v>27</v>
      </c>
      <c r="O748" s="1">
        <v>42380</v>
      </c>
      <c r="P748" s="3">
        <v>3.47</v>
      </c>
      <c r="Q748" s="3">
        <v>6.68</v>
      </c>
      <c r="R748" s="3">
        <f t="shared" si="67"/>
        <v>3.2099999999999995</v>
      </c>
      <c r="S748" s="2">
        <v>10</v>
      </c>
      <c r="T748" s="3">
        <f t="shared" si="68"/>
        <v>66.8</v>
      </c>
      <c r="U748" s="4">
        <v>0.08</v>
      </c>
      <c r="V748" s="6">
        <f t="shared" si="69"/>
        <v>5.3440000000000003</v>
      </c>
      <c r="W748" s="6">
        <f t="shared" si="70"/>
        <v>61.455999999999996</v>
      </c>
      <c r="X748" s="3">
        <v>1.5</v>
      </c>
      <c r="Y748" s="5">
        <f t="shared" si="71"/>
        <v>62.955999999999996</v>
      </c>
    </row>
    <row r="749" spans="1:25" x14ac:dyDescent="0.2">
      <c r="A749" t="s">
        <v>1618</v>
      </c>
      <c r="B749" s="1">
        <v>42381</v>
      </c>
      <c r="C749" s="2" t="str">
        <f t="shared" si="66"/>
        <v>2016</v>
      </c>
      <c r="D749" s="2" t="s">
        <v>106</v>
      </c>
      <c r="E749" s="2" t="s">
        <v>107</v>
      </c>
      <c r="F749" s="2" t="s">
        <v>36</v>
      </c>
      <c r="G749" s="2" t="s">
        <v>37</v>
      </c>
      <c r="H749" s="2" t="s">
        <v>21</v>
      </c>
      <c r="I749" s="2" t="s">
        <v>83</v>
      </c>
      <c r="J749" s="2" t="s">
        <v>44</v>
      </c>
      <c r="K749" s="2" t="s">
        <v>39</v>
      </c>
      <c r="L749" s="2" t="s">
        <v>32</v>
      </c>
      <c r="M749" s="2" t="s">
        <v>26</v>
      </c>
      <c r="N749" s="2" t="s">
        <v>27</v>
      </c>
      <c r="O749" s="1">
        <v>42383</v>
      </c>
      <c r="P749" s="3">
        <v>13.64</v>
      </c>
      <c r="Q749" s="3">
        <v>20.98</v>
      </c>
      <c r="R749" s="3">
        <f t="shared" si="67"/>
        <v>7.34</v>
      </c>
      <c r="S749" s="2">
        <v>34</v>
      </c>
      <c r="T749" s="3">
        <f t="shared" si="68"/>
        <v>713.32</v>
      </c>
      <c r="U749" s="4">
        <v>7.0000000000000007E-2</v>
      </c>
      <c r="V749" s="6">
        <f t="shared" si="69"/>
        <v>49.932400000000008</v>
      </c>
      <c r="W749" s="6">
        <f t="shared" si="70"/>
        <v>663.38760000000002</v>
      </c>
      <c r="X749" s="3">
        <v>1.49</v>
      </c>
      <c r="Y749" s="5">
        <f t="shared" si="71"/>
        <v>664.87760000000003</v>
      </c>
    </row>
    <row r="750" spans="1:25" x14ac:dyDescent="0.2">
      <c r="A750" s="12" t="s">
        <v>1944</v>
      </c>
      <c r="B750" s="1">
        <v>42386</v>
      </c>
      <c r="C750" s="2" t="str">
        <f t="shared" si="66"/>
        <v>2016</v>
      </c>
      <c r="D750" s="2" t="s">
        <v>34</v>
      </c>
      <c r="E750" s="2" t="s">
        <v>1920</v>
      </c>
      <c r="F750" s="2" t="s">
        <v>36</v>
      </c>
      <c r="G750" s="2" t="s">
        <v>37</v>
      </c>
      <c r="H750" s="2" t="s">
        <v>21</v>
      </c>
      <c r="I750" s="2" t="s">
        <v>38</v>
      </c>
      <c r="J750" s="2" t="s">
        <v>44</v>
      </c>
      <c r="K750" s="2" t="s">
        <v>447</v>
      </c>
      <c r="L750" s="2" t="s">
        <v>25</v>
      </c>
      <c r="M750" s="2" t="s">
        <v>58</v>
      </c>
      <c r="N750" s="2" t="s">
        <v>27</v>
      </c>
      <c r="O750" s="1">
        <v>42387</v>
      </c>
      <c r="P750" s="3">
        <v>1.87</v>
      </c>
      <c r="Q750" s="3">
        <v>8.1199999999999992</v>
      </c>
      <c r="R750" s="3">
        <f t="shared" si="67"/>
        <v>6.2499999999999991</v>
      </c>
      <c r="S750" s="2">
        <v>47</v>
      </c>
      <c r="T750" s="3">
        <f t="shared" si="68"/>
        <v>381.64</v>
      </c>
      <c r="U750" s="4">
        <v>7.0000000000000007E-2</v>
      </c>
      <c r="V750" s="6">
        <f t="shared" si="69"/>
        <v>26.7148</v>
      </c>
      <c r="W750" s="6">
        <f t="shared" si="70"/>
        <v>354.92519999999996</v>
      </c>
      <c r="X750" s="3">
        <v>2.83</v>
      </c>
      <c r="Y750" s="5">
        <f t="shared" si="71"/>
        <v>357.75519999999995</v>
      </c>
    </row>
    <row r="751" spans="1:25" x14ac:dyDescent="0.2">
      <c r="A751" t="s">
        <v>1619</v>
      </c>
      <c r="B751" s="1">
        <v>42386</v>
      </c>
      <c r="C751" s="2" t="str">
        <f t="shared" si="66"/>
        <v>2016</v>
      </c>
      <c r="D751" s="2" t="s">
        <v>214</v>
      </c>
      <c r="E751" s="2" t="s">
        <v>105</v>
      </c>
      <c r="F751" s="2" t="s">
        <v>36</v>
      </c>
      <c r="G751" s="2" t="s">
        <v>37</v>
      </c>
      <c r="H751" s="2" t="s">
        <v>29</v>
      </c>
      <c r="I751" s="2" t="s">
        <v>56</v>
      </c>
      <c r="J751" s="2" t="s">
        <v>30</v>
      </c>
      <c r="K751" s="2" t="s">
        <v>447</v>
      </c>
      <c r="L751" s="2" t="s">
        <v>25</v>
      </c>
      <c r="M751" s="2" t="s">
        <v>58</v>
      </c>
      <c r="N751" s="2" t="s">
        <v>27</v>
      </c>
      <c r="O751" s="1">
        <v>42386</v>
      </c>
      <c r="P751" s="3">
        <v>1.87</v>
      </c>
      <c r="Q751" s="3">
        <v>8.1199999999999992</v>
      </c>
      <c r="R751" s="3">
        <f t="shared" si="67"/>
        <v>6.2499999999999991</v>
      </c>
      <c r="S751" s="2">
        <v>36</v>
      </c>
      <c r="T751" s="3">
        <f t="shared" si="68"/>
        <v>292.32</v>
      </c>
      <c r="U751" s="4">
        <v>0.1</v>
      </c>
      <c r="V751" s="6">
        <f t="shared" si="69"/>
        <v>29.231999999999999</v>
      </c>
      <c r="W751" s="6">
        <f t="shared" si="70"/>
        <v>263.08799999999997</v>
      </c>
      <c r="X751" s="3">
        <v>2.83</v>
      </c>
      <c r="Y751" s="5">
        <f t="shared" si="71"/>
        <v>265.91799999999995</v>
      </c>
    </row>
    <row r="752" spans="1:25" x14ac:dyDescent="0.2">
      <c r="A752" t="s">
        <v>1620</v>
      </c>
      <c r="B752" s="1">
        <v>42386</v>
      </c>
      <c r="C752" s="2" t="str">
        <f t="shared" si="66"/>
        <v>2016</v>
      </c>
      <c r="D752" s="2" t="s">
        <v>486</v>
      </c>
      <c r="E752" s="2" t="s">
        <v>138</v>
      </c>
      <c r="F752" s="2" t="s">
        <v>36</v>
      </c>
      <c r="G752" s="2" t="s">
        <v>37</v>
      </c>
      <c r="H752" s="2" t="s">
        <v>21</v>
      </c>
      <c r="I752" s="2" t="s">
        <v>51</v>
      </c>
      <c r="J752" s="2" t="s">
        <v>30</v>
      </c>
      <c r="K752" s="2" t="s">
        <v>295</v>
      </c>
      <c r="L752" s="2" t="s">
        <v>32</v>
      </c>
      <c r="M752" s="2" t="s">
        <v>58</v>
      </c>
      <c r="N752" s="2" t="s">
        <v>27</v>
      </c>
      <c r="O752" s="1">
        <v>42388</v>
      </c>
      <c r="P752" s="3">
        <v>4.79</v>
      </c>
      <c r="Q752" s="3">
        <v>11.97</v>
      </c>
      <c r="R752" s="3">
        <f t="shared" si="67"/>
        <v>7.1800000000000006</v>
      </c>
      <c r="S752" s="2">
        <v>28</v>
      </c>
      <c r="T752" s="3">
        <f t="shared" si="68"/>
        <v>335.16</v>
      </c>
      <c r="U752" s="4">
        <v>0.03</v>
      </c>
      <c r="V752" s="6">
        <f t="shared" si="69"/>
        <v>10.0548</v>
      </c>
      <c r="W752" s="6">
        <f t="shared" si="70"/>
        <v>325.10520000000002</v>
      </c>
      <c r="X752" s="3">
        <v>5.81</v>
      </c>
      <c r="Y752" s="5">
        <f t="shared" si="71"/>
        <v>330.91520000000003</v>
      </c>
    </row>
    <row r="753" spans="1:25" x14ac:dyDescent="0.2">
      <c r="A753" t="s">
        <v>1621</v>
      </c>
      <c r="B753" s="1">
        <v>42387</v>
      </c>
      <c r="C753" s="2" t="str">
        <f t="shared" si="66"/>
        <v>2016</v>
      </c>
      <c r="D753" s="2" t="s">
        <v>257</v>
      </c>
      <c r="E753" s="2" t="s">
        <v>258</v>
      </c>
      <c r="F753" s="2" t="s">
        <v>36</v>
      </c>
      <c r="G753" s="2" t="s">
        <v>37</v>
      </c>
      <c r="H753" s="2" t="s">
        <v>21</v>
      </c>
      <c r="I753" s="2" t="s">
        <v>102</v>
      </c>
      <c r="J753" s="2" t="s">
        <v>52</v>
      </c>
      <c r="K753" s="2" t="s">
        <v>128</v>
      </c>
      <c r="L753" s="2" t="s">
        <v>25</v>
      </c>
      <c r="M753" s="2" t="s">
        <v>26</v>
      </c>
      <c r="N753" s="2" t="s">
        <v>27</v>
      </c>
      <c r="O753" s="1">
        <v>42389</v>
      </c>
      <c r="P753" s="3">
        <v>8.31</v>
      </c>
      <c r="Q753" s="3">
        <v>15.98</v>
      </c>
      <c r="R753" s="3">
        <f t="shared" si="67"/>
        <v>7.67</v>
      </c>
      <c r="S753" s="2">
        <v>4</v>
      </c>
      <c r="T753" s="3">
        <f t="shared" si="68"/>
        <v>63.92</v>
      </c>
      <c r="U753" s="4">
        <v>0.09</v>
      </c>
      <c r="V753" s="6">
        <f t="shared" si="69"/>
        <v>5.7527999999999997</v>
      </c>
      <c r="W753" s="6">
        <f t="shared" si="70"/>
        <v>58.167200000000001</v>
      </c>
      <c r="X753" s="3">
        <v>6.5</v>
      </c>
      <c r="Y753" s="5">
        <f t="shared" si="71"/>
        <v>64.667200000000008</v>
      </c>
    </row>
    <row r="754" spans="1:25" x14ac:dyDescent="0.2">
      <c r="A754" t="s">
        <v>1622</v>
      </c>
      <c r="B754" s="1">
        <v>42388</v>
      </c>
      <c r="C754" s="2" t="str">
        <f t="shared" si="66"/>
        <v>2016</v>
      </c>
      <c r="D754" s="2" t="s">
        <v>482</v>
      </c>
      <c r="E754" s="2" t="s">
        <v>185</v>
      </c>
      <c r="F754" s="2" t="s">
        <v>36</v>
      </c>
      <c r="G754" s="2" t="s">
        <v>37</v>
      </c>
      <c r="H754" s="2" t="s">
        <v>50</v>
      </c>
      <c r="I754" s="2" t="s">
        <v>153</v>
      </c>
      <c r="J754" s="2" t="s">
        <v>44</v>
      </c>
      <c r="K754" s="2" t="s">
        <v>247</v>
      </c>
      <c r="L754" s="2" t="s">
        <v>32</v>
      </c>
      <c r="M754" s="2" t="s">
        <v>26</v>
      </c>
      <c r="N754" s="2" t="s">
        <v>27</v>
      </c>
      <c r="O754" s="1">
        <v>42388</v>
      </c>
      <c r="P754" s="3">
        <v>4.46</v>
      </c>
      <c r="Q754" s="3">
        <v>10.89</v>
      </c>
      <c r="R754" s="3">
        <f t="shared" si="67"/>
        <v>6.4300000000000006</v>
      </c>
      <c r="S754" s="2">
        <v>25</v>
      </c>
      <c r="T754" s="3">
        <f t="shared" si="68"/>
        <v>272.25</v>
      </c>
      <c r="U754" s="4">
        <v>0.03</v>
      </c>
      <c r="V754" s="6">
        <f t="shared" si="69"/>
        <v>8.1675000000000004</v>
      </c>
      <c r="W754" s="6">
        <f t="shared" si="70"/>
        <v>264.08249999999998</v>
      </c>
      <c r="X754" s="3">
        <v>4.5</v>
      </c>
      <c r="Y754" s="5">
        <f t="shared" si="71"/>
        <v>268.58249999999998</v>
      </c>
    </row>
    <row r="755" spans="1:25" x14ac:dyDescent="0.2">
      <c r="A755" t="s">
        <v>1623</v>
      </c>
      <c r="B755" s="1">
        <v>42388</v>
      </c>
      <c r="C755" s="2" t="str">
        <f t="shared" si="66"/>
        <v>2016</v>
      </c>
      <c r="D755" s="2" t="s">
        <v>483</v>
      </c>
      <c r="E755" s="2" t="s">
        <v>182</v>
      </c>
      <c r="F755" s="2" t="s">
        <v>36</v>
      </c>
      <c r="G755" s="2" t="s">
        <v>37</v>
      </c>
      <c r="H755" s="2" t="s">
        <v>29</v>
      </c>
      <c r="I755" s="2" t="s">
        <v>96</v>
      </c>
      <c r="J755" s="2" t="s">
        <v>66</v>
      </c>
      <c r="K755" s="2" t="s">
        <v>139</v>
      </c>
      <c r="L755" s="2" t="s">
        <v>32</v>
      </c>
      <c r="M755" s="2" t="s">
        <v>58</v>
      </c>
      <c r="N755" s="2" t="s">
        <v>27</v>
      </c>
      <c r="O755" s="1">
        <v>42388</v>
      </c>
      <c r="P755" s="3">
        <v>0.94</v>
      </c>
      <c r="Q755" s="3">
        <v>2.08</v>
      </c>
      <c r="R755" s="3">
        <f t="shared" si="67"/>
        <v>1.1400000000000001</v>
      </c>
      <c r="S755" s="2">
        <v>33</v>
      </c>
      <c r="T755" s="3">
        <f t="shared" si="68"/>
        <v>68.64</v>
      </c>
      <c r="U755" s="4">
        <v>0.05</v>
      </c>
      <c r="V755" s="6">
        <f t="shared" si="69"/>
        <v>3.4320000000000004</v>
      </c>
      <c r="W755" s="6">
        <f t="shared" si="70"/>
        <v>65.207999999999998</v>
      </c>
      <c r="X755" s="3">
        <v>2.56</v>
      </c>
      <c r="Y755" s="5">
        <f t="shared" si="71"/>
        <v>67.768000000000001</v>
      </c>
    </row>
    <row r="756" spans="1:25" x14ac:dyDescent="0.2">
      <c r="A756" t="s">
        <v>1624</v>
      </c>
      <c r="B756" s="1">
        <v>42388</v>
      </c>
      <c r="C756" s="2" t="str">
        <f t="shared" si="66"/>
        <v>2016</v>
      </c>
      <c r="D756" s="2" t="s">
        <v>484</v>
      </c>
      <c r="E756" s="2" t="s">
        <v>485</v>
      </c>
      <c r="F756" s="2" t="s">
        <v>36</v>
      </c>
      <c r="G756" s="2" t="s">
        <v>37</v>
      </c>
      <c r="H756" s="2" t="s">
        <v>50</v>
      </c>
      <c r="I756" s="2" t="s">
        <v>51</v>
      </c>
      <c r="J756" s="2" t="s">
        <v>66</v>
      </c>
      <c r="K756" s="2" t="s">
        <v>70</v>
      </c>
      <c r="L756" s="2" t="s">
        <v>25</v>
      </c>
      <c r="M756" s="2" t="s">
        <v>26</v>
      </c>
      <c r="N756" s="2" t="s">
        <v>27</v>
      </c>
      <c r="O756" s="1">
        <v>42388</v>
      </c>
      <c r="P756" s="3">
        <v>156.5</v>
      </c>
      <c r="Q756" s="3">
        <v>300.97000000000003</v>
      </c>
      <c r="R756" s="3">
        <f t="shared" si="67"/>
        <v>144.47000000000003</v>
      </c>
      <c r="S756" s="2">
        <v>43</v>
      </c>
      <c r="T756" s="3">
        <f t="shared" si="68"/>
        <v>12941.710000000001</v>
      </c>
      <c r="U756" s="4">
        <v>0.08</v>
      </c>
      <c r="V756" s="6">
        <f t="shared" si="69"/>
        <v>1035.3368</v>
      </c>
      <c r="W756" s="6">
        <f t="shared" si="70"/>
        <v>11906.373200000002</v>
      </c>
      <c r="X756" s="3">
        <v>7.18</v>
      </c>
      <c r="Y756" s="5">
        <f t="shared" si="71"/>
        <v>11913.553200000002</v>
      </c>
    </row>
    <row r="757" spans="1:25" x14ac:dyDescent="0.2">
      <c r="A757" t="s">
        <v>1625</v>
      </c>
      <c r="B757" s="1">
        <v>42393</v>
      </c>
      <c r="C757" s="2" t="str">
        <f t="shared" si="66"/>
        <v>2016</v>
      </c>
      <c r="D757" s="2" t="s">
        <v>481</v>
      </c>
      <c r="E757" s="2" t="s">
        <v>204</v>
      </c>
      <c r="F757" s="2" t="s">
        <v>36</v>
      </c>
      <c r="G757" s="2" t="s">
        <v>37</v>
      </c>
      <c r="H757" s="2" t="s">
        <v>21</v>
      </c>
      <c r="I757" s="2" t="s">
        <v>142</v>
      </c>
      <c r="J757" s="2" t="s">
        <v>66</v>
      </c>
      <c r="K757" s="2" t="s">
        <v>88</v>
      </c>
      <c r="L757" s="2" t="s">
        <v>32</v>
      </c>
      <c r="M757" s="2" t="s">
        <v>58</v>
      </c>
      <c r="N757" s="2" t="s">
        <v>27</v>
      </c>
      <c r="O757" s="1">
        <v>42394</v>
      </c>
      <c r="P757" s="3">
        <v>5.19</v>
      </c>
      <c r="Q757" s="3">
        <v>12.98</v>
      </c>
      <c r="R757" s="3">
        <f t="shared" si="67"/>
        <v>7.79</v>
      </c>
      <c r="S757" s="2">
        <v>50</v>
      </c>
      <c r="T757" s="3">
        <f t="shared" si="68"/>
        <v>649</v>
      </c>
      <c r="U757" s="4">
        <v>0.08</v>
      </c>
      <c r="V757" s="6">
        <f t="shared" si="69"/>
        <v>51.92</v>
      </c>
      <c r="W757" s="6">
        <f t="shared" si="70"/>
        <v>597.08000000000004</v>
      </c>
      <c r="X757" s="3">
        <v>3.14</v>
      </c>
      <c r="Y757" s="5">
        <f t="shared" si="71"/>
        <v>600.22</v>
      </c>
    </row>
    <row r="758" spans="1:25" x14ac:dyDescent="0.2">
      <c r="A758" t="s">
        <v>1626</v>
      </c>
      <c r="B758" s="1">
        <v>42395</v>
      </c>
      <c r="C758" s="2" t="str">
        <f t="shared" si="66"/>
        <v>2016</v>
      </c>
      <c r="D758" s="2" t="s">
        <v>479</v>
      </c>
      <c r="E758" s="2" t="s">
        <v>1906</v>
      </c>
      <c r="F758" s="2" t="s">
        <v>1881</v>
      </c>
      <c r="G758" s="2" t="s">
        <v>1882</v>
      </c>
      <c r="H758" s="2" t="s">
        <v>50</v>
      </c>
      <c r="I758" s="2" t="s">
        <v>51</v>
      </c>
      <c r="J758" s="2" t="s">
        <v>44</v>
      </c>
      <c r="K758" s="2" t="s">
        <v>480</v>
      </c>
      <c r="L758" s="2" t="s">
        <v>32</v>
      </c>
      <c r="M758" s="2" t="s">
        <v>33</v>
      </c>
      <c r="N758" s="2" t="s">
        <v>89</v>
      </c>
      <c r="O758" s="1">
        <v>42397</v>
      </c>
      <c r="P758" s="3">
        <v>2.41</v>
      </c>
      <c r="Q758" s="3">
        <v>3.71</v>
      </c>
      <c r="R758" s="3">
        <f t="shared" si="67"/>
        <v>1.2999999999999998</v>
      </c>
      <c r="S758" s="2">
        <v>16</v>
      </c>
      <c r="T758" s="3">
        <f t="shared" si="68"/>
        <v>59.36</v>
      </c>
      <c r="U758" s="4">
        <v>0.1</v>
      </c>
      <c r="V758" s="6">
        <f t="shared" si="69"/>
        <v>5.9359999999999999</v>
      </c>
      <c r="W758" s="6">
        <f t="shared" si="70"/>
        <v>53.423999999999999</v>
      </c>
      <c r="X758" s="3">
        <v>1.93</v>
      </c>
      <c r="Y758" s="5">
        <f t="shared" si="71"/>
        <v>55.353999999999999</v>
      </c>
    </row>
    <row r="759" spans="1:25" x14ac:dyDescent="0.2">
      <c r="A759" t="s">
        <v>1627</v>
      </c>
      <c r="B759" s="1">
        <v>42397</v>
      </c>
      <c r="C759" s="2" t="str">
        <f t="shared" si="66"/>
        <v>2016</v>
      </c>
      <c r="D759" s="2" t="s">
        <v>100</v>
      </c>
      <c r="E759" s="2" t="s">
        <v>101</v>
      </c>
      <c r="F759" s="2" t="s">
        <v>36</v>
      </c>
      <c r="G759" s="2" t="s">
        <v>37</v>
      </c>
      <c r="H759" s="2" t="s">
        <v>21</v>
      </c>
      <c r="I759" s="2" t="s">
        <v>102</v>
      </c>
      <c r="J759" s="2" t="s">
        <v>30</v>
      </c>
      <c r="K759" s="2" t="s">
        <v>117</v>
      </c>
      <c r="L759" s="2" t="s">
        <v>25</v>
      </c>
      <c r="M759" s="2" t="s">
        <v>26</v>
      </c>
      <c r="N759" s="2" t="s">
        <v>27</v>
      </c>
      <c r="O759" s="1">
        <v>42398</v>
      </c>
      <c r="P759" s="3">
        <v>39.64</v>
      </c>
      <c r="Q759" s="3">
        <v>152.47999999999999</v>
      </c>
      <c r="R759" s="3">
        <f t="shared" si="67"/>
        <v>112.83999999999999</v>
      </c>
      <c r="S759" s="2">
        <v>27</v>
      </c>
      <c r="T759" s="3">
        <f t="shared" si="68"/>
        <v>4116.96</v>
      </c>
      <c r="U759" s="4">
        <v>0.1</v>
      </c>
      <c r="V759" s="6">
        <f t="shared" si="69"/>
        <v>411.69600000000003</v>
      </c>
      <c r="W759" s="6">
        <f t="shared" si="70"/>
        <v>3705.2640000000001</v>
      </c>
      <c r="X759" s="3">
        <v>6.5</v>
      </c>
      <c r="Y759" s="5">
        <f t="shared" si="71"/>
        <v>3711.7640000000001</v>
      </c>
    </row>
    <row r="760" spans="1:25" x14ac:dyDescent="0.2">
      <c r="A760" t="s">
        <v>1628</v>
      </c>
      <c r="B760" s="1">
        <v>42397</v>
      </c>
      <c r="C760" s="2" t="str">
        <f t="shared" si="66"/>
        <v>2016</v>
      </c>
      <c r="D760" s="2" t="s">
        <v>478</v>
      </c>
      <c r="E760" s="2" t="s">
        <v>1897</v>
      </c>
      <c r="F760" s="2" t="s">
        <v>1881</v>
      </c>
      <c r="G760" s="2" t="s">
        <v>1882</v>
      </c>
      <c r="H760" s="2" t="s">
        <v>21</v>
      </c>
      <c r="I760" s="2" t="s">
        <v>75</v>
      </c>
      <c r="J760" s="2" t="s">
        <v>66</v>
      </c>
      <c r="K760" s="2" t="s">
        <v>252</v>
      </c>
      <c r="L760" s="2" t="s">
        <v>32</v>
      </c>
      <c r="M760" s="2" t="s">
        <v>33</v>
      </c>
      <c r="N760" s="2" t="s">
        <v>27</v>
      </c>
      <c r="O760" s="1">
        <v>42399</v>
      </c>
      <c r="P760" s="3">
        <v>2.59</v>
      </c>
      <c r="Q760" s="3">
        <v>3.98</v>
      </c>
      <c r="R760" s="3">
        <f t="shared" si="67"/>
        <v>1.3900000000000001</v>
      </c>
      <c r="S760" s="2">
        <v>41</v>
      </c>
      <c r="T760" s="3">
        <f t="shared" si="68"/>
        <v>163.18</v>
      </c>
      <c r="U760" s="4">
        <v>0.1</v>
      </c>
      <c r="V760" s="6">
        <f t="shared" si="69"/>
        <v>16.318000000000001</v>
      </c>
      <c r="W760" s="6">
        <f t="shared" si="70"/>
        <v>146.86199999999999</v>
      </c>
      <c r="X760" s="3">
        <v>2.97</v>
      </c>
      <c r="Y760" s="5">
        <f t="shared" si="71"/>
        <v>149.83199999999999</v>
      </c>
    </row>
    <row r="761" spans="1:25" x14ac:dyDescent="0.2">
      <c r="A761" t="s">
        <v>1629</v>
      </c>
      <c r="B761" s="1">
        <v>42398</v>
      </c>
      <c r="C761" s="2" t="str">
        <f t="shared" si="66"/>
        <v>2016</v>
      </c>
      <c r="D761" s="2" t="s">
        <v>476</v>
      </c>
      <c r="E761" s="2" t="s">
        <v>477</v>
      </c>
      <c r="F761" s="2" t="s">
        <v>36</v>
      </c>
      <c r="G761" s="2" t="s">
        <v>37</v>
      </c>
      <c r="H761" s="2" t="s">
        <v>21</v>
      </c>
      <c r="I761" s="2" t="s">
        <v>83</v>
      </c>
      <c r="J761" s="2" t="s">
        <v>52</v>
      </c>
      <c r="K761" s="2" t="s">
        <v>125</v>
      </c>
      <c r="L761" s="2" t="s">
        <v>32</v>
      </c>
      <c r="M761" s="2" t="s">
        <v>33</v>
      </c>
      <c r="N761" s="2" t="s">
        <v>27</v>
      </c>
      <c r="O761" s="1">
        <v>42400</v>
      </c>
      <c r="P761" s="3">
        <v>1.53</v>
      </c>
      <c r="Q761" s="3">
        <v>2.78</v>
      </c>
      <c r="R761" s="3">
        <f t="shared" si="67"/>
        <v>1.2499999999999998</v>
      </c>
      <c r="S761" s="2">
        <v>38</v>
      </c>
      <c r="T761" s="3">
        <f t="shared" si="68"/>
        <v>105.63999999999999</v>
      </c>
      <c r="U761" s="4">
        <v>0</v>
      </c>
      <c r="V761" s="6">
        <f t="shared" si="69"/>
        <v>0</v>
      </c>
      <c r="W761" s="6">
        <f t="shared" si="70"/>
        <v>105.63999999999999</v>
      </c>
      <c r="X761" s="3">
        <v>1.34</v>
      </c>
      <c r="Y761" s="5">
        <f t="shared" si="71"/>
        <v>106.97999999999999</v>
      </c>
    </row>
    <row r="762" spans="1:25" x14ac:dyDescent="0.2">
      <c r="A762" s="12" t="s">
        <v>1945</v>
      </c>
      <c r="B762" s="1">
        <v>42401</v>
      </c>
      <c r="C762" s="2" t="str">
        <f t="shared" si="66"/>
        <v>2016</v>
      </c>
      <c r="D762" s="2" t="s">
        <v>474</v>
      </c>
      <c r="E762" s="2" t="s">
        <v>400</v>
      </c>
      <c r="F762" s="2" t="s">
        <v>19</v>
      </c>
      <c r="G762" s="2" t="s">
        <v>20</v>
      </c>
      <c r="H762" s="2" t="s">
        <v>29</v>
      </c>
      <c r="I762" s="2" t="s">
        <v>22</v>
      </c>
      <c r="J762" s="2" t="s">
        <v>44</v>
      </c>
      <c r="K762" s="2" t="s">
        <v>475</v>
      </c>
      <c r="L762" s="2" t="s">
        <v>32</v>
      </c>
      <c r="M762" s="2" t="s">
        <v>26</v>
      </c>
      <c r="N762" s="2" t="s">
        <v>27</v>
      </c>
      <c r="O762" s="1">
        <v>42402</v>
      </c>
      <c r="P762" s="3">
        <v>1.19</v>
      </c>
      <c r="Q762" s="3">
        <v>1.98</v>
      </c>
      <c r="R762" s="3">
        <f t="shared" si="67"/>
        <v>0.79</v>
      </c>
      <c r="S762" s="2">
        <v>12</v>
      </c>
      <c r="T762" s="3">
        <f t="shared" si="68"/>
        <v>23.759999999999998</v>
      </c>
      <c r="U762" s="4">
        <v>7.0000000000000007E-2</v>
      </c>
      <c r="V762" s="6">
        <f t="shared" si="69"/>
        <v>1.6632</v>
      </c>
      <c r="W762" s="6">
        <f t="shared" si="70"/>
        <v>22.096799999999998</v>
      </c>
      <c r="X762" s="3">
        <v>4.7699999999999996</v>
      </c>
      <c r="Y762" s="5">
        <f t="shared" si="71"/>
        <v>26.866799999999998</v>
      </c>
    </row>
    <row r="763" spans="1:25" x14ac:dyDescent="0.2">
      <c r="A763" s="12" t="s">
        <v>1630</v>
      </c>
      <c r="B763" s="1">
        <v>42402</v>
      </c>
      <c r="C763" s="2" t="str">
        <f t="shared" si="66"/>
        <v>2016</v>
      </c>
      <c r="D763" s="2" t="s">
        <v>501</v>
      </c>
      <c r="E763" s="2" t="s">
        <v>213</v>
      </c>
      <c r="F763" s="2" t="s">
        <v>36</v>
      </c>
      <c r="G763" s="2" t="s">
        <v>37</v>
      </c>
      <c r="H763" s="2" t="s">
        <v>50</v>
      </c>
      <c r="I763" s="2" t="s">
        <v>79</v>
      </c>
      <c r="J763" s="2" t="s">
        <v>66</v>
      </c>
      <c r="K763" s="2" t="s">
        <v>186</v>
      </c>
      <c r="L763" s="2" t="s">
        <v>25</v>
      </c>
      <c r="M763" s="2" t="s">
        <v>62</v>
      </c>
      <c r="N763" s="2" t="s">
        <v>63</v>
      </c>
      <c r="O763" s="1">
        <v>42403</v>
      </c>
      <c r="P763" s="3">
        <v>278.99</v>
      </c>
      <c r="Q763" s="3">
        <v>449.99</v>
      </c>
      <c r="R763" s="3">
        <f t="shared" si="67"/>
        <v>171</v>
      </c>
      <c r="S763" s="2">
        <v>16</v>
      </c>
      <c r="T763" s="3">
        <f t="shared" si="68"/>
        <v>7199.84</v>
      </c>
      <c r="U763" s="4">
        <v>0.09</v>
      </c>
      <c r="V763" s="6">
        <f t="shared" si="69"/>
        <v>647.98559999999998</v>
      </c>
      <c r="W763" s="6">
        <f t="shared" si="70"/>
        <v>6551.8544000000002</v>
      </c>
      <c r="X763" s="3">
        <v>49</v>
      </c>
      <c r="Y763" s="5">
        <f t="shared" si="71"/>
        <v>6600.8544000000002</v>
      </c>
    </row>
    <row r="764" spans="1:25" x14ac:dyDescent="0.2">
      <c r="A764" t="s">
        <v>1631</v>
      </c>
      <c r="B764" s="1">
        <v>42403</v>
      </c>
      <c r="C764" s="2" t="str">
        <f t="shared" si="66"/>
        <v>2016</v>
      </c>
      <c r="D764" s="2" t="s">
        <v>473</v>
      </c>
      <c r="E764" s="2" t="s">
        <v>251</v>
      </c>
      <c r="F764" s="2" t="s">
        <v>19</v>
      </c>
      <c r="G764" s="2" t="s">
        <v>20</v>
      </c>
      <c r="H764" s="2" t="s">
        <v>42</v>
      </c>
      <c r="I764" s="2" t="s">
        <v>92</v>
      </c>
      <c r="J764" s="2" t="s">
        <v>23</v>
      </c>
      <c r="K764" s="2" t="s">
        <v>383</v>
      </c>
      <c r="L764" s="2" t="s">
        <v>32</v>
      </c>
      <c r="M764" s="2" t="s">
        <v>33</v>
      </c>
      <c r="N764" s="2" t="s">
        <v>27</v>
      </c>
      <c r="O764" s="1">
        <v>42405</v>
      </c>
      <c r="P764" s="3">
        <v>3.95</v>
      </c>
      <c r="Q764" s="3">
        <v>6.08</v>
      </c>
      <c r="R764" s="3">
        <f t="shared" si="67"/>
        <v>2.13</v>
      </c>
      <c r="S764" s="2">
        <v>42</v>
      </c>
      <c r="T764" s="3">
        <f t="shared" si="68"/>
        <v>255.36</v>
      </c>
      <c r="U764" s="4">
        <v>0.09</v>
      </c>
      <c r="V764" s="6">
        <f t="shared" si="69"/>
        <v>22.982400000000002</v>
      </c>
      <c r="W764" s="6">
        <f t="shared" si="70"/>
        <v>232.3776</v>
      </c>
      <c r="X764" s="3">
        <v>1.82</v>
      </c>
      <c r="Y764" s="5">
        <f t="shared" si="71"/>
        <v>234.19759999999999</v>
      </c>
    </row>
    <row r="765" spans="1:25" x14ac:dyDescent="0.2">
      <c r="A765" t="s">
        <v>1632</v>
      </c>
      <c r="B765" s="1">
        <v>42404</v>
      </c>
      <c r="C765" s="2" t="str">
        <f t="shared" si="66"/>
        <v>2016</v>
      </c>
      <c r="D765" s="2" t="s">
        <v>438</v>
      </c>
      <c r="E765" s="2" t="s">
        <v>1905</v>
      </c>
      <c r="F765" s="2" t="s">
        <v>1881</v>
      </c>
      <c r="G765" s="2" t="s">
        <v>1882</v>
      </c>
      <c r="H765" s="2" t="s">
        <v>42</v>
      </c>
      <c r="I765" s="2" t="s">
        <v>153</v>
      </c>
      <c r="J765" s="2" t="s">
        <v>52</v>
      </c>
      <c r="K765" s="2" t="s">
        <v>234</v>
      </c>
      <c r="L765" s="2" t="s">
        <v>32</v>
      </c>
      <c r="M765" s="2" t="s">
        <v>58</v>
      </c>
      <c r="N765" s="2" t="s">
        <v>89</v>
      </c>
      <c r="O765" s="1">
        <v>42405</v>
      </c>
      <c r="P765" s="3">
        <v>16.8</v>
      </c>
      <c r="Q765" s="3">
        <v>40.97</v>
      </c>
      <c r="R765" s="3">
        <f t="shared" si="67"/>
        <v>24.169999999999998</v>
      </c>
      <c r="S765" s="2">
        <v>49</v>
      </c>
      <c r="T765" s="3">
        <f t="shared" si="68"/>
        <v>2007.53</v>
      </c>
      <c r="U765" s="4">
        <v>0.04</v>
      </c>
      <c r="V765" s="6">
        <f t="shared" si="69"/>
        <v>80.301199999999994</v>
      </c>
      <c r="W765" s="6">
        <f t="shared" si="70"/>
        <v>1927.2287999999999</v>
      </c>
      <c r="X765" s="3">
        <v>8.99</v>
      </c>
      <c r="Y765" s="5">
        <f t="shared" si="71"/>
        <v>1936.2187999999999</v>
      </c>
    </row>
    <row r="766" spans="1:25" x14ac:dyDescent="0.2">
      <c r="A766" t="s">
        <v>1633</v>
      </c>
      <c r="B766" s="1">
        <v>42408</v>
      </c>
      <c r="C766" s="2" t="str">
        <f t="shared" si="66"/>
        <v>2016</v>
      </c>
      <c r="D766" s="2" t="s">
        <v>472</v>
      </c>
      <c r="E766" s="2" t="s">
        <v>199</v>
      </c>
      <c r="F766" s="2" t="s">
        <v>19</v>
      </c>
      <c r="G766" s="2" t="s">
        <v>20</v>
      </c>
      <c r="H766" s="2" t="s">
        <v>21</v>
      </c>
      <c r="I766" s="2" t="s">
        <v>92</v>
      </c>
      <c r="J766" s="2" t="s">
        <v>30</v>
      </c>
      <c r="K766" s="2" t="s">
        <v>365</v>
      </c>
      <c r="L766" s="2" t="s">
        <v>32</v>
      </c>
      <c r="M766" s="2" t="s">
        <v>33</v>
      </c>
      <c r="N766" s="2" t="s">
        <v>27</v>
      </c>
      <c r="O766" s="1">
        <v>42409</v>
      </c>
      <c r="P766" s="3">
        <v>21.56</v>
      </c>
      <c r="Q766" s="3">
        <v>36.549999999999997</v>
      </c>
      <c r="R766" s="3">
        <f t="shared" si="67"/>
        <v>14.989999999999998</v>
      </c>
      <c r="S766" s="2">
        <v>6</v>
      </c>
      <c r="T766" s="3">
        <f t="shared" si="68"/>
        <v>219.29999999999998</v>
      </c>
      <c r="U766" s="4">
        <v>0.01</v>
      </c>
      <c r="V766" s="6">
        <f t="shared" si="69"/>
        <v>2.1930000000000001</v>
      </c>
      <c r="W766" s="6">
        <f t="shared" si="70"/>
        <v>217.10699999999997</v>
      </c>
      <c r="X766" s="3">
        <v>13.89</v>
      </c>
      <c r="Y766" s="5">
        <f t="shared" si="71"/>
        <v>230.99699999999996</v>
      </c>
    </row>
    <row r="767" spans="1:25" x14ac:dyDescent="0.2">
      <c r="A767" t="s">
        <v>1634</v>
      </c>
      <c r="B767" s="1">
        <v>42409</v>
      </c>
      <c r="C767" s="2" t="str">
        <f t="shared" si="66"/>
        <v>2016</v>
      </c>
      <c r="D767" s="2" t="s">
        <v>471</v>
      </c>
      <c r="E767" s="2" t="s">
        <v>357</v>
      </c>
      <c r="F767" s="2" t="s">
        <v>36</v>
      </c>
      <c r="G767" s="2" t="s">
        <v>37</v>
      </c>
      <c r="H767" s="2" t="s">
        <v>50</v>
      </c>
      <c r="I767" s="2" t="s">
        <v>96</v>
      </c>
      <c r="J767" s="2" t="s">
        <v>23</v>
      </c>
      <c r="K767" s="2" t="s">
        <v>252</v>
      </c>
      <c r="L767" s="2" t="s">
        <v>32</v>
      </c>
      <c r="M767" s="2" t="s">
        <v>33</v>
      </c>
      <c r="N767" s="2" t="s">
        <v>27</v>
      </c>
      <c r="O767" s="1">
        <v>42414</v>
      </c>
      <c r="P767" s="3">
        <v>2.59</v>
      </c>
      <c r="Q767" s="3">
        <v>3.98</v>
      </c>
      <c r="R767" s="3">
        <f t="shared" si="67"/>
        <v>1.3900000000000001</v>
      </c>
      <c r="S767" s="2">
        <v>50</v>
      </c>
      <c r="T767" s="3">
        <f t="shared" si="68"/>
        <v>199</v>
      </c>
      <c r="U767" s="4">
        <v>0.08</v>
      </c>
      <c r="V767" s="6">
        <f t="shared" si="69"/>
        <v>15.92</v>
      </c>
      <c r="W767" s="6">
        <f t="shared" si="70"/>
        <v>183.08</v>
      </c>
      <c r="X767" s="3">
        <v>2.97</v>
      </c>
      <c r="Y767" s="5">
        <f t="shared" si="71"/>
        <v>186.05</v>
      </c>
    </row>
    <row r="768" spans="1:25" x14ac:dyDescent="0.2">
      <c r="A768" t="s">
        <v>1635</v>
      </c>
      <c r="B768" s="1">
        <v>42410</v>
      </c>
      <c r="C768" s="2" t="str">
        <f t="shared" si="66"/>
        <v>2016</v>
      </c>
      <c r="D768" s="2" t="s">
        <v>471</v>
      </c>
      <c r="E768" s="2" t="s">
        <v>357</v>
      </c>
      <c r="F768" s="2" t="s">
        <v>36</v>
      </c>
      <c r="G768" s="2" t="s">
        <v>37</v>
      </c>
      <c r="H768" s="2" t="s">
        <v>50</v>
      </c>
      <c r="I768" s="2" t="s">
        <v>96</v>
      </c>
      <c r="J768" s="2" t="s">
        <v>30</v>
      </c>
      <c r="K768" s="2" t="s">
        <v>323</v>
      </c>
      <c r="L768" s="2" t="s">
        <v>32</v>
      </c>
      <c r="M768" s="2" t="s">
        <v>33</v>
      </c>
      <c r="N768" s="2" t="s">
        <v>27</v>
      </c>
      <c r="O768" s="1">
        <v>42411</v>
      </c>
      <c r="P768" s="3">
        <v>11.11</v>
      </c>
      <c r="Q768" s="3">
        <v>19.84</v>
      </c>
      <c r="R768" s="3">
        <f t="shared" si="67"/>
        <v>8.73</v>
      </c>
      <c r="S768" s="2">
        <v>10</v>
      </c>
      <c r="T768" s="3">
        <f t="shared" si="68"/>
        <v>198.4</v>
      </c>
      <c r="U768" s="4">
        <v>0.05</v>
      </c>
      <c r="V768" s="6">
        <f t="shared" si="69"/>
        <v>9.9200000000000017</v>
      </c>
      <c r="W768" s="6">
        <f t="shared" si="70"/>
        <v>188.48000000000002</v>
      </c>
      <c r="X768" s="3">
        <v>4.0999999999999996</v>
      </c>
      <c r="Y768" s="5">
        <f t="shared" si="71"/>
        <v>192.58</v>
      </c>
    </row>
    <row r="769" spans="1:25" x14ac:dyDescent="0.2">
      <c r="A769" t="s">
        <v>1636</v>
      </c>
      <c r="B769" s="1">
        <v>42411</v>
      </c>
      <c r="C769" s="2" t="str">
        <f t="shared" si="66"/>
        <v>2016</v>
      </c>
      <c r="D769" s="2" t="s">
        <v>469</v>
      </c>
      <c r="E769" s="2" t="s">
        <v>470</v>
      </c>
      <c r="F769" s="2" t="s">
        <v>36</v>
      </c>
      <c r="G769" s="2" t="s">
        <v>37</v>
      </c>
      <c r="H769" s="2" t="s">
        <v>29</v>
      </c>
      <c r="I769" s="2" t="s">
        <v>83</v>
      </c>
      <c r="J769" s="2" t="s">
        <v>30</v>
      </c>
      <c r="K769" s="2" t="s">
        <v>456</v>
      </c>
      <c r="L769" s="2" t="s">
        <v>25</v>
      </c>
      <c r="M769" s="2" t="s">
        <v>26</v>
      </c>
      <c r="N769" s="2" t="s">
        <v>27</v>
      </c>
      <c r="O769" s="1">
        <v>42413</v>
      </c>
      <c r="P769" s="3">
        <v>41.28</v>
      </c>
      <c r="Q769" s="3">
        <v>95.99</v>
      </c>
      <c r="R769" s="3">
        <f t="shared" si="67"/>
        <v>54.709999999999994</v>
      </c>
      <c r="S769" s="2">
        <v>14</v>
      </c>
      <c r="T769" s="3">
        <f t="shared" si="68"/>
        <v>1343.86</v>
      </c>
      <c r="U769" s="4">
        <v>0.04</v>
      </c>
      <c r="V769" s="6">
        <f t="shared" si="69"/>
        <v>53.754399999999997</v>
      </c>
      <c r="W769" s="6">
        <f t="shared" si="70"/>
        <v>1290.1055999999999</v>
      </c>
      <c r="X769" s="3">
        <v>8.99</v>
      </c>
      <c r="Y769" s="5">
        <f t="shared" si="71"/>
        <v>1299.0955999999999</v>
      </c>
    </row>
    <row r="770" spans="1:25" x14ac:dyDescent="0.2">
      <c r="A770" t="s">
        <v>1637</v>
      </c>
      <c r="B770" s="1">
        <v>42411</v>
      </c>
      <c r="C770" s="2" t="str">
        <f t="shared" si="66"/>
        <v>2016</v>
      </c>
      <c r="D770" s="2" t="s">
        <v>393</v>
      </c>
      <c r="E770" s="2" t="s">
        <v>105</v>
      </c>
      <c r="F770" s="2" t="s">
        <v>36</v>
      </c>
      <c r="G770" s="2" t="s">
        <v>37</v>
      </c>
      <c r="H770" s="2" t="s">
        <v>21</v>
      </c>
      <c r="I770" s="2" t="s">
        <v>56</v>
      </c>
      <c r="J770" s="2" t="s">
        <v>23</v>
      </c>
      <c r="K770" s="2" t="s">
        <v>375</v>
      </c>
      <c r="L770" s="2" t="s">
        <v>32</v>
      </c>
      <c r="M770" s="2" t="s">
        <v>26</v>
      </c>
      <c r="N770" s="2" t="s">
        <v>27</v>
      </c>
      <c r="O770" s="1">
        <v>42420</v>
      </c>
      <c r="P770" s="3">
        <v>99.39</v>
      </c>
      <c r="Q770" s="3">
        <v>162.93</v>
      </c>
      <c r="R770" s="3">
        <f t="shared" si="67"/>
        <v>63.540000000000006</v>
      </c>
      <c r="S770" s="2">
        <v>22</v>
      </c>
      <c r="T770" s="3">
        <f t="shared" si="68"/>
        <v>3584.46</v>
      </c>
      <c r="U770" s="4">
        <v>7.0000000000000007E-2</v>
      </c>
      <c r="V770" s="6">
        <f t="shared" si="69"/>
        <v>250.91220000000001</v>
      </c>
      <c r="W770" s="6">
        <f t="shared" si="70"/>
        <v>3333.5477999999998</v>
      </c>
      <c r="X770" s="3">
        <v>19.989999999999998</v>
      </c>
      <c r="Y770" s="5">
        <f t="shared" si="71"/>
        <v>3353.5377999999996</v>
      </c>
    </row>
    <row r="771" spans="1:25" x14ac:dyDescent="0.2">
      <c r="A771" t="s">
        <v>921</v>
      </c>
      <c r="B771" s="1">
        <v>42412</v>
      </c>
      <c r="C771" s="2" t="str">
        <f t="shared" si="66"/>
        <v>2016</v>
      </c>
      <c r="D771" s="2" t="s">
        <v>467</v>
      </c>
      <c r="E771" s="2" t="s">
        <v>276</v>
      </c>
      <c r="F771" s="2" t="s">
        <v>19</v>
      </c>
      <c r="G771" s="2" t="s">
        <v>20</v>
      </c>
      <c r="H771" s="2" t="s">
        <v>42</v>
      </c>
      <c r="I771" s="2" t="s">
        <v>22</v>
      </c>
      <c r="J771" s="2" t="s">
        <v>66</v>
      </c>
      <c r="K771" s="2" t="s">
        <v>468</v>
      </c>
      <c r="L771" s="2" t="s">
        <v>32</v>
      </c>
      <c r="M771" s="2" t="s">
        <v>33</v>
      </c>
      <c r="N771" s="2" t="s">
        <v>27</v>
      </c>
      <c r="O771" s="1">
        <v>42413</v>
      </c>
      <c r="P771" s="3">
        <v>5.22</v>
      </c>
      <c r="Q771" s="3">
        <v>9.85</v>
      </c>
      <c r="R771" s="3">
        <f t="shared" si="67"/>
        <v>4.63</v>
      </c>
      <c r="S771" s="2">
        <v>48</v>
      </c>
      <c r="T771" s="3">
        <f t="shared" si="68"/>
        <v>472.79999999999995</v>
      </c>
      <c r="U771" s="4">
        <v>0.09</v>
      </c>
      <c r="V771" s="6">
        <f t="shared" si="69"/>
        <v>42.551999999999992</v>
      </c>
      <c r="W771" s="6">
        <f t="shared" si="70"/>
        <v>430.24799999999993</v>
      </c>
      <c r="X771" s="3">
        <v>4.82</v>
      </c>
      <c r="Y771" s="5">
        <f t="shared" si="71"/>
        <v>435.06799999999993</v>
      </c>
    </row>
    <row r="772" spans="1:25" x14ac:dyDescent="0.2">
      <c r="A772" t="s">
        <v>922</v>
      </c>
      <c r="B772" s="1">
        <v>42412</v>
      </c>
      <c r="C772" s="2" t="str">
        <f t="shared" si="66"/>
        <v>2016</v>
      </c>
      <c r="D772" s="2" t="s">
        <v>467</v>
      </c>
      <c r="E772" s="2" t="s">
        <v>276</v>
      </c>
      <c r="F772" s="2" t="s">
        <v>19</v>
      </c>
      <c r="G772" s="2" t="s">
        <v>20</v>
      </c>
      <c r="H772" s="2" t="s">
        <v>42</v>
      </c>
      <c r="I772" s="2" t="s">
        <v>22</v>
      </c>
      <c r="J772" s="2" t="s">
        <v>66</v>
      </c>
      <c r="K772" s="2" t="s">
        <v>306</v>
      </c>
      <c r="L772" s="2" t="s">
        <v>32</v>
      </c>
      <c r="M772" s="2" t="s">
        <v>33</v>
      </c>
      <c r="N772" s="2" t="s">
        <v>27</v>
      </c>
      <c r="O772" s="1">
        <v>42413</v>
      </c>
      <c r="P772" s="3">
        <v>1.76</v>
      </c>
      <c r="Q772" s="3">
        <v>2.94</v>
      </c>
      <c r="R772" s="3">
        <f t="shared" si="67"/>
        <v>1.18</v>
      </c>
      <c r="S772" s="2">
        <v>18</v>
      </c>
      <c r="T772" s="3">
        <f t="shared" si="68"/>
        <v>52.92</v>
      </c>
      <c r="U772" s="4">
        <v>0.01</v>
      </c>
      <c r="V772" s="6">
        <f t="shared" si="69"/>
        <v>0.5292</v>
      </c>
      <c r="W772" s="6">
        <f t="shared" si="70"/>
        <v>52.390799999999999</v>
      </c>
      <c r="X772" s="3">
        <v>0.81</v>
      </c>
      <c r="Y772" s="5">
        <f t="shared" si="71"/>
        <v>53.200800000000001</v>
      </c>
    </row>
    <row r="773" spans="1:25" x14ac:dyDescent="0.2">
      <c r="A773" t="s">
        <v>1638</v>
      </c>
      <c r="B773" s="1">
        <v>42413</v>
      </c>
      <c r="C773" s="2" t="str">
        <f t="shared" si="66"/>
        <v>2016</v>
      </c>
      <c r="D773" s="2" t="s">
        <v>464</v>
      </c>
      <c r="E773" s="2" t="s">
        <v>465</v>
      </c>
      <c r="F773" s="2" t="s">
        <v>36</v>
      </c>
      <c r="G773" s="2" t="s">
        <v>37</v>
      </c>
      <c r="H773" s="2" t="s">
        <v>29</v>
      </c>
      <c r="I773" s="2" t="s">
        <v>79</v>
      </c>
      <c r="J773" s="2" t="s">
        <v>44</v>
      </c>
      <c r="K773" s="2" t="s">
        <v>149</v>
      </c>
      <c r="L773" s="2" t="s">
        <v>150</v>
      </c>
      <c r="M773" s="2" t="s">
        <v>58</v>
      </c>
      <c r="N773" s="2" t="s">
        <v>27</v>
      </c>
      <c r="O773" s="1">
        <v>42414</v>
      </c>
      <c r="P773" s="3">
        <v>5.5</v>
      </c>
      <c r="Q773" s="3">
        <v>12.22</v>
      </c>
      <c r="R773" s="3">
        <f t="shared" si="67"/>
        <v>6.7200000000000006</v>
      </c>
      <c r="S773" s="2">
        <v>10</v>
      </c>
      <c r="T773" s="3">
        <f t="shared" si="68"/>
        <v>122.2</v>
      </c>
      <c r="U773" s="4">
        <v>0.1</v>
      </c>
      <c r="V773" s="6">
        <f t="shared" si="69"/>
        <v>12.22</v>
      </c>
      <c r="W773" s="6">
        <f t="shared" si="70"/>
        <v>109.98</v>
      </c>
      <c r="X773" s="3">
        <v>2.85</v>
      </c>
      <c r="Y773" s="5">
        <f t="shared" si="71"/>
        <v>112.83</v>
      </c>
    </row>
    <row r="774" spans="1:25" x14ac:dyDescent="0.2">
      <c r="A774" t="s">
        <v>1639</v>
      </c>
      <c r="B774" s="1">
        <v>42413</v>
      </c>
      <c r="C774" s="2" t="str">
        <f t="shared" ref="C774:C837" si="72">TEXT(B774,"yyyy")</f>
        <v>2016</v>
      </c>
      <c r="D774" s="2" t="s">
        <v>466</v>
      </c>
      <c r="E774" s="2" t="s">
        <v>217</v>
      </c>
      <c r="F774" s="2" t="s">
        <v>36</v>
      </c>
      <c r="G774" s="2" t="s">
        <v>37</v>
      </c>
      <c r="H774" s="2" t="s">
        <v>50</v>
      </c>
      <c r="I774" s="2" t="s">
        <v>56</v>
      </c>
      <c r="J774" s="2" t="s">
        <v>44</v>
      </c>
      <c r="K774" s="2" t="s">
        <v>144</v>
      </c>
      <c r="L774" s="2" t="s">
        <v>32</v>
      </c>
      <c r="M774" s="2" t="s">
        <v>58</v>
      </c>
      <c r="N774" s="2" t="s">
        <v>89</v>
      </c>
      <c r="O774" s="1">
        <v>42416</v>
      </c>
      <c r="P774" s="3">
        <v>4.1900000000000004</v>
      </c>
      <c r="Q774" s="3">
        <v>10.23</v>
      </c>
      <c r="R774" s="3">
        <f t="shared" ref="R774:R837" si="73">Q774-P774</f>
        <v>6.04</v>
      </c>
      <c r="S774" s="2">
        <v>19</v>
      </c>
      <c r="T774" s="3">
        <f t="shared" ref="T774:T837" si="74">Q774*S774</f>
        <v>194.37</v>
      </c>
      <c r="U774" s="4">
        <v>0.08</v>
      </c>
      <c r="V774" s="6">
        <f t="shared" ref="V774:V837" si="75">T774*U774</f>
        <v>15.5496</v>
      </c>
      <c r="W774" s="6">
        <f t="shared" ref="W774:W837" si="76">T774-V774</f>
        <v>178.82040000000001</v>
      </c>
      <c r="X774" s="3">
        <v>4.68</v>
      </c>
      <c r="Y774" s="5">
        <f t="shared" ref="Y774:Y837" si="77">W774+X774</f>
        <v>183.50040000000001</v>
      </c>
    </row>
    <row r="775" spans="1:25" x14ac:dyDescent="0.2">
      <c r="A775" t="s">
        <v>1640</v>
      </c>
      <c r="B775" s="1">
        <v>42413</v>
      </c>
      <c r="C775" s="2" t="str">
        <f t="shared" si="72"/>
        <v>2016</v>
      </c>
      <c r="D775" s="2" t="s">
        <v>333</v>
      </c>
      <c r="E775" s="2" t="s">
        <v>202</v>
      </c>
      <c r="F775" s="2" t="s">
        <v>19</v>
      </c>
      <c r="G775" s="2" t="s">
        <v>20</v>
      </c>
      <c r="H775" s="2" t="s">
        <v>29</v>
      </c>
      <c r="I775" s="2" t="s">
        <v>22</v>
      </c>
      <c r="J775" s="2" t="s">
        <v>44</v>
      </c>
      <c r="K775" s="2" t="s">
        <v>334</v>
      </c>
      <c r="L775" s="2" t="s">
        <v>32</v>
      </c>
      <c r="M775" s="2" t="s">
        <v>33</v>
      </c>
      <c r="N775" s="2" t="s">
        <v>27</v>
      </c>
      <c r="O775" s="1">
        <v>42416</v>
      </c>
      <c r="P775" s="3">
        <v>2.9</v>
      </c>
      <c r="Q775" s="3">
        <v>4.76</v>
      </c>
      <c r="R775" s="3">
        <f t="shared" si="73"/>
        <v>1.8599999999999999</v>
      </c>
      <c r="S775" s="2">
        <v>33</v>
      </c>
      <c r="T775" s="3">
        <f t="shared" si="74"/>
        <v>157.07999999999998</v>
      </c>
      <c r="U775" s="4">
        <v>0.06</v>
      </c>
      <c r="V775" s="6">
        <f t="shared" si="75"/>
        <v>9.4247999999999994</v>
      </c>
      <c r="W775" s="6">
        <f t="shared" si="76"/>
        <v>147.65519999999998</v>
      </c>
      <c r="X775" s="3">
        <v>0.88</v>
      </c>
      <c r="Y775" s="5">
        <f t="shared" si="77"/>
        <v>148.53519999999997</v>
      </c>
    </row>
    <row r="776" spans="1:25" x14ac:dyDescent="0.2">
      <c r="A776" t="s">
        <v>1641</v>
      </c>
      <c r="B776" s="1">
        <v>42416</v>
      </c>
      <c r="C776" s="2" t="str">
        <f t="shared" si="72"/>
        <v>2016</v>
      </c>
      <c r="D776" s="2" t="s">
        <v>462</v>
      </c>
      <c r="E776" s="2" t="s">
        <v>188</v>
      </c>
      <c r="F776" s="2" t="s">
        <v>36</v>
      </c>
      <c r="G776" s="2" t="s">
        <v>37</v>
      </c>
      <c r="H776" s="2" t="s">
        <v>42</v>
      </c>
      <c r="I776" s="2" t="s">
        <v>75</v>
      </c>
      <c r="J776" s="2" t="s">
        <v>52</v>
      </c>
      <c r="K776" s="2" t="s">
        <v>330</v>
      </c>
      <c r="L776" s="2" t="s">
        <v>32</v>
      </c>
      <c r="M776" s="2" t="s">
        <v>26</v>
      </c>
      <c r="N776" s="2" t="s">
        <v>27</v>
      </c>
      <c r="O776" s="1">
        <v>42417</v>
      </c>
      <c r="P776" s="3">
        <v>4.53</v>
      </c>
      <c r="Q776" s="3">
        <v>7.3</v>
      </c>
      <c r="R776" s="3">
        <f t="shared" si="73"/>
        <v>2.7699999999999996</v>
      </c>
      <c r="S776" s="2">
        <v>36</v>
      </c>
      <c r="T776" s="3">
        <f t="shared" si="74"/>
        <v>262.8</v>
      </c>
      <c r="U776" s="4">
        <v>0.1</v>
      </c>
      <c r="V776" s="6">
        <f t="shared" si="75"/>
        <v>26.28</v>
      </c>
      <c r="W776" s="6">
        <f t="shared" si="76"/>
        <v>236.52</v>
      </c>
      <c r="X776" s="3">
        <v>7.72</v>
      </c>
      <c r="Y776" s="5">
        <f t="shared" si="77"/>
        <v>244.24</v>
      </c>
    </row>
    <row r="777" spans="1:25" x14ac:dyDescent="0.2">
      <c r="A777" t="s">
        <v>1642</v>
      </c>
      <c r="B777" s="1">
        <v>42416</v>
      </c>
      <c r="C777" s="2" t="str">
        <f t="shared" si="72"/>
        <v>2016</v>
      </c>
      <c r="D777" s="2" t="s">
        <v>463</v>
      </c>
      <c r="E777" s="2" t="s">
        <v>99</v>
      </c>
      <c r="F777" s="2" t="s">
        <v>36</v>
      </c>
      <c r="G777" s="2" t="s">
        <v>37</v>
      </c>
      <c r="H777" s="2" t="s">
        <v>50</v>
      </c>
      <c r="I777" s="2" t="s">
        <v>56</v>
      </c>
      <c r="J777" s="2" t="s">
        <v>23</v>
      </c>
      <c r="K777" s="2" t="s">
        <v>252</v>
      </c>
      <c r="L777" s="2" t="s">
        <v>32</v>
      </c>
      <c r="M777" s="2" t="s">
        <v>33</v>
      </c>
      <c r="N777" s="2" t="s">
        <v>27</v>
      </c>
      <c r="O777" s="1">
        <v>42421</v>
      </c>
      <c r="P777" s="3">
        <v>2.59</v>
      </c>
      <c r="Q777" s="3">
        <v>3.98</v>
      </c>
      <c r="R777" s="3">
        <f t="shared" si="73"/>
        <v>1.3900000000000001</v>
      </c>
      <c r="S777" s="2">
        <v>11</v>
      </c>
      <c r="T777" s="3">
        <f t="shared" si="74"/>
        <v>43.78</v>
      </c>
      <c r="U777" s="4">
        <v>0.01</v>
      </c>
      <c r="V777" s="6">
        <f t="shared" si="75"/>
        <v>0.43780000000000002</v>
      </c>
      <c r="W777" s="6">
        <f t="shared" si="76"/>
        <v>43.342199999999998</v>
      </c>
      <c r="X777" s="3">
        <v>2.97</v>
      </c>
      <c r="Y777" s="5">
        <f t="shared" si="77"/>
        <v>46.312199999999997</v>
      </c>
    </row>
    <row r="778" spans="1:25" x14ac:dyDescent="0.2">
      <c r="A778" t="s">
        <v>1643</v>
      </c>
      <c r="B778" s="1">
        <v>42417</v>
      </c>
      <c r="C778" s="2" t="str">
        <f t="shared" si="72"/>
        <v>2016</v>
      </c>
      <c r="D778" s="2" t="s">
        <v>198</v>
      </c>
      <c r="E778" s="2" t="s">
        <v>199</v>
      </c>
      <c r="F778" s="2" t="s">
        <v>19</v>
      </c>
      <c r="G778" s="2" t="s">
        <v>20</v>
      </c>
      <c r="H778" s="2" t="s">
        <v>21</v>
      </c>
      <c r="I778" s="2" t="s">
        <v>92</v>
      </c>
      <c r="J778" s="2" t="s">
        <v>52</v>
      </c>
      <c r="K778" s="2" t="s">
        <v>116</v>
      </c>
      <c r="L778" s="2" t="s">
        <v>32</v>
      </c>
      <c r="M778" s="2" t="s">
        <v>33</v>
      </c>
      <c r="N778" s="2" t="s">
        <v>27</v>
      </c>
      <c r="O778" s="1">
        <v>42418</v>
      </c>
      <c r="P778" s="3">
        <v>1.6</v>
      </c>
      <c r="Q778" s="3">
        <v>2.62</v>
      </c>
      <c r="R778" s="3">
        <f t="shared" si="73"/>
        <v>1.02</v>
      </c>
      <c r="S778" s="2">
        <v>48</v>
      </c>
      <c r="T778" s="3">
        <f t="shared" si="74"/>
        <v>125.76</v>
      </c>
      <c r="U778" s="4">
        <v>0.1</v>
      </c>
      <c r="V778" s="6">
        <f t="shared" si="75"/>
        <v>12.576000000000001</v>
      </c>
      <c r="W778" s="6">
        <f t="shared" si="76"/>
        <v>113.184</v>
      </c>
      <c r="X778" s="3">
        <v>0.8</v>
      </c>
      <c r="Y778" s="5">
        <f t="shared" si="77"/>
        <v>113.98399999999999</v>
      </c>
    </row>
    <row r="779" spans="1:25" x14ac:dyDescent="0.2">
      <c r="A779" t="s">
        <v>1644</v>
      </c>
      <c r="B779" s="1">
        <v>42420</v>
      </c>
      <c r="C779" s="2" t="str">
        <f t="shared" si="72"/>
        <v>2016</v>
      </c>
      <c r="D779" s="2" t="s">
        <v>461</v>
      </c>
      <c r="E779" s="2" t="s">
        <v>1913</v>
      </c>
      <c r="F779" s="2" t="s">
        <v>19</v>
      </c>
      <c r="G779" s="2" t="s">
        <v>20</v>
      </c>
      <c r="H779" s="2" t="s">
        <v>50</v>
      </c>
      <c r="I779" s="2" t="s">
        <v>92</v>
      </c>
      <c r="J779" s="2" t="s">
        <v>66</v>
      </c>
      <c r="K779" s="2" t="s">
        <v>290</v>
      </c>
      <c r="L779" s="2" t="s">
        <v>25</v>
      </c>
      <c r="M779" s="2" t="s">
        <v>26</v>
      </c>
      <c r="N779" s="2" t="s">
        <v>27</v>
      </c>
      <c r="O779" s="1">
        <v>42422</v>
      </c>
      <c r="P779" s="3">
        <v>14.7</v>
      </c>
      <c r="Q779" s="3">
        <v>29.99</v>
      </c>
      <c r="R779" s="3">
        <f t="shared" si="73"/>
        <v>15.29</v>
      </c>
      <c r="S779" s="2">
        <v>11</v>
      </c>
      <c r="T779" s="3">
        <f t="shared" si="74"/>
        <v>329.89</v>
      </c>
      <c r="U779" s="4">
        <v>0.08</v>
      </c>
      <c r="V779" s="6">
        <f t="shared" si="75"/>
        <v>26.391199999999998</v>
      </c>
      <c r="W779" s="6">
        <f t="shared" si="76"/>
        <v>303.49879999999996</v>
      </c>
      <c r="X779" s="3">
        <v>5.5</v>
      </c>
      <c r="Y779" s="5">
        <f t="shared" si="77"/>
        <v>308.99879999999996</v>
      </c>
    </row>
    <row r="780" spans="1:25" x14ac:dyDescent="0.2">
      <c r="A780" t="s">
        <v>1645</v>
      </c>
      <c r="B780" s="1">
        <v>42422</v>
      </c>
      <c r="C780" s="2" t="str">
        <f t="shared" si="72"/>
        <v>2016</v>
      </c>
      <c r="D780" s="2" t="s">
        <v>460</v>
      </c>
      <c r="E780" s="2" t="s">
        <v>60</v>
      </c>
      <c r="F780" s="2" t="s">
        <v>36</v>
      </c>
      <c r="G780" s="2" t="s">
        <v>37</v>
      </c>
      <c r="H780" s="2" t="s">
        <v>42</v>
      </c>
      <c r="I780" s="2" t="s">
        <v>56</v>
      </c>
      <c r="J780" s="2" t="s">
        <v>52</v>
      </c>
      <c r="K780" s="2" t="s">
        <v>186</v>
      </c>
      <c r="L780" s="2" t="s">
        <v>25</v>
      </c>
      <c r="M780" s="2" t="s">
        <v>62</v>
      </c>
      <c r="N780" s="2" t="s">
        <v>63</v>
      </c>
      <c r="O780" s="1">
        <v>42423</v>
      </c>
      <c r="P780" s="3">
        <v>278.99</v>
      </c>
      <c r="Q780" s="3">
        <v>449.99</v>
      </c>
      <c r="R780" s="3">
        <f t="shared" si="73"/>
        <v>171</v>
      </c>
      <c r="S780" s="2">
        <v>38</v>
      </c>
      <c r="T780" s="3">
        <f t="shared" si="74"/>
        <v>17099.62</v>
      </c>
      <c r="U780" s="4">
        <v>0.01</v>
      </c>
      <c r="V780" s="6">
        <f t="shared" si="75"/>
        <v>170.99619999999999</v>
      </c>
      <c r="W780" s="6">
        <f t="shared" si="76"/>
        <v>16928.623799999998</v>
      </c>
      <c r="X780" s="3">
        <v>49</v>
      </c>
      <c r="Y780" s="5">
        <f t="shared" si="77"/>
        <v>16977.623799999998</v>
      </c>
    </row>
    <row r="781" spans="1:25" x14ac:dyDescent="0.2">
      <c r="A781" t="s">
        <v>1646</v>
      </c>
      <c r="B781" s="1">
        <v>42423</v>
      </c>
      <c r="C781" s="2" t="str">
        <f t="shared" si="72"/>
        <v>2016</v>
      </c>
      <c r="D781" s="2" t="s">
        <v>324</v>
      </c>
      <c r="E781" s="2" t="s">
        <v>325</v>
      </c>
      <c r="F781" s="2" t="s">
        <v>36</v>
      </c>
      <c r="G781" s="2" t="s">
        <v>37</v>
      </c>
      <c r="H781" s="2" t="s">
        <v>42</v>
      </c>
      <c r="I781" s="2" t="s">
        <v>96</v>
      </c>
      <c r="J781" s="2" t="s">
        <v>30</v>
      </c>
      <c r="K781" s="2" t="s">
        <v>289</v>
      </c>
      <c r="L781" s="2" t="s">
        <v>32</v>
      </c>
      <c r="M781" s="2" t="s">
        <v>26</v>
      </c>
      <c r="N781" s="2" t="s">
        <v>27</v>
      </c>
      <c r="O781" s="1">
        <v>42424</v>
      </c>
      <c r="P781" s="3">
        <v>21.97</v>
      </c>
      <c r="Q781" s="3">
        <v>35.44</v>
      </c>
      <c r="R781" s="3">
        <f t="shared" si="73"/>
        <v>13.469999999999999</v>
      </c>
      <c r="S781" s="2">
        <v>48</v>
      </c>
      <c r="T781" s="3">
        <f t="shared" si="74"/>
        <v>1701.12</v>
      </c>
      <c r="U781" s="4">
        <v>0.08</v>
      </c>
      <c r="V781" s="6">
        <f t="shared" si="75"/>
        <v>136.08959999999999</v>
      </c>
      <c r="W781" s="6">
        <f t="shared" si="76"/>
        <v>1565.0303999999999</v>
      </c>
      <c r="X781" s="3">
        <v>4.92</v>
      </c>
      <c r="Y781" s="5">
        <f t="shared" si="77"/>
        <v>1569.9503999999999</v>
      </c>
    </row>
    <row r="782" spans="1:25" x14ac:dyDescent="0.2">
      <c r="A782" t="s">
        <v>1647</v>
      </c>
      <c r="B782" s="1">
        <v>42426</v>
      </c>
      <c r="C782" s="2" t="str">
        <f t="shared" si="72"/>
        <v>2016</v>
      </c>
      <c r="D782" s="2" t="s">
        <v>458</v>
      </c>
      <c r="E782" s="2" t="s">
        <v>152</v>
      </c>
      <c r="F782" s="2" t="s">
        <v>36</v>
      </c>
      <c r="G782" s="2" t="s">
        <v>37</v>
      </c>
      <c r="H782" s="2" t="s">
        <v>29</v>
      </c>
      <c r="I782" s="2" t="s">
        <v>153</v>
      </c>
      <c r="J782" s="2" t="s">
        <v>23</v>
      </c>
      <c r="K782" s="2" t="s">
        <v>459</v>
      </c>
      <c r="L782" s="2" t="s">
        <v>32</v>
      </c>
      <c r="M782" s="2" t="s">
        <v>33</v>
      </c>
      <c r="N782" s="2" t="s">
        <v>27</v>
      </c>
      <c r="O782" s="1">
        <v>42433</v>
      </c>
      <c r="P782" s="3">
        <v>2.98</v>
      </c>
      <c r="Q782" s="3">
        <v>5.84</v>
      </c>
      <c r="R782" s="3">
        <f t="shared" si="73"/>
        <v>2.86</v>
      </c>
      <c r="S782" s="2">
        <v>19</v>
      </c>
      <c r="T782" s="3">
        <f t="shared" si="74"/>
        <v>110.96</v>
      </c>
      <c r="U782" s="4">
        <v>0.01</v>
      </c>
      <c r="V782" s="6">
        <f t="shared" si="75"/>
        <v>1.1095999999999999</v>
      </c>
      <c r="W782" s="6">
        <f t="shared" si="76"/>
        <v>109.85039999999999</v>
      </c>
      <c r="X782" s="3">
        <v>0.83</v>
      </c>
      <c r="Y782" s="5">
        <f t="shared" si="77"/>
        <v>110.68039999999999</v>
      </c>
    </row>
    <row r="783" spans="1:25" x14ac:dyDescent="0.2">
      <c r="A783" t="s">
        <v>1648</v>
      </c>
      <c r="B783" s="1">
        <v>42429</v>
      </c>
      <c r="C783" s="2" t="str">
        <f t="shared" si="72"/>
        <v>2016</v>
      </c>
      <c r="D783" s="2" t="s">
        <v>385</v>
      </c>
      <c r="E783" s="2" t="s">
        <v>1931</v>
      </c>
      <c r="F783" s="2" t="s">
        <v>1881</v>
      </c>
      <c r="G783" s="2" t="s">
        <v>1882</v>
      </c>
      <c r="H783" s="2" t="s">
        <v>42</v>
      </c>
      <c r="I783" s="2" t="s">
        <v>153</v>
      </c>
      <c r="J783" s="2" t="s">
        <v>30</v>
      </c>
      <c r="K783" s="2" t="s">
        <v>277</v>
      </c>
      <c r="L783" s="2" t="s">
        <v>32</v>
      </c>
      <c r="M783" s="2" t="s">
        <v>26</v>
      </c>
      <c r="N783" s="2" t="s">
        <v>27</v>
      </c>
      <c r="O783" s="1">
        <v>42429</v>
      </c>
      <c r="P783" s="3">
        <v>54.29</v>
      </c>
      <c r="Q783" s="3">
        <v>90.48</v>
      </c>
      <c r="R783" s="3">
        <f t="shared" si="73"/>
        <v>36.190000000000005</v>
      </c>
      <c r="S783" s="2">
        <v>16</v>
      </c>
      <c r="T783" s="3">
        <f t="shared" si="74"/>
        <v>1447.68</v>
      </c>
      <c r="U783" s="4">
        <v>0</v>
      </c>
      <c r="V783" s="6">
        <f t="shared" si="75"/>
        <v>0</v>
      </c>
      <c r="W783" s="6">
        <f t="shared" si="76"/>
        <v>1447.68</v>
      </c>
      <c r="X783" s="3">
        <v>19.989999999999998</v>
      </c>
      <c r="Y783" s="5">
        <f t="shared" si="77"/>
        <v>1467.67</v>
      </c>
    </row>
    <row r="784" spans="1:25" x14ac:dyDescent="0.2">
      <c r="A784" t="s">
        <v>1649</v>
      </c>
      <c r="B784" s="1">
        <v>42434</v>
      </c>
      <c r="C784" s="2" t="str">
        <f t="shared" si="72"/>
        <v>2016</v>
      </c>
      <c r="D784" s="2" t="s">
        <v>457</v>
      </c>
      <c r="E784" s="2" t="s">
        <v>271</v>
      </c>
      <c r="F784" s="2" t="s">
        <v>36</v>
      </c>
      <c r="G784" s="2" t="s">
        <v>37</v>
      </c>
      <c r="H784" s="2" t="s">
        <v>21</v>
      </c>
      <c r="I784" s="2" t="s">
        <v>102</v>
      </c>
      <c r="J784" s="2" t="s">
        <v>23</v>
      </c>
      <c r="K784" s="2" t="s">
        <v>351</v>
      </c>
      <c r="L784" s="2" t="s">
        <v>32</v>
      </c>
      <c r="M784" s="2" t="s">
        <v>33</v>
      </c>
      <c r="N784" s="2" t="s">
        <v>27</v>
      </c>
      <c r="O784" s="1">
        <v>42438</v>
      </c>
      <c r="P784" s="3">
        <v>0.93</v>
      </c>
      <c r="Q784" s="3">
        <v>1.6</v>
      </c>
      <c r="R784" s="3">
        <f t="shared" si="73"/>
        <v>0.67</v>
      </c>
      <c r="S784" s="2">
        <v>43</v>
      </c>
      <c r="T784" s="3">
        <f t="shared" si="74"/>
        <v>68.8</v>
      </c>
      <c r="U784" s="4">
        <v>0.01</v>
      </c>
      <c r="V784" s="6">
        <f t="shared" si="75"/>
        <v>0.68799999999999994</v>
      </c>
      <c r="W784" s="6">
        <f t="shared" si="76"/>
        <v>68.111999999999995</v>
      </c>
      <c r="X784" s="3">
        <v>1.29</v>
      </c>
      <c r="Y784" s="5">
        <f t="shared" si="77"/>
        <v>69.402000000000001</v>
      </c>
    </row>
    <row r="785" spans="1:25" x14ac:dyDescent="0.2">
      <c r="A785" t="s">
        <v>1650</v>
      </c>
      <c r="B785" s="1">
        <v>42435</v>
      </c>
      <c r="C785" s="2" t="str">
        <f t="shared" si="72"/>
        <v>2016</v>
      </c>
      <c r="D785" s="2" t="s">
        <v>455</v>
      </c>
      <c r="E785" s="2" t="s">
        <v>138</v>
      </c>
      <c r="F785" s="2" t="s">
        <v>36</v>
      </c>
      <c r="G785" s="2" t="s">
        <v>37</v>
      </c>
      <c r="H785" s="2" t="s">
        <v>42</v>
      </c>
      <c r="I785" s="2" t="s">
        <v>51</v>
      </c>
      <c r="J785" s="2" t="s">
        <v>23</v>
      </c>
      <c r="K785" s="2" t="s">
        <v>456</v>
      </c>
      <c r="L785" s="2" t="s">
        <v>25</v>
      </c>
      <c r="M785" s="2" t="s">
        <v>26</v>
      </c>
      <c r="N785" s="2" t="s">
        <v>27</v>
      </c>
      <c r="O785" s="1">
        <v>42440</v>
      </c>
      <c r="P785" s="3">
        <v>41.28</v>
      </c>
      <c r="Q785" s="3">
        <v>95.99</v>
      </c>
      <c r="R785" s="3">
        <f t="shared" si="73"/>
        <v>54.709999999999994</v>
      </c>
      <c r="S785" s="2">
        <v>40</v>
      </c>
      <c r="T785" s="3">
        <f t="shared" si="74"/>
        <v>3839.6</v>
      </c>
      <c r="U785" s="4">
        <v>0.05</v>
      </c>
      <c r="V785" s="6">
        <f t="shared" si="75"/>
        <v>191.98000000000002</v>
      </c>
      <c r="W785" s="6">
        <f t="shared" si="76"/>
        <v>3647.62</v>
      </c>
      <c r="X785" s="3">
        <v>8.99</v>
      </c>
      <c r="Y785" s="5">
        <f t="shared" si="77"/>
        <v>3656.6099999999997</v>
      </c>
    </row>
    <row r="786" spans="1:25" x14ac:dyDescent="0.2">
      <c r="A786" t="s">
        <v>1651</v>
      </c>
      <c r="B786" s="1">
        <v>42435</v>
      </c>
      <c r="C786" s="2" t="str">
        <f t="shared" si="72"/>
        <v>2016</v>
      </c>
      <c r="D786" s="2" t="s">
        <v>443</v>
      </c>
      <c r="E786" s="2" t="s">
        <v>444</v>
      </c>
      <c r="F786" s="2" t="s">
        <v>36</v>
      </c>
      <c r="G786" s="2" t="s">
        <v>37</v>
      </c>
      <c r="H786" s="2" t="s">
        <v>50</v>
      </c>
      <c r="I786" s="2" t="s">
        <v>142</v>
      </c>
      <c r="J786" s="2" t="s">
        <v>52</v>
      </c>
      <c r="K786" s="2" t="s">
        <v>67</v>
      </c>
      <c r="L786" s="2" t="s">
        <v>32</v>
      </c>
      <c r="M786" s="2" t="s">
        <v>26</v>
      </c>
      <c r="N786" s="2" t="s">
        <v>89</v>
      </c>
      <c r="O786" s="1">
        <v>42436</v>
      </c>
      <c r="P786" s="3">
        <v>3.99</v>
      </c>
      <c r="Q786" s="3">
        <v>6.23</v>
      </c>
      <c r="R786" s="3">
        <f t="shared" si="73"/>
        <v>2.2400000000000002</v>
      </c>
      <c r="S786" s="2">
        <v>33</v>
      </c>
      <c r="T786" s="3">
        <f t="shared" si="74"/>
        <v>205.59</v>
      </c>
      <c r="U786" s="4">
        <v>0.08</v>
      </c>
      <c r="V786" s="6">
        <f t="shared" si="75"/>
        <v>16.447200000000002</v>
      </c>
      <c r="W786" s="6">
        <f t="shared" si="76"/>
        <v>189.14279999999999</v>
      </c>
      <c r="X786" s="3">
        <v>6.97</v>
      </c>
      <c r="Y786" s="5">
        <f t="shared" si="77"/>
        <v>196.11279999999999</v>
      </c>
    </row>
    <row r="787" spans="1:25" x14ac:dyDescent="0.2">
      <c r="A787" t="s">
        <v>1652</v>
      </c>
      <c r="B787" s="1">
        <v>42436</v>
      </c>
      <c r="C787" s="2" t="str">
        <f t="shared" si="72"/>
        <v>2016</v>
      </c>
      <c r="D787" s="2" t="s">
        <v>59</v>
      </c>
      <c r="E787" s="2" t="s">
        <v>60</v>
      </c>
      <c r="F787" s="2" t="s">
        <v>36</v>
      </c>
      <c r="G787" s="2" t="s">
        <v>37</v>
      </c>
      <c r="H787" s="2" t="s">
        <v>21</v>
      </c>
      <c r="I787" s="2" t="s">
        <v>56</v>
      </c>
      <c r="J787" s="2" t="s">
        <v>30</v>
      </c>
      <c r="K787" s="2" t="s">
        <v>234</v>
      </c>
      <c r="L787" s="2" t="s">
        <v>32</v>
      </c>
      <c r="M787" s="2" t="s">
        <v>58</v>
      </c>
      <c r="N787" s="2" t="s">
        <v>27</v>
      </c>
      <c r="O787" s="1">
        <v>42437</v>
      </c>
      <c r="P787" s="3">
        <v>16.8</v>
      </c>
      <c r="Q787" s="3">
        <v>40.97</v>
      </c>
      <c r="R787" s="3">
        <f t="shared" si="73"/>
        <v>24.169999999999998</v>
      </c>
      <c r="S787" s="2">
        <v>14</v>
      </c>
      <c r="T787" s="3">
        <f t="shared" si="74"/>
        <v>573.57999999999993</v>
      </c>
      <c r="U787" s="4">
        <v>0</v>
      </c>
      <c r="V787" s="6">
        <f t="shared" si="75"/>
        <v>0</v>
      </c>
      <c r="W787" s="6">
        <f t="shared" si="76"/>
        <v>573.57999999999993</v>
      </c>
      <c r="X787" s="3">
        <v>8.99</v>
      </c>
      <c r="Y787" s="5">
        <f t="shared" si="77"/>
        <v>582.56999999999994</v>
      </c>
    </row>
    <row r="788" spans="1:25" x14ac:dyDescent="0.2">
      <c r="A788" t="s">
        <v>1653</v>
      </c>
      <c r="B788" s="1">
        <v>42438</v>
      </c>
      <c r="C788" s="2" t="str">
        <f t="shared" si="72"/>
        <v>2016</v>
      </c>
      <c r="D788" s="2" t="s">
        <v>454</v>
      </c>
      <c r="E788" s="2" t="s">
        <v>166</v>
      </c>
      <c r="F788" s="2" t="s">
        <v>19</v>
      </c>
      <c r="G788" s="2" t="s">
        <v>20</v>
      </c>
      <c r="H788" s="2" t="s">
        <v>50</v>
      </c>
      <c r="I788" s="2" t="s">
        <v>92</v>
      </c>
      <c r="J788" s="2" t="s">
        <v>30</v>
      </c>
      <c r="K788" s="2" t="s">
        <v>24</v>
      </c>
      <c r="L788" s="2" t="s">
        <v>25</v>
      </c>
      <c r="M788" s="2" t="s">
        <v>26</v>
      </c>
      <c r="N788" s="2" t="s">
        <v>27</v>
      </c>
      <c r="O788" s="1">
        <v>42439</v>
      </c>
      <c r="P788" s="3">
        <v>6.39</v>
      </c>
      <c r="Q788" s="3">
        <v>19.98</v>
      </c>
      <c r="R788" s="3">
        <f t="shared" si="73"/>
        <v>13.59</v>
      </c>
      <c r="S788" s="2">
        <v>39</v>
      </c>
      <c r="T788" s="3">
        <f t="shared" si="74"/>
        <v>779.22</v>
      </c>
      <c r="U788" s="4">
        <v>0.05</v>
      </c>
      <c r="V788" s="6">
        <f t="shared" si="75"/>
        <v>38.961000000000006</v>
      </c>
      <c r="W788" s="6">
        <f t="shared" si="76"/>
        <v>740.25900000000001</v>
      </c>
      <c r="X788" s="3">
        <v>4</v>
      </c>
      <c r="Y788" s="5">
        <f t="shared" si="77"/>
        <v>744.25900000000001</v>
      </c>
    </row>
    <row r="789" spans="1:25" x14ac:dyDescent="0.2">
      <c r="A789" t="s">
        <v>1654</v>
      </c>
      <c r="B789" s="1">
        <v>42440</v>
      </c>
      <c r="C789" s="2" t="str">
        <f t="shared" si="72"/>
        <v>2016</v>
      </c>
      <c r="D789" s="2" t="s">
        <v>303</v>
      </c>
      <c r="E789" s="2" t="s">
        <v>101</v>
      </c>
      <c r="F789" s="2" t="s">
        <v>36</v>
      </c>
      <c r="G789" s="2" t="s">
        <v>37</v>
      </c>
      <c r="H789" s="2" t="s">
        <v>42</v>
      </c>
      <c r="I789" s="2" t="s">
        <v>102</v>
      </c>
      <c r="J789" s="2" t="s">
        <v>30</v>
      </c>
      <c r="K789" s="2" t="s">
        <v>167</v>
      </c>
      <c r="L789" s="2" t="s">
        <v>32</v>
      </c>
      <c r="M789" s="2" t="s">
        <v>26</v>
      </c>
      <c r="N789" s="2" t="s">
        <v>27</v>
      </c>
      <c r="O789" s="1">
        <v>42442</v>
      </c>
      <c r="P789" s="3">
        <v>14.95</v>
      </c>
      <c r="Q789" s="3">
        <v>34.76</v>
      </c>
      <c r="R789" s="3">
        <f t="shared" si="73"/>
        <v>19.809999999999999</v>
      </c>
      <c r="S789" s="2">
        <v>27</v>
      </c>
      <c r="T789" s="3">
        <f t="shared" si="74"/>
        <v>938.52</v>
      </c>
      <c r="U789" s="4">
        <v>0.1</v>
      </c>
      <c r="V789" s="6">
        <f t="shared" si="75"/>
        <v>93.852000000000004</v>
      </c>
      <c r="W789" s="6">
        <f t="shared" si="76"/>
        <v>844.66800000000001</v>
      </c>
      <c r="X789" s="3">
        <v>8.2200000000000006</v>
      </c>
      <c r="Y789" s="5">
        <f t="shared" si="77"/>
        <v>852.88800000000003</v>
      </c>
    </row>
    <row r="790" spans="1:25" x14ac:dyDescent="0.2">
      <c r="A790" t="s">
        <v>1655</v>
      </c>
      <c r="B790" s="1">
        <v>42441</v>
      </c>
      <c r="C790" s="2" t="str">
        <f t="shared" si="72"/>
        <v>2016</v>
      </c>
      <c r="D790" s="2" t="s">
        <v>450</v>
      </c>
      <c r="E790" s="2" t="s">
        <v>451</v>
      </c>
      <c r="F790" s="2" t="s">
        <v>36</v>
      </c>
      <c r="G790" s="2" t="s">
        <v>37</v>
      </c>
      <c r="H790" s="2" t="s">
        <v>21</v>
      </c>
      <c r="I790" s="2" t="s">
        <v>51</v>
      </c>
      <c r="J790" s="2" t="s">
        <v>30</v>
      </c>
      <c r="K790" s="2" t="s">
        <v>452</v>
      </c>
      <c r="L790" s="2" t="s">
        <v>32</v>
      </c>
      <c r="M790" s="2" t="s">
        <v>33</v>
      </c>
      <c r="N790" s="2" t="s">
        <v>27</v>
      </c>
      <c r="O790" s="1">
        <v>42441</v>
      </c>
      <c r="P790" s="3">
        <v>0.94</v>
      </c>
      <c r="Q790" s="3">
        <v>1.88</v>
      </c>
      <c r="R790" s="3">
        <f t="shared" si="73"/>
        <v>0.94</v>
      </c>
      <c r="S790" s="2">
        <v>36</v>
      </c>
      <c r="T790" s="3">
        <f t="shared" si="74"/>
        <v>67.679999999999993</v>
      </c>
      <c r="U790" s="4">
        <v>0.04</v>
      </c>
      <c r="V790" s="6">
        <f t="shared" si="75"/>
        <v>2.7071999999999998</v>
      </c>
      <c r="W790" s="6">
        <f t="shared" si="76"/>
        <v>64.972799999999992</v>
      </c>
      <c r="X790" s="3">
        <v>0.79</v>
      </c>
      <c r="Y790" s="5">
        <f t="shared" si="77"/>
        <v>65.762799999999999</v>
      </c>
    </row>
    <row r="791" spans="1:25" x14ac:dyDescent="0.2">
      <c r="A791" t="s">
        <v>1656</v>
      </c>
      <c r="B791" s="1">
        <v>42441</v>
      </c>
      <c r="C791" s="2" t="str">
        <f t="shared" si="72"/>
        <v>2016</v>
      </c>
      <c r="D791" s="2" t="s">
        <v>453</v>
      </c>
      <c r="E791" s="2" t="s">
        <v>1912</v>
      </c>
      <c r="F791" s="2" t="s">
        <v>36</v>
      </c>
      <c r="G791" s="2" t="s">
        <v>37</v>
      </c>
      <c r="H791" s="2" t="s">
        <v>50</v>
      </c>
      <c r="I791" s="2" t="s">
        <v>153</v>
      </c>
      <c r="J791" s="2" t="s">
        <v>23</v>
      </c>
      <c r="K791" s="2" t="s">
        <v>351</v>
      </c>
      <c r="L791" s="2" t="s">
        <v>32</v>
      </c>
      <c r="M791" s="2" t="s">
        <v>33</v>
      </c>
      <c r="N791" s="2" t="s">
        <v>27</v>
      </c>
      <c r="O791" s="1">
        <v>42446</v>
      </c>
      <c r="P791" s="3">
        <v>0.93</v>
      </c>
      <c r="Q791" s="3">
        <v>1.6</v>
      </c>
      <c r="R791" s="3">
        <f t="shared" si="73"/>
        <v>0.67</v>
      </c>
      <c r="S791" s="2">
        <v>40</v>
      </c>
      <c r="T791" s="3">
        <f t="shared" si="74"/>
        <v>64</v>
      </c>
      <c r="U791" s="4">
        <v>0.01</v>
      </c>
      <c r="V791" s="6">
        <f t="shared" si="75"/>
        <v>0.64</v>
      </c>
      <c r="W791" s="6">
        <f t="shared" si="76"/>
        <v>63.36</v>
      </c>
      <c r="X791" s="3">
        <v>1.29</v>
      </c>
      <c r="Y791" s="5">
        <f t="shared" si="77"/>
        <v>64.650000000000006</v>
      </c>
    </row>
    <row r="792" spans="1:25" x14ac:dyDescent="0.2">
      <c r="A792" t="s">
        <v>1657</v>
      </c>
      <c r="B792" s="1">
        <v>42443</v>
      </c>
      <c r="C792" s="2" t="str">
        <f t="shared" si="72"/>
        <v>2016</v>
      </c>
      <c r="D792" s="2" t="s">
        <v>448</v>
      </c>
      <c r="E792" s="2" t="s">
        <v>152</v>
      </c>
      <c r="F792" s="2" t="s">
        <v>36</v>
      </c>
      <c r="G792" s="2" t="s">
        <v>37</v>
      </c>
      <c r="H792" s="2" t="s">
        <v>21</v>
      </c>
      <c r="I792" s="2" t="s">
        <v>153</v>
      </c>
      <c r="J792" s="2" t="s">
        <v>23</v>
      </c>
      <c r="K792" s="2" t="s">
        <v>449</v>
      </c>
      <c r="L792" s="2" t="s">
        <v>32</v>
      </c>
      <c r="M792" s="2" t="s">
        <v>26</v>
      </c>
      <c r="N792" s="2" t="s">
        <v>27</v>
      </c>
      <c r="O792" s="1">
        <v>42447</v>
      </c>
      <c r="P792" s="3">
        <v>12.39</v>
      </c>
      <c r="Q792" s="3">
        <v>19.98</v>
      </c>
      <c r="R792" s="3">
        <f t="shared" si="73"/>
        <v>7.59</v>
      </c>
      <c r="S792" s="2">
        <v>47</v>
      </c>
      <c r="T792" s="3">
        <f t="shared" si="74"/>
        <v>939.06000000000006</v>
      </c>
      <c r="U792" s="4">
        <v>0</v>
      </c>
      <c r="V792" s="6">
        <f t="shared" si="75"/>
        <v>0</v>
      </c>
      <c r="W792" s="6">
        <f t="shared" si="76"/>
        <v>939.06000000000006</v>
      </c>
      <c r="X792" s="3">
        <v>5.77</v>
      </c>
      <c r="Y792" s="5">
        <f t="shared" si="77"/>
        <v>944.83</v>
      </c>
    </row>
    <row r="793" spans="1:25" x14ac:dyDescent="0.2">
      <c r="A793" s="12" t="s">
        <v>1658</v>
      </c>
      <c r="B793" s="1">
        <v>42446</v>
      </c>
      <c r="C793" s="2" t="str">
        <f t="shared" si="72"/>
        <v>2016</v>
      </c>
      <c r="D793" s="2" t="s">
        <v>645</v>
      </c>
      <c r="E793" s="2" t="s">
        <v>646</v>
      </c>
      <c r="F793" s="2" t="s">
        <v>36</v>
      </c>
      <c r="G793" s="2" t="s">
        <v>37</v>
      </c>
      <c r="H793" s="2" t="s">
        <v>29</v>
      </c>
      <c r="I793" s="2" t="s">
        <v>153</v>
      </c>
      <c r="J793" s="2" t="s">
        <v>66</v>
      </c>
      <c r="K793" s="2" t="s">
        <v>365</v>
      </c>
      <c r="L793" s="2" t="s">
        <v>32</v>
      </c>
      <c r="M793" s="2" t="s">
        <v>33</v>
      </c>
      <c r="N793" s="2" t="s">
        <v>27</v>
      </c>
      <c r="O793" s="1">
        <v>42448</v>
      </c>
      <c r="P793" s="3">
        <v>21.56</v>
      </c>
      <c r="Q793" s="3">
        <v>36.549999999999997</v>
      </c>
      <c r="R793" s="3">
        <f t="shared" si="73"/>
        <v>14.989999999999998</v>
      </c>
      <c r="S793" s="2">
        <v>2</v>
      </c>
      <c r="T793" s="3">
        <f t="shared" si="74"/>
        <v>73.099999999999994</v>
      </c>
      <c r="U793" s="4">
        <v>0.03</v>
      </c>
      <c r="V793" s="6">
        <f t="shared" si="75"/>
        <v>2.1929999999999996</v>
      </c>
      <c r="W793" s="6">
        <f t="shared" si="76"/>
        <v>70.906999999999996</v>
      </c>
      <c r="X793" s="3">
        <v>13.89</v>
      </c>
      <c r="Y793" s="5">
        <f t="shared" si="77"/>
        <v>84.796999999999997</v>
      </c>
    </row>
    <row r="794" spans="1:25" x14ac:dyDescent="0.2">
      <c r="A794" t="s">
        <v>1658</v>
      </c>
      <c r="B794" s="1">
        <v>42446</v>
      </c>
      <c r="C794" s="2" t="str">
        <f t="shared" si="72"/>
        <v>2016</v>
      </c>
      <c r="D794" s="2" t="s">
        <v>147</v>
      </c>
      <c r="E794" s="2" t="s">
        <v>148</v>
      </c>
      <c r="F794" s="2" t="s">
        <v>36</v>
      </c>
      <c r="G794" s="2" t="s">
        <v>37</v>
      </c>
      <c r="H794" s="2" t="s">
        <v>50</v>
      </c>
      <c r="I794" s="2" t="s">
        <v>83</v>
      </c>
      <c r="J794" s="2" t="s">
        <v>66</v>
      </c>
      <c r="K794" s="2" t="s">
        <v>155</v>
      </c>
      <c r="L794" s="2" t="s">
        <v>32</v>
      </c>
      <c r="M794" s="2" t="s">
        <v>33</v>
      </c>
      <c r="N794" s="2" t="s">
        <v>27</v>
      </c>
      <c r="O794" s="1">
        <v>42449</v>
      </c>
      <c r="P794" s="3">
        <v>0.24</v>
      </c>
      <c r="Q794" s="3">
        <v>1.26</v>
      </c>
      <c r="R794" s="3">
        <f t="shared" si="73"/>
        <v>1.02</v>
      </c>
      <c r="S794" s="2">
        <v>47</v>
      </c>
      <c r="T794" s="3">
        <f t="shared" si="74"/>
        <v>59.22</v>
      </c>
      <c r="U794" s="4">
        <v>7.0000000000000007E-2</v>
      </c>
      <c r="V794" s="6">
        <f t="shared" si="75"/>
        <v>4.1454000000000004</v>
      </c>
      <c r="W794" s="6">
        <f t="shared" si="76"/>
        <v>55.074599999999997</v>
      </c>
      <c r="X794" s="3">
        <v>0.7</v>
      </c>
      <c r="Y794" s="5">
        <f t="shared" si="77"/>
        <v>55.7746</v>
      </c>
    </row>
    <row r="795" spans="1:25" x14ac:dyDescent="0.2">
      <c r="A795" t="s">
        <v>1659</v>
      </c>
      <c r="B795" s="1">
        <v>42446</v>
      </c>
      <c r="C795" s="2" t="str">
        <f t="shared" si="72"/>
        <v>2016</v>
      </c>
      <c r="D795" s="2" t="s">
        <v>90</v>
      </c>
      <c r="E795" s="2" t="s">
        <v>91</v>
      </c>
      <c r="F795" s="2" t="s">
        <v>19</v>
      </c>
      <c r="G795" s="2" t="s">
        <v>20</v>
      </c>
      <c r="H795" s="2" t="s">
        <v>42</v>
      </c>
      <c r="I795" s="2" t="s">
        <v>92</v>
      </c>
      <c r="J795" s="2" t="s">
        <v>30</v>
      </c>
      <c r="K795" s="2" t="s">
        <v>447</v>
      </c>
      <c r="L795" s="2" t="s">
        <v>25</v>
      </c>
      <c r="M795" s="2" t="s">
        <v>58</v>
      </c>
      <c r="N795" s="2" t="s">
        <v>89</v>
      </c>
      <c r="O795" s="1">
        <v>42447</v>
      </c>
      <c r="P795" s="3">
        <v>1.87</v>
      </c>
      <c r="Q795" s="3">
        <v>8.1199999999999992</v>
      </c>
      <c r="R795" s="3">
        <f t="shared" si="73"/>
        <v>6.2499999999999991</v>
      </c>
      <c r="S795" s="2">
        <v>37</v>
      </c>
      <c r="T795" s="3">
        <f t="shared" si="74"/>
        <v>300.44</v>
      </c>
      <c r="U795" s="4">
        <v>0.01</v>
      </c>
      <c r="V795" s="6">
        <f t="shared" si="75"/>
        <v>3.0044</v>
      </c>
      <c r="W795" s="6">
        <f t="shared" si="76"/>
        <v>297.43560000000002</v>
      </c>
      <c r="X795" s="3">
        <v>2.83</v>
      </c>
      <c r="Y795" s="5">
        <f t="shared" si="77"/>
        <v>300.26560000000001</v>
      </c>
    </row>
    <row r="796" spans="1:25" x14ac:dyDescent="0.2">
      <c r="A796" t="s">
        <v>1660</v>
      </c>
      <c r="B796" s="1">
        <v>42447</v>
      </c>
      <c r="C796" s="2" t="str">
        <f t="shared" si="72"/>
        <v>2016</v>
      </c>
      <c r="D796" s="2" t="s">
        <v>443</v>
      </c>
      <c r="E796" s="2" t="s">
        <v>444</v>
      </c>
      <c r="F796" s="2" t="s">
        <v>36</v>
      </c>
      <c r="G796" s="2" t="s">
        <v>37</v>
      </c>
      <c r="H796" s="2" t="s">
        <v>50</v>
      </c>
      <c r="I796" s="2" t="s">
        <v>142</v>
      </c>
      <c r="J796" s="2" t="s">
        <v>23</v>
      </c>
      <c r="K796" s="2" t="s">
        <v>445</v>
      </c>
      <c r="L796" s="2" t="s">
        <v>32</v>
      </c>
      <c r="M796" s="2" t="s">
        <v>26</v>
      </c>
      <c r="N796" s="2" t="s">
        <v>27</v>
      </c>
      <c r="O796" s="1">
        <v>42452</v>
      </c>
      <c r="P796" s="3">
        <v>1.84</v>
      </c>
      <c r="Q796" s="3">
        <v>2.88</v>
      </c>
      <c r="R796" s="3">
        <f t="shared" si="73"/>
        <v>1.0399999999999998</v>
      </c>
      <c r="S796" s="2">
        <v>18</v>
      </c>
      <c r="T796" s="3">
        <f t="shared" si="74"/>
        <v>51.839999999999996</v>
      </c>
      <c r="U796" s="4">
        <v>0.02</v>
      </c>
      <c r="V796" s="6">
        <f t="shared" si="75"/>
        <v>1.0367999999999999</v>
      </c>
      <c r="W796" s="6">
        <f t="shared" si="76"/>
        <v>50.803199999999997</v>
      </c>
      <c r="X796" s="3">
        <v>5.33</v>
      </c>
      <c r="Y796" s="5">
        <f t="shared" si="77"/>
        <v>56.133199999999995</v>
      </c>
    </row>
    <row r="797" spans="1:25" x14ac:dyDescent="0.2">
      <c r="A797" t="s">
        <v>1661</v>
      </c>
      <c r="B797" s="1">
        <v>42447</v>
      </c>
      <c r="C797" s="2" t="str">
        <f t="shared" si="72"/>
        <v>2016</v>
      </c>
      <c r="D797" s="2" t="s">
        <v>446</v>
      </c>
      <c r="E797" s="2" t="s">
        <v>199</v>
      </c>
      <c r="F797" s="2" t="s">
        <v>19</v>
      </c>
      <c r="G797" s="2" t="s">
        <v>20</v>
      </c>
      <c r="H797" s="2" t="s">
        <v>21</v>
      </c>
      <c r="I797" s="2" t="s">
        <v>92</v>
      </c>
      <c r="J797" s="2" t="s">
        <v>44</v>
      </c>
      <c r="K797" s="2" t="s">
        <v>53</v>
      </c>
      <c r="L797" s="2" t="s">
        <v>32</v>
      </c>
      <c r="M797" s="2" t="s">
        <v>33</v>
      </c>
      <c r="N797" s="2" t="s">
        <v>27</v>
      </c>
      <c r="O797" s="1">
        <v>42447</v>
      </c>
      <c r="P797" s="3">
        <v>3.75</v>
      </c>
      <c r="Q797" s="3">
        <v>7.08</v>
      </c>
      <c r="R797" s="3">
        <f t="shared" si="73"/>
        <v>3.33</v>
      </c>
      <c r="S797" s="2">
        <v>16</v>
      </c>
      <c r="T797" s="3">
        <f t="shared" si="74"/>
        <v>113.28</v>
      </c>
      <c r="U797" s="4">
        <v>0.02</v>
      </c>
      <c r="V797" s="6">
        <f t="shared" si="75"/>
        <v>2.2656000000000001</v>
      </c>
      <c r="W797" s="6">
        <f t="shared" si="76"/>
        <v>111.01439999999999</v>
      </c>
      <c r="X797" s="3">
        <v>2.35</v>
      </c>
      <c r="Y797" s="5">
        <f t="shared" si="77"/>
        <v>113.36439999999999</v>
      </c>
    </row>
    <row r="798" spans="1:25" x14ac:dyDescent="0.2">
      <c r="A798" t="s">
        <v>1662</v>
      </c>
      <c r="B798" s="1">
        <v>42449</v>
      </c>
      <c r="C798" s="2" t="str">
        <f t="shared" si="72"/>
        <v>2016</v>
      </c>
      <c r="D798" s="2" t="s">
        <v>441</v>
      </c>
      <c r="E798" s="2" t="s">
        <v>442</v>
      </c>
      <c r="F798" s="2" t="s">
        <v>36</v>
      </c>
      <c r="G798" s="2" t="s">
        <v>37</v>
      </c>
      <c r="H798" s="2" t="s">
        <v>50</v>
      </c>
      <c r="I798" s="2" t="s">
        <v>79</v>
      </c>
      <c r="J798" s="2" t="s">
        <v>52</v>
      </c>
      <c r="K798" s="2" t="s">
        <v>334</v>
      </c>
      <c r="L798" s="2" t="s">
        <v>32</v>
      </c>
      <c r="M798" s="2" t="s">
        <v>33</v>
      </c>
      <c r="N798" s="2" t="s">
        <v>27</v>
      </c>
      <c r="O798" s="1">
        <v>42451</v>
      </c>
      <c r="P798" s="3">
        <v>2.9</v>
      </c>
      <c r="Q798" s="3">
        <v>4.76</v>
      </c>
      <c r="R798" s="3">
        <f t="shared" si="73"/>
        <v>1.8599999999999999</v>
      </c>
      <c r="S798" s="2">
        <v>23</v>
      </c>
      <c r="T798" s="3">
        <f t="shared" si="74"/>
        <v>109.47999999999999</v>
      </c>
      <c r="U798" s="4">
        <v>0.05</v>
      </c>
      <c r="V798" s="6">
        <f t="shared" si="75"/>
        <v>5.4740000000000002</v>
      </c>
      <c r="W798" s="6">
        <f t="shared" si="76"/>
        <v>104.00599999999999</v>
      </c>
      <c r="X798" s="3">
        <v>0.88</v>
      </c>
      <c r="Y798" s="5">
        <f t="shared" si="77"/>
        <v>104.88599999999998</v>
      </c>
    </row>
    <row r="799" spans="1:25" x14ac:dyDescent="0.2">
      <c r="A799" t="s">
        <v>1663</v>
      </c>
      <c r="B799" s="1">
        <v>42450</v>
      </c>
      <c r="C799" s="2" t="str">
        <f t="shared" si="72"/>
        <v>2016</v>
      </c>
      <c r="D799" s="2" t="s">
        <v>440</v>
      </c>
      <c r="E799" s="2" t="s">
        <v>276</v>
      </c>
      <c r="F799" s="2" t="s">
        <v>19</v>
      </c>
      <c r="G799" s="2" t="s">
        <v>20</v>
      </c>
      <c r="H799" s="2" t="s">
        <v>50</v>
      </c>
      <c r="I799" s="2" t="s">
        <v>22</v>
      </c>
      <c r="J799" s="2" t="s">
        <v>30</v>
      </c>
      <c r="K799" s="2" t="s">
        <v>84</v>
      </c>
      <c r="L799" s="2" t="s">
        <v>25</v>
      </c>
      <c r="M799" s="2" t="s">
        <v>85</v>
      </c>
      <c r="N799" s="2" t="s">
        <v>27</v>
      </c>
      <c r="O799" s="1">
        <v>42451</v>
      </c>
      <c r="P799" s="3">
        <v>8.82</v>
      </c>
      <c r="Q799" s="3">
        <v>20.99</v>
      </c>
      <c r="R799" s="3">
        <f t="shared" si="73"/>
        <v>12.169999999999998</v>
      </c>
      <c r="S799" s="2">
        <v>2</v>
      </c>
      <c r="T799" s="3">
        <f t="shared" si="74"/>
        <v>41.98</v>
      </c>
      <c r="U799" s="4">
        <v>7.0000000000000007E-2</v>
      </c>
      <c r="V799" s="6">
        <f t="shared" si="75"/>
        <v>2.9386000000000001</v>
      </c>
      <c r="W799" s="6">
        <f t="shared" si="76"/>
        <v>39.041399999999996</v>
      </c>
      <c r="X799" s="3">
        <v>4.8099999999999996</v>
      </c>
      <c r="Y799" s="5">
        <f t="shared" si="77"/>
        <v>43.851399999999998</v>
      </c>
    </row>
    <row r="800" spans="1:25" x14ac:dyDescent="0.2">
      <c r="A800" t="s">
        <v>1664</v>
      </c>
      <c r="B800" s="1">
        <v>42454</v>
      </c>
      <c r="C800" s="2" t="str">
        <f t="shared" si="72"/>
        <v>2016</v>
      </c>
      <c r="D800" s="2" t="s">
        <v>439</v>
      </c>
      <c r="E800" s="2" t="s">
        <v>91</v>
      </c>
      <c r="F800" s="2" t="s">
        <v>19</v>
      </c>
      <c r="G800" s="2" t="s">
        <v>20</v>
      </c>
      <c r="H800" s="2" t="s">
        <v>50</v>
      </c>
      <c r="I800" s="2" t="s">
        <v>22</v>
      </c>
      <c r="J800" s="2" t="s">
        <v>52</v>
      </c>
      <c r="K800" s="2" t="s">
        <v>278</v>
      </c>
      <c r="L800" s="2" t="s">
        <v>32</v>
      </c>
      <c r="M800" s="2" t="s">
        <v>33</v>
      </c>
      <c r="N800" s="2" t="s">
        <v>27</v>
      </c>
      <c r="O800" s="1">
        <v>42454</v>
      </c>
      <c r="P800" s="3">
        <v>2.31</v>
      </c>
      <c r="Q800" s="3">
        <v>3.78</v>
      </c>
      <c r="R800" s="3">
        <f t="shared" si="73"/>
        <v>1.4699999999999998</v>
      </c>
      <c r="S800" s="2">
        <v>28</v>
      </c>
      <c r="T800" s="3">
        <f t="shared" si="74"/>
        <v>105.83999999999999</v>
      </c>
      <c r="U800" s="4">
        <v>0</v>
      </c>
      <c r="V800" s="6">
        <f t="shared" si="75"/>
        <v>0</v>
      </c>
      <c r="W800" s="6">
        <f t="shared" si="76"/>
        <v>105.83999999999999</v>
      </c>
      <c r="X800" s="3">
        <v>0.71</v>
      </c>
      <c r="Y800" s="5">
        <f t="shared" si="77"/>
        <v>106.54999999999998</v>
      </c>
    </row>
    <row r="801" spans="1:25" x14ac:dyDescent="0.2">
      <c r="A801" t="s">
        <v>1665</v>
      </c>
      <c r="B801" s="1">
        <v>42455</v>
      </c>
      <c r="C801" s="2" t="str">
        <f t="shared" si="72"/>
        <v>2016</v>
      </c>
      <c r="D801" s="2" t="s">
        <v>437</v>
      </c>
      <c r="E801" s="2" t="s">
        <v>266</v>
      </c>
      <c r="F801" s="2" t="s">
        <v>36</v>
      </c>
      <c r="G801" s="2" t="s">
        <v>37</v>
      </c>
      <c r="H801" s="2" t="s">
        <v>50</v>
      </c>
      <c r="I801" s="2" t="s">
        <v>153</v>
      </c>
      <c r="J801" s="2" t="s">
        <v>23</v>
      </c>
      <c r="K801" s="2" t="s">
        <v>232</v>
      </c>
      <c r="L801" s="2" t="s">
        <v>32</v>
      </c>
      <c r="M801" s="2" t="s">
        <v>58</v>
      </c>
      <c r="N801" s="2" t="s">
        <v>27</v>
      </c>
      <c r="O801" s="1">
        <v>42457</v>
      </c>
      <c r="P801" s="3">
        <v>2.5</v>
      </c>
      <c r="Q801" s="3">
        <v>5.68</v>
      </c>
      <c r="R801" s="3">
        <f t="shared" si="73"/>
        <v>3.1799999999999997</v>
      </c>
      <c r="S801" s="2">
        <v>45</v>
      </c>
      <c r="T801" s="3">
        <f t="shared" si="74"/>
        <v>255.6</v>
      </c>
      <c r="U801" s="4">
        <v>0.01</v>
      </c>
      <c r="V801" s="6">
        <f t="shared" si="75"/>
        <v>2.556</v>
      </c>
      <c r="W801" s="6">
        <f t="shared" si="76"/>
        <v>253.04399999999998</v>
      </c>
      <c r="X801" s="3">
        <v>3.6</v>
      </c>
      <c r="Y801" s="5">
        <f t="shared" si="77"/>
        <v>256.64400000000001</v>
      </c>
    </row>
    <row r="802" spans="1:25" x14ac:dyDescent="0.2">
      <c r="A802" t="s">
        <v>1666</v>
      </c>
      <c r="B802" s="1">
        <v>42455</v>
      </c>
      <c r="C802" s="2" t="str">
        <f t="shared" si="72"/>
        <v>2016</v>
      </c>
      <c r="D802" s="2" t="s">
        <v>438</v>
      </c>
      <c r="E802" s="2" t="s">
        <v>1905</v>
      </c>
      <c r="F802" s="2" t="s">
        <v>1881</v>
      </c>
      <c r="G802" s="2" t="s">
        <v>1882</v>
      </c>
      <c r="H802" s="2" t="s">
        <v>42</v>
      </c>
      <c r="I802" s="2" t="s">
        <v>153</v>
      </c>
      <c r="J802" s="2" t="s">
        <v>66</v>
      </c>
      <c r="K802" s="2" t="s">
        <v>47</v>
      </c>
      <c r="L802" s="2" t="s">
        <v>32</v>
      </c>
      <c r="M802" s="2" t="s">
        <v>26</v>
      </c>
      <c r="N802" s="2" t="s">
        <v>27</v>
      </c>
      <c r="O802" s="1">
        <v>42457</v>
      </c>
      <c r="P802" s="3">
        <v>1.59</v>
      </c>
      <c r="Q802" s="3">
        <v>2.61</v>
      </c>
      <c r="R802" s="3">
        <f t="shared" si="73"/>
        <v>1.0199999999999998</v>
      </c>
      <c r="S802" s="2">
        <v>8</v>
      </c>
      <c r="T802" s="3">
        <f t="shared" si="74"/>
        <v>20.88</v>
      </c>
      <c r="U802" s="4">
        <v>0.02</v>
      </c>
      <c r="V802" s="6">
        <f t="shared" si="75"/>
        <v>0.41759999999999997</v>
      </c>
      <c r="W802" s="6">
        <f t="shared" si="76"/>
        <v>20.462399999999999</v>
      </c>
      <c r="X802" s="3">
        <v>0.5</v>
      </c>
      <c r="Y802" s="5">
        <f t="shared" si="77"/>
        <v>20.962399999999999</v>
      </c>
    </row>
    <row r="803" spans="1:25" x14ac:dyDescent="0.2">
      <c r="A803" t="s">
        <v>1667</v>
      </c>
      <c r="B803" s="1">
        <v>42456</v>
      </c>
      <c r="C803" s="2" t="str">
        <f t="shared" si="72"/>
        <v>2016</v>
      </c>
      <c r="D803" s="2" t="s">
        <v>433</v>
      </c>
      <c r="E803" s="2" t="s">
        <v>434</v>
      </c>
      <c r="F803" s="2" t="s">
        <v>19</v>
      </c>
      <c r="G803" s="2" t="s">
        <v>20</v>
      </c>
      <c r="H803" s="2" t="s">
        <v>29</v>
      </c>
      <c r="I803" s="2" t="s">
        <v>22</v>
      </c>
      <c r="J803" s="2" t="s">
        <v>44</v>
      </c>
      <c r="K803" s="2" t="s">
        <v>186</v>
      </c>
      <c r="L803" s="2" t="s">
        <v>25</v>
      </c>
      <c r="M803" s="2" t="s">
        <v>261</v>
      </c>
      <c r="N803" s="2" t="s">
        <v>27</v>
      </c>
      <c r="O803" s="1">
        <v>42457</v>
      </c>
      <c r="P803" s="3">
        <v>216</v>
      </c>
      <c r="Q803" s="3">
        <v>449.99</v>
      </c>
      <c r="R803" s="3">
        <f t="shared" si="73"/>
        <v>233.99</v>
      </c>
      <c r="S803" s="2">
        <v>49</v>
      </c>
      <c r="T803" s="3">
        <f t="shared" si="74"/>
        <v>22049.510000000002</v>
      </c>
      <c r="U803" s="4">
        <v>0.06</v>
      </c>
      <c r="V803" s="6">
        <f t="shared" si="75"/>
        <v>1322.9706000000001</v>
      </c>
      <c r="W803" s="6">
        <f t="shared" si="76"/>
        <v>20726.539400000001</v>
      </c>
      <c r="X803" s="3">
        <v>24.49</v>
      </c>
      <c r="Y803" s="5">
        <f t="shared" si="77"/>
        <v>20751.029400000003</v>
      </c>
    </row>
    <row r="804" spans="1:25" x14ac:dyDescent="0.2">
      <c r="A804" t="s">
        <v>1668</v>
      </c>
      <c r="B804" s="1">
        <v>42456</v>
      </c>
      <c r="C804" s="2" t="str">
        <f t="shared" si="72"/>
        <v>2016</v>
      </c>
      <c r="D804" s="2" t="s">
        <v>435</v>
      </c>
      <c r="E804" s="2" t="s">
        <v>436</v>
      </c>
      <c r="F804" s="2" t="s">
        <v>36</v>
      </c>
      <c r="G804" s="2" t="s">
        <v>37</v>
      </c>
      <c r="H804" s="2" t="s">
        <v>21</v>
      </c>
      <c r="I804" s="2" t="s">
        <v>43</v>
      </c>
      <c r="J804" s="2" t="s">
        <v>23</v>
      </c>
      <c r="K804" s="2" t="s">
        <v>61</v>
      </c>
      <c r="L804" s="2" t="s">
        <v>25</v>
      </c>
      <c r="M804" s="2" t="s">
        <v>62</v>
      </c>
      <c r="N804" s="2" t="s">
        <v>63</v>
      </c>
      <c r="O804" s="1">
        <v>42463</v>
      </c>
      <c r="P804" s="3">
        <v>75</v>
      </c>
      <c r="Q804" s="3">
        <v>120.97</v>
      </c>
      <c r="R804" s="3">
        <f t="shared" si="73"/>
        <v>45.97</v>
      </c>
      <c r="S804" s="2">
        <v>42</v>
      </c>
      <c r="T804" s="3">
        <f t="shared" si="74"/>
        <v>5080.74</v>
      </c>
      <c r="U804" s="4">
        <v>0</v>
      </c>
      <c r="V804" s="6">
        <f t="shared" si="75"/>
        <v>0</v>
      </c>
      <c r="W804" s="6">
        <f t="shared" si="76"/>
        <v>5080.74</v>
      </c>
      <c r="X804" s="3">
        <v>26.3</v>
      </c>
      <c r="Y804" s="5">
        <f t="shared" si="77"/>
        <v>5107.04</v>
      </c>
    </row>
    <row r="805" spans="1:25" x14ac:dyDescent="0.2">
      <c r="A805" t="s">
        <v>1669</v>
      </c>
      <c r="B805" s="1">
        <v>42458</v>
      </c>
      <c r="C805" s="2" t="str">
        <f t="shared" si="72"/>
        <v>2016</v>
      </c>
      <c r="D805" s="2" t="s">
        <v>338</v>
      </c>
      <c r="E805" s="2" t="s">
        <v>339</v>
      </c>
      <c r="F805" s="2" t="s">
        <v>36</v>
      </c>
      <c r="G805" s="2" t="s">
        <v>37</v>
      </c>
      <c r="H805" s="2" t="s">
        <v>50</v>
      </c>
      <c r="I805" s="2" t="s">
        <v>79</v>
      </c>
      <c r="J805" s="2" t="s">
        <v>66</v>
      </c>
      <c r="K805" s="2" t="s">
        <v>88</v>
      </c>
      <c r="L805" s="2" t="s">
        <v>32</v>
      </c>
      <c r="M805" s="2" t="s">
        <v>58</v>
      </c>
      <c r="N805" s="2" t="s">
        <v>27</v>
      </c>
      <c r="O805" s="1">
        <v>42459</v>
      </c>
      <c r="P805" s="3">
        <v>5.19</v>
      </c>
      <c r="Q805" s="3">
        <v>12.98</v>
      </c>
      <c r="R805" s="3">
        <f t="shared" si="73"/>
        <v>7.79</v>
      </c>
      <c r="S805" s="2">
        <v>45</v>
      </c>
      <c r="T805" s="3">
        <f t="shared" si="74"/>
        <v>584.1</v>
      </c>
      <c r="U805" s="4">
        <v>0.05</v>
      </c>
      <c r="V805" s="6">
        <f t="shared" si="75"/>
        <v>29.205000000000002</v>
      </c>
      <c r="W805" s="6">
        <f t="shared" si="76"/>
        <v>554.89499999999998</v>
      </c>
      <c r="X805" s="3">
        <v>3.14</v>
      </c>
      <c r="Y805" s="5">
        <f t="shared" si="77"/>
        <v>558.03499999999997</v>
      </c>
    </row>
    <row r="806" spans="1:25" x14ac:dyDescent="0.2">
      <c r="A806" t="s">
        <v>1670</v>
      </c>
      <c r="B806" s="1">
        <v>42458</v>
      </c>
      <c r="C806" s="2" t="str">
        <f t="shared" si="72"/>
        <v>2016</v>
      </c>
      <c r="D806" s="2" t="s">
        <v>432</v>
      </c>
      <c r="E806" s="2" t="s">
        <v>166</v>
      </c>
      <c r="F806" s="2" t="s">
        <v>19</v>
      </c>
      <c r="G806" s="2" t="s">
        <v>20</v>
      </c>
      <c r="H806" s="2" t="s">
        <v>50</v>
      </c>
      <c r="I806" s="2" t="s">
        <v>92</v>
      </c>
      <c r="J806" s="2" t="s">
        <v>23</v>
      </c>
      <c r="K806" s="2" t="s">
        <v>180</v>
      </c>
      <c r="L806" s="2" t="s">
        <v>32</v>
      </c>
      <c r="M806" s="2" t="s">
        <v>26</v>
      </c>
      <c r="N806" s="2" t="s">
        <v>27</v>
      </c>
      <c r="O806" s="1">
        <v>42460</v>
      </c>
      <c r="P806" s="3">
        <v>1.94</v>
      </c>
      <c r="Q806" s="3">
        <v>3.08</v>
      </c>
      <c r="R806" s="3">
        <f t="shared" si="73"/>
        <v>1.1400000000000001</v>
      </c>
      <c r="S806" s="2">
        <v>42</v>
      </c>
      <c r="T806" s="3">
        <f t="shared" si="74"/>
        <v>129.36000000000001</v>
      </c>
      <c r="U806" s="4">
        <v>0.09</v>
      </c>
      <c r="V806" s="6">
        <f t="shared" si="75"/>
        <v>11.6424</v>
      </c>
      <c r="W806" s="6">
        <f t="shared" si="76"/>
        <v>117.71760000000002</v>
      </c>
      <c r="X806" s="3">
        <v>0.99</v>
      </c>
      <c r="Y806" s="5">
        <f t="shared" si="77"/>
        <v>118.70760000000001</v>
      </c>
    </row>
    <row r="807" spans="1:25" x14ac:dyDescent="0.2">
      <c r="A807" t="s">
        <v>1671</v>
      </c>
      <c r="B807" s="1">
        <v>42459</v>
      </c>
      <c r="C807" s="2" t="str">
        <f t="shared" si="72"/>
        <v>2016</v>
      </c>
      <c r="D807" s="2" t="s">
        <v>431</v>
      </c>
      <c r="E807" s="2" t="s">
        <v>138</v>
      </c>
      <c r="F807" s="2" t="s">
        <v>36</v>
      </c>
      <c r="G807" s="2" t="s">
        <v>37</v>
      </c>
      <c r="H807" s="2" t="s">
        <v>50</v>
      </c>
      <c r="I807" s="2" t="s">
        <v>51</v>
      </c>
      <c r="J807" s="2" t="s">
        <v>52</v>
      </c>
      <c r="K807" s="2" t="s">
        <v>139</v>
      </c>
      <c r="L807" s="2" t="s">
        <v>32</v>
      </c>
      <c r="M807" s="2" t="s">
        <v>58</v>
      </c>
      <c r="N807" s="2" t="s">
        <v>27</v>
      </c>
      <c r="O807" s="1">
        <v>42460</v>
      </c>
      <c r="P807" s="3">
        <v>0.94</v>
      </c>
      <c r="Q807" s="3">
        <v>2.08</v>
      </c>
      <c r="R807" s="3">
        <f t="shared" si="73"/>
        <v>1.1400000000000001</v>
      </c>
      <c r="S807" s="2">
        <v>2</v>
      </c>
      <c r="T807" s="3">
        <f t="shared" si="74"/>
        <v>4.16</v>
      </c>
      <c r="U807" s="4">
        <v>0.01</v>
      </c>
      <c r="V807" s="6">
        <f t="shared" si="75"/>
        <v>4.1600000000000005E-2</v>
      </c>
      <c r="W807" s="6">
        <f t="shared" si="76"/>
        <v>4.1184000000000003</v>
      </c>
      <c r="X807" s="3">
        <v>2.56</v>
      </c>
      <c r="Y807" s="5">
        <f t="shared" si="77"/>
        <v>6.6783999999999999</v>
      </c>
    </row>
    <row r="808" spans="1:25" x14ac:dyDescent="0.2">
      <c r="A808" t="s">
        <v>1672</v>
      </c>
      <c r="B808" s="1">
        <v>42462</v>
      </c>
      <c r="C808" s="2" t="str">
        <f t="shared" si="72"/>
        <v>2016</v>
      </c>
      <c r="D808" s="2" t="s">
        <v>430</v>
      </c>
      <c r="E808" s="2" t="s">
        <v>161</v>
      </c>
      <c r="F808" s="2" t="s">
        <v>36</v>
      </c>
      <c r="G808" s="2" t="s">
        <v>37</v>
      </c>
      <c r="H808" s="2" t="s">
        <v>50</v>
      </c>
      <c r="I808" s="2" t="s">
        <v>51</v>
      </c>
      <c r="J808" s="2" t="s">
        <v>23</v>
      </c>
      <c r="K808" s="2" t="s">
        <v>287</v>
      </c>
      <c r="L808" s="2" t="s">
        <v>32</v>
      </c>
      <c r="M808" s="2" t="s">
        <v>26</v>
      </c>
      <c r="N808" s="2" t="s">
        <v>27</v>
      </c>
      <c r="O808" s="1">
        <v>42470</v>
      </c>
      <c r="P808" s="3">
        <v>13.88</v>
      </c>
      <c r="Q808" s="3">
        <v>22.38</v>
      </c>
      <c r="R808" s="3">
        <f t="shared" si="73"/>
        <v>8.4999999999999982</v>
      </c>
      <c r="S808" s="2">
        <v>16</v>
      </c>
      <c r="T808" s="3">
        <f t="shared" si="74"/>
        <v>358.08</v>
      </c>
      <c r="U808" s="4">
        <v>0.09</v>
      </c>
      <c r="V808" s="6">
        <f t="shared" si="75"/>
        <v>32.227199999999996</v>
      </c>
      <c r="W808" s="6">
        <f t="shared" si="76"/>
        <v>325.8528</v>
      </c>
      <c r="X808" s="3">
        <v>15.1</v>
      </c>
      <c r="Y808" s="5">
        <f t="shared" si="77"/>
        <v>340.95280000000002</v>
      </c>
    </row>
    <row r="809" spans="1:25" x14ac:dyDescent="0.2">
      <c r="A809" t="s">
        <v>1673</v>
      </c>
      <c r="B809" s="1">
        <v>42463</v>
      </c>
      <c r="C809" s="2" t="str">
        <f t="shared" si="72"/>
        <v>2016</v>
      </c>
      <c r="D809" s="2" t="s">
        <v>307</v>
      </c>
      <c r="E809" s="2" t="s">
        <v>138</v>
      </c>
      <c r="F809" s="2" t="s">
        <v>36</v>
      </c>
      <c r="G809" s="2" t="s">
        <v>37</v>
      </c>
      <c r="H809" s="2" t="s">
        <v>42</v>
      </c>
      <c r="I809" s="2" t="s">
        <v>51</v>
      </c>
      <c r="J809" s="2" t="s">
        <v>23</v>
      </c>
      <c r="K809" s="2" t="s">
        <v>155</v>
      </c>
      <c r="L809" s="2" t="s">
        <v>32</v>
      </c>
      <c r="M809" s="2" t="s">
        <v>33</v>
      </c>
      <c r="N809" s="2" t="s">
        <v>89</v>
      </c>
      <c r="O809" s="1">
        <v>42463</v>
      </c>
      <c r="P809" s="3">
        <v>0.24</v>
      </c>
      <c r="Q809" s="3">
        <v>1.26</v>
      </c>
      <c r="R809" s="3">
        <f t="shared" si="73"/>
        <v>1.02</v>
      </c>
      <c r="S809" s="2">
        <v>40</v>
      </c>
      <c r="T809" s="3">
        <f t="shared" si="74"/>
        <v>50.4</v>
      </c>
      <c r="U809" s="4">
        <v>0.04</v>
      </c>
      <c r="V809" s="6">
        <f t="shared" si="75"/>
        <v>2.016</v>
      </c>
      <c r="W809" s="6">
        <f t="shared" si="76"/>
        <v>48.384</v>
      </c>
      <c r="X809" s="3">
        <v>0.7</v>
      </c>
      <c r="Y809" s="5">
        <f t="shared" si="77"/>
        <v>49.084000000000003</v>
      </c>
    </row>
    <row r="810" spans="1:25" x14ac:dyDescent="0.2">
      <c r="A810" t="s">
        <v>1674</v>
      </c>
      <c r="B810" s="1">
        <v>42465</v>
      </c>
      <c r="C810" s="2" t="str">
        <f t="shared" si="72"/>
        <v>2016</v>
      </c>
      <c r="D810" s="2" t="s">
        <v>428</v>
      </c>
      <c r="E810" s="2" t="s">
        <v>185</v>
      </c>
      <c r="F810" s="2" t="s">
        <v>36</v>
      </c>
      <c r="G810" s="2" t="s">
        <v>37</v>
      </c>
      <c r="H810" s="2" t="s">
        <v>29</v>
      </c>
      <c r="I810" s="2" t="s">
        <v>153</v>
      </c>
      <c r="J810" s="2" t="s">
        <v>23</v>
      </c>
      <c r="K810" s="2" t="s">
        <v>429</v>
      </c>
      <c r="L810" s="2" t="s">
        <v>32</v>
      </c>
      <c r="M810" s="2" t="s">
        <v>58</v>
      </c>
      <c r="N810" s="2" t="s">
        <v>27</v>
      </c>
      <c r="O810" s="1">
        <v>42471</v>
      </c>
      <c r="P810" s="3">
        <v>4.0999999999999996</v>
      </c>
      <c r="Q810" s="3">
        <v>9.31</v>
      </c>
      <c r="R810" s="3">
        <f t="shared" si="73"/>
        <v>5.2100000000000009</v>
      </c>
      <c r="S810" s="2">
        <v>35</v>
      </c>
      <c r="T810" s="3">
        <f t="shared" si="74"/>
        <v>325.85000000000002</v>
      </c>
      <c r="U810" s="4">
        <v>0.05</v>
      </c>
      <c r="V810" s="6">
        <f t="shared" si="75"/>
        <v>16.2925</v>
      </c>
      <c r="W810" s="6">
        <f t="shared" si="76"/>
        <v>309.5575</v>
      </c>
      <c r="X810" s="3">
        <v>3.98</v>
      </c>
      <c r="Y810" s="5">
        <f t="shared" si="77"/>
        <v>313.53750000000002</v>
      </c>
    </row>
    <row r="811" spans="1:25" x14ac:dyDescent="0.2">
      <c r="A811" t="s">
        <v>1675</v>
      </c>
      <c r="B811" s="1">
        <v>42466</v>
      </c>
      <c r="C811" s="2" t="str">
        <f t="shared" si="72"/>
        <v>2016</v>
      </c>
      <c r="D811" s="2" t="s">
        <v>329</v>
      </c>
      <c r="E811" s="2" t="s">
        <v>1893</v>
      </c>
      <c r="F811" s="2" t="s">
        <v>1881</v>
      </c>
      <c r="G811" s="2" t="s">
        <v>1882</v>
      </c>
      <c r="H811" s="2" t="s">
        <v>21</v>
      </c>
      <c r="I811" s="2" t="s">
        <v>153</v>
      </c>
      <c r="J811" s="2" t="s">
        <v>52</v>
      </c>
      <c r="K811" s="2" t="s">
        <v>125</v>
      </c>
      <c r="L811" s="2" t="s">
        <v>32</v>
      </c>
      <c r="M811" s="2" t="s">
        <v>33</v>
      </c>
      <c r="N811" s="2" t="s">
        <v>27</v>
      </c>
      <c r="O811" s="1">
        <v>42468</v>
      </c>
      <c r="P811" s="3">
        <v>1.53</v>
      </c>
      <c r="Q811" s="3">
        <v>2.78</v>
      </c>
      <c r="R811" s="3">
        <f t="shared" si="73"/>
        <v>1.2499999999999998</v>
      </c>
      <c r="S811" s="2">
        <v>10</v>
      </c>
      <c r="T811" s="3">
        <f t="shared" si="74"/>
        <v>27.799999999999997</v>
      </c>
      <c r="U811" s="4">
        <v>0.01</v>
      </c>
      <c r="V811" s="6">
        <f t="shared" si="75"/>
        <v>0.27799999999999997</v>
      </c>
      <c r="W811" s="6">
        <f t="shared" si="76"/>
        <v>27.521999999999998</v>
      </c>
      <c r="X811" s="3">
        <v>1.34</v>
      </c>
      <c r="Y811" s="5">
        <f t="shared" si="77"/>
        <v>28.861999999999998</v>
      </c>
    </row>
    <row r="812" spans="1:25" x14ac:dyDescent="0.2">
      <c r="A812" s="12" t="s">
        <v>1946</v>
      </c>
      <c r="B812" s="1">
        <v>42470</v>
      </c>
      <c r="C812" s="2" t="str">
        <f t="shared" si="72"/>
        <v>2016</v>
      </c>
      <c r="D812" s="2" t="s">
        <v>639</v>
      </c>
      <c r="E812" s="2" t="s">
        <v>101</v>
      </c>
      <c r="F812" s="2" t="s">
        <v>36</v>
      </c>
      <c r="G812" s="2" t="s">
        <v>37</v>
      </c>
      <c r="H812" s="2" t="s">
        <v>42</v>
      </c>
      <c r="I812" s="2" t="s">
        <v>102</v>
      </c>
      <c r="J812" s="2" t="s">
        <v>66</v>
      </c>
      <c r="K812" s="2" t="s">
        <v>24</v>
      </c>
      <c r="L812" s="2" t="s">
        <v>25</v>
      </c>
      <c r="M812" s="2" t="s">
        <v>26</v>
      </c>
      <c r="N812" s="2" t="s">
        <v>27</v>
      </c>
      <c r="O812" s="1">
        <v>42472</v>
      </c>
      <c r="P812" s="3">
        <v>6.39</v>
      </c>
      <c r="Q812" s="3">
        <v>19.98</v>
      </c>
      <c r="R812" s="3">
        <f t="shared" si="73"/>
        <v>13.59</v>
      </c>
      <c r="S812" s="2">
        <v>35</v>
      </c>
      <c r="T812" s="3">
        <f t="shared" si="74"/>
        <v>699.30000000000007</v>
      </c>
      <c r="U812" s="4">
        <v>0.1</v>
      </c>
      <c r="V812" s="6">
        <f t="shared" si="75"/>
        <v>69.930000000000007</v>
      </c>
      <c r="W812" s="6">
        <f t="shared" si="76"/>
        <v>629.37000000000012</v>
      </c>
      <c r="X812" s="3">
        <v>4</v>
      </c>
      <c r="Y812" s="5">
        <f t="shared" si="77"/>
        <v>633.37000000000012</v>
      </c>
    </row>
    <row r="813" spans="1:25" x14ac:dyDescent="0.2">
      <c r="A813" t="s">
        <v>1676</v>
      </c>
      <c r="B813" s="1">
        <v>42471</v>
      </c>
      <c r="C813" s="2" t="str">
        <f t="shared" si="72"/>
        <v>2016</v>
      </c>
      <c r="D813" s="2" t="s">
        <v>424</v>
      </c>
      <c r="E813" s="2" t="s">
        <v>1925</v>
      </c>
      <c r="F813" s="2" t="s">
        <v>36</v>
      </c>
      <c r="G813" s="2" t="s">
        <v>37</v>
      </c>
      <c r="H813" s="2" t="s">
        <v>50</v>
      </c>
      <c r="I813" s="2" t="s">
        <v>83</v>
      </c>
      <c r="J813" s="2" t="s">
        <v>52</v>
      </c>
      <c r="K813" s="2" t="s">
        <v>67</v>
      </c>
      <c r="L813" s="2" t="s">
        <v>32</v>
      </c>
      <c r="M813" s="2" t="s">
        <v>26</v>
      </c>
      <c r="N813" s="2" t="s">
        <v>27</v>
      </c>
      <c r="O813" s="1">
        <v>42473</v>
      </c>
      <c r="P813" s="3">
        <v>3.99</v>
      </c>
      <c r="Q813" s="3">
        <v>6.23</v>
      </c>
      <c r="R813" s="3">
        <f t="shared" si="73"/>
        <v>2.2400000000000002</v>
      </c>
      <c r="S813" s="2">
        <v>21</v>
      </c>
      <c r="T813" s="3">
        <f t="shared" si="74"/>
        <v>130.83000000000001</v>
      </c>
      <c r="U813" s="4">
        <v>0.05</v>
      </c>
      <c r="V813" s="6">
        <f t="shared" si="75"/>
        <v>6.541500000000001</v>
      </c>
      <c r="W813" s="6">
        <f t="shared" si="76"/>
        <v>124.28850000000001</v>
      </c>
      <c r="X813" s="3">
        <v>6.97</v>
      </c>
      <c r="Y813" s="5">
        <f t="shared" si="77"/>
        <v>131.25850000000003</v>
      </c>
    </row>
    <row r="814" spans="1:25" x14ac:dyDescent="0.2">
      <c r="A814" t="s">
        <v>1677</v>
      </c>
      <c r="B814" s="1">
        <v>42471</v>
      </c>
      <c r="C814" s="2" t="str">
        <f t="shared" si="72"/>
        <v>2016</v>
      </c>
      <c r="D814" s="2" t="s">
        <v>425</v>
      </c>
      <c r="E814" s="2" t="s">
        <v>1929</v>
      </c>
      <c r="F814" s="2" t="s">
        <v>19</v>
      </c>
      <c r="G814" s="2" t="s">
        <v>20</v>
      </c>
      <c r="H814" s="2" t="s">
        <v>50</v>
      </c>
      <c r="I814" s="2" t="s">
        <v>22</v>
      </c>
      <c r="J814" s="2" t="s">
        <v>66</v>
      </c>
      <c r="K814" s="2" t="s">
        <v>426</v>
      </c>
      <c r="L814" s="2" t="s">
        <v>32</v>
      </c>
      <c r="M814" s="2" t="s">
        <v>33</v>
      </c>
      <c r="N814" s="2" t="s">
        <v>27</v>
      </c>
      <c r="O814" s="1">
        <v>42471</v>
      </c>
      <c r="P814" s="3">
        <v>0.92</v>
      </c>
      <c r="Q814" s="3">
        <v>1.81</v>
      </c>
      <c r="R814" s="3">
        <f t="shared" si="73"/>
        <v>0.89</v>
      </c>
      <c r="S814" s="2">
        <v>22</v>
      </c>
      <c r="T814" s="3">
        <f t="shared" si="74"/>
        <v>39.82</v>
      </c>
      <c r="U814" s="4">
        <v>0.09</v>
      </c>
      <c r="V814" s="6">
        <f t="shared" si="75"/>
        <v>3.5838000000000001</v>
      </c>
      <c r="W814" s="6">
        <f t="shared" si="76"/>
        <v>36.236199999999997</v>
      </c>
      <c r="X814" s="3">
        <v>1.56</v>
      </c>
      <c r="Y814" s="5">
        <f t="shared" si="77"/>
        <v>37.796199999999999</v>
      </c>
    </row>
    <row r="815" spans="1:25" x14ac:dyDescent="0.2">
      <c r="A815" t="s">
        <v>1678</v>
      </c>
      <c r="B815" s="1">
        <v>42471</v>
      </c>
      <c r="C815" s="2" t="str">
        <f t="shared" si="72"/>
        <v>2016</v>
      </c>
      <c r="D815" s="2" t="s">
        <v>427</v>
      </c>
      <c r="E815" s="2" t="s">
        <v>105</v>
      </c>
      <c r="F815" s="2" t="s">
        <v>36</v>
      </c>
      <c r="G815" s="2" t="s">
        <v>37</v>
      </c>
      <c r="H815" s="2" t="s">
        <v>21</v>
      </c>
      <c r="I815" s="2" t="s">
        <v>56</v>
      </c>
      <c r="J815" s="2" t="s">
        <v>44</v>
      </c>
      <c r="K815" s="2" t="s">
        <v>157</v>
      </c>
      <c r="L815" s="2" t="s">
        <v>32</v>
      </c>
      <c r="M815" s="2" t="s">
        <v>33</v>
      </c>
      <c r="N815" s="2" t="s">
        <v>89</v>
      </c>
      <c r="O815" s="1">
        <v>42472</v>
      </c>
      <c r="P815" s="3">
        <v>2.39</v>
      </c>
      <c r="Q815" s="3">
        <v>4.26</v>
      </c>
      <c r="R815" s="3">
        <f t="shared" si="73"/>
        <v>1.8699999999999997</v>
      </c>
      <c r="S815" s="2">
        <v>34</v>
      </c>
      <c r="T815" s="3">
        <f t="shared" si="74"/>
        <v>144.84</v>
      </c>
      <c r="U815" s="4">
        <v>0.03</v>
      </c>
      <c r="V815" s="6">
        <f t="shared" si="75"/>
        <v>4.3452000000000002</v>
      </c>
      <c r="W815" s="6">
        <f t="shared" si="76"/>
        <v>140.4948</v>
      </c>
      <c r="X815" s="3">
        <v>1.2</v>
      </c>
      <c r="Y815" s="5">
        <f t="shared" si="77"/>
        <v>141.69479999999999</v>
      </c>
    </row>
    <row r="816" spans="1:25" x14ac:dyDescent="0.2">
      <c r="A816" t="s">
        <v>1679</v>
      </c>
      <c r="B816" s="1">
        <v>42473</v>
      </c>
      <c r="C816" s="2" t="str">
        <f t="shared" si="72"/>
        <v>2016</v>
      </c>
      <c r="D816" s="2" t="s">
        <v>423</v>
      </c>
      <c r="E816" s="2" t="s">
        <v>46</v>
      </c>
      <c r="F816" s="2" t="s">
        <v>19</v>
      </c>
      <c r="G816" s="2" t="s">
        <v>20</v>
      </c>
      <c r="H816" s="2" t="s">
        <v>50</v>
      </c>
      <c r="I816" s="2" t="s">
        <v>22</v>
      </c>
      <c r="J816" s="2" t="s">
        <v>66</v>
      </c>
      <c r="K816" s="2" t="s">
        <v>186</v>
      </c>
      <c r="L816" s="2" t="s">
        <v>25</v>
      </c>
      <c r="M816" s="2" t="s">
        <v>62</v>
      </c>
      <c r="N816" s="2" t="s">
        <v>63</v>
      </c>
      <c r="O816" s="1">
        <v>42475</v>
      </c>
      <c r="P816" s="3">
        <v>278.99</v>
      </c>
      <c r="Q816" s="3">
        <v>449.99</v>
      </c>
      <c r="R816" s="3">
        <f t="shared" si="73"/>
        <v>171</v>
      </c>
      <c r="S816" s="2">
        <v>43</v>
      </c>
      <c r="T816" s="3">
        <f t="shared" si="74"/>
        <v>19349.57</v>
      </c>
      <c r="U816" s="4">
        <v>0.06</v>
      </c>
      <c r="V816" s="6">
        <f t="shared" si="75"/>
        <v>1160.9741999999999</v>
      </c>
      <c r="W816" s="6">
        <f t="shared" si="76"/>
        <v>18188.595799999999</v>
      </c>
      <c r="X816" s="3">
        <v>49</v>
      </c>
      <c r="Y816" s="5">
        <f t="shared" si="77"/>
        <v>18237.595799999999</v>
      </c>
    </row>
    <row r="817" spans="1:25" x14ac:dyDescent="0.2">
      <c r="A817" t="s">
        <v>1680</v>
      </c>
      <c r="B817" s="1">
        <v>42477</v>
      </c>
      <c r="C817" s="2" t="str">
        <f t="shared" si="72"/>
        <v>2016</v>
      </c>
      <c r="D817" s="2" t="s">
        <v>422</v>
      </c>
      <c r="E817" s="2" t="s">
        <v>185</v>
      </c>
      <c r="F817" s="2" t="s">
        <v>36</v>
      </c>
      <c r="G817" s="2" t="s">
        <v>37</v>
      </c>
      <c r="H817" s="2" t="s">
        <v>29</v>
      </c>
      <c r="I817" s="2" t="s">
        <v>153</v>
      </c>
      <c r="J817" s="2" t="s">
        <v>23</v>
      </c>
      <c r="K817" s="2" t="s">
        <v>200</v>
      </c>
      <c r="L817" s="2" t="s">
        <v>32</v>
      </c>
      <c r="M817" s="2" t="s">
        <v>33</v>
      </c>
      <c r="N817" s="2" t="s">
        <v>27</v>
      </c>
      <c r="O817" s="1">
        <v>42479</v>
      </c>
      <c r="P817" s="3">
        <v>1.05</v>
      </c>
      <c r="Q817" s="3">
        <v>1.95</v>
      </c>
      <c r="R817" s="3">
        <f t="shared" si="73"/>
        <v>0.89999999999999991</v>
      </c>
      <c r="S817" s="2">
        <v>23</v>
      </c>
      <c r="T817" s="3">
        <f t="shared" si="74"/>
        <v>44.85</v>
      </c>
      <c r="U817" s="4">
        <v>0.09</v>
      </c>
      <c r="V817" s="6">
        <f t="shared" si="75"/>
        <v>4.0365000000000002</v>
      </c>
      <c r="W817" s="6">
        <f t="shared" si="76"/>
        <v>40.813500000000005</v>
      </c>
      <c r="X817" s="3">
        <v>1.63</v>
      </c>
      <c r="Y817" s="5">
        <f t="shared" si="77"/>
        <v>42.443500000000007</v>
      </c>
    </row>
    <row r="818" spans="1:25" x14ac:dyDescent="0.2">
      <c r="A818" t="s">
        <v>923</v>
      </c>
      <c r="B818" s="1">
        <v>42478</v>
      </c>
      <c r="C818" s="2" t="str">
        <f t="shared" si="72"/>
        <v>2016</v>
      </c>
      <c r="D818" s="2" t="s">
        <v>421</v>
      </c>
      <c r="E818" s="2" t="s">
        <v>196</v>
      </c>
      <c r="F818" s="2" t="s">
        <v>36</v>
      </c>
      <c r="G818" s="2" t="s">
        <v>37</v>
      </c>
      <c r="H818" s="2" t="s">
        <v>50</v>
      </c>
      <c r="I818" s="2" t="s">
        <v>102</v>
      </c>
      <c r="J818" s="2" t="s">
        <v>30</v>
      </c>
      <c r="K818" s="2" t="s">
        <v>260</v>
      </c>
      <c r="L818" s="2" t="s">
        <v>150</v>
      </c>
      <c r="M818" s="2" t="s">
        <v>261</v>
      </c>
      <c r="N818" s="2" t="s">
        <v>27</v>
      </c>
      <c r="O818" s="1">
        <v>42479</v>
      </c>
      <c r="P818" s="3">
        <v>56.16</v>
      </c>
      <c r="Q818" s="3">
        <v>136.97999999999999</v>
      </c>
      <c r="R818" s="3">
        <f t="shared" si="73"/>
        <v>80.819999999999993</v>
      </c>
      <c r="S818" s="2">
        <v>14</v>
      </c>
      <c r="T818" s="3">
        <f t="shared" si="74"/>
        <v>1917.7199999999998</v>
      </c>
      <c r="U818" s="4">
        <v>0</v>
      </c>
      <c r="V818" s="6">
        <f t="shared" si="75"/>
        <v>0</v>
      </c>
      <c r="W818" s="6">
        <f t="shared" si="76"/>
        <v>1917.7199999999998</v>
      </c>
      <c r="X818" s="3">
        <v>24.49</v>
      </c>
      <c r="Y818" s="5">
        <f t="shared" si="77"/>
        <v>1942.2099999999998</v>
      </c>
    </row>
    <row r="819" spans="1:25" x14ac:dyDescent="0.2">
      <c r="A819" t="s">
        <v>924</v>
      </c>
      <c r="B819" s="1">
        <v>42478</v>
      </c>
      <c r="C819" s="2" t="str">
        <f t="shared" si="72"/>
        <v>2016</v>
      </c>
      <c r="D819" s="2" t="s">
        <v>421</v>
      </c>
      <c r="E819" s="2" t="s">
        <v>196</v>
      </c>
      <c r="F819" s="2" t="s">
        <v>36</v>
      </c>
      <c r="G819" s="2" t="s">
        <v>37</v>
      </c>
      <c r="H819" s="2" t="s">
        <v>50</v>
      </c>
      <c r="I819" s="2" t="s">
        <v>102</v>
      </c>
      <c r="J819" s="2" t="s">
        <v>30</v>
      </c>
      <c r="K819" s="2" t="s">
        <v>31</v>
      </c>
      <c r="L819" s="2" t="s">
        <v>32</v>
      </c>
      <c r="M819" s="2" t="s">
        <v>33</v>
      </c>
      <c r="N819" s="2" t="s">
        <v>27</v>
      </c>
      <c r="O819" s="1">
        <v>42480</v>
      </c>
      <c r="P819" s="3">
        <v>0.93</v>
      </c>
      <c r="Q819" s="3">
        <v>1.48</v>
      </c>
      <c r="R819" s="3">
        <f t="shared" si="73"/>
        <v>0.54999999999999993</v>
      </c>
      <c r="S819" s="2">
        <v>3</v>
      </c>
      <c r="T819" s="3">
        <f t="shared" si="74"/>
        <v>4.4399999999999995</v>
      </c>
      <c r="U819" s="4">
        <v>0.1</v>
      </c>
      <c r="V819" s="6">
        <f t="shared" si="75"/>
        <v>0.44399999999999995</v>
      </c>
      <c r="W819" s="6">
        <f t="shared" si="76"/>
        <v>3.9959999999999996</v>
      </c>
      <c r="X819" s="3">
        <v>0.7</v>
      </c>
      <c r="Y819" s="5">
        <f t="shared" si="77"/>
        <v>4.6959999999999997</v>
      </c>
    </row>
    <row r="820" spans="1:25" x14ac:dyDescent="0.2">
      <c r="A820" t="s">
        <v>1681</v>
      </c>
      <c r="B820" s="1">
        <v>42483</v>
      </c>
      <c r="C820" s="2" t="str">
        <f t="shared" si="72"/>
        <v>2016</v>
      </c>
      <c r="D820" s="2" t="s">
        <v>48</v>
      </c>
      <c r="E820" s="2" t="s">
        <v>1892</v>
      </c>
      <c r="F820" s="2" t="s">
        <v>1881</v>
      </c>
      <c r="G820" s="2" t="s">
        <v>1882</v>
      </c>
      <c r="H820" s="2" t="s">
        <v>50</v>
      </c>
      <c r="I820" s="2" t="s">
        <v>51</v>
      </c>
      <c r="J820" s="2" t="s">
        <v>52</v>
      </c>
      <c r="K820" s="2" t="s">
        <v>155</v>
      </c>
      <c r="L820" s="2" t="s">
        <v>32</v>
      </c>
      <c r="M820" s="2" t="s">
        <v>33</v>
      </c>
      <c r="N820" s="2" t="s">
        <v>27</v>
      </c>
      <c r="O820" s="1">
        <v>42484</v>
      </c>
      <c r="P820" s="3">
        <v>0.24</v>
      </c>
      <c r="Q820" s="3">
        <v>1.26</v>
      </c>
      <c r="R820" s="3">
        <f t="shared" si="73"/>
        <v>1.02</v>
      </c>
      <c r="S820" s="2">
        <v>11</v>
      </c>
      <c r="T820" s="3">
        <f t="shared" si="74"/>
        <v>13.86</v>
      </c>
      <c r="U820" s="4">
        <v>0</v>
      </c>
      <c r="V820" s="6">
        <f t="shared" si="75"/>
        <v>0</v>
      </c>
      <c r="W820" s="6">
        <f t="shared" si="76"/>
        <v>13.86</v>
      </c>
      <c r="X820" s="3">
        <v>0.7</v>
      </c>
      <c r="Y820" s="5">
        <f t="shared" si="77"/>
        <v>14.559999999999999</v>
      </c>
    </row>
    <row r="821" spans="1:25" x14ac:dyDescent="0.2">
      <c r="A821" t="s">
        <v>1682</v>
      </c>
      <c r="B821" s="1">
        <v>42483</v>
      </c>
      <c r="C821" s="2" t="str">
        <f t="shared" si="72"/>
        <v>2016</v>
      </c>
      <c r="D821" s="2" t="s">
        <v>419</v>
      </c>
      <c r="E821" s="2" t="s">
        <v>254</v>
      </c>
      <c r="F821" s="2" t="s">
        <v>19</v>
      </c>
      <c r="G821" s="2" t="s">
        <v>20</v>
      </c>
      <c r="H821" s="2" t="s">
        <v>21</v>
      </c>
      <c r="I821" s="2" t="s">
        <v>92</v>
      </c>
      <c r="J821" s="2" t="s">
        <v>52</v>
      </c>
      <c r="K821" s="2" t="s">
        <v>365</v>
      </c>
      <c r="L821" s="2" t="s">
        <v>32</v>
      </c>
      <c r="M821" s="2" t="s">
        <v>33</v>
      </c>
      <c r="N821" s="2" t="s">
        <v>27</v>
      </c>
      <c r="O821" s="1">
        <v>42485</v>
      </c>
      <c r="P821" s="3">
        <v>21.56</v>
      </c>
      <c r="Q821" s="3">
        <v>36.549999999999997</v>
      </c>
      <c r="R821" s="3">
        <f t="shared" si="73"/>
        <v>14.989999999999998</v>
      </c>
      <c r="S821" s="2">
        <v>17</v>
      </c>
      <c r="T821" s="3">
        <f t="shared" si="74"/>
        <v>621.34999999999991</v>
      </c>
      <c r="U821" s="4">
        <v>0.09</v>
      </c>
      <c r="V821" s="6">
        <f t="shared" si="75"/>
        <v>55.921499999999988</v>
      </c>
      <c r="W821" s="6">
        <f t="shared" si="76"/>
        <v>565.42849999999987</v>
      </c>
      <c r="X821" s="3">
        <v>13.89</v>
      </c>
      <c r="Y821" s="5">
        <f t="shared" si="77"/>
        <v>579.31849999999986</v>
      </c>
    </row>
    <row r="822" spans="1:25" x14ac:dyDescent="0.2">
      <c r="A822" t="s">
        <v>1683</v>
      </c>
      <c r="B822" s="1">
        <v>42483</v>
      </c>
      <c r="C822" s="2" t="str">
        <f t="shared" si="72"/>
        <v>2016</v>
      </c>
      <c r="D822" s="2" t="s">
        <v>420</v>
      </c>
      <c r="E822" s="2" t="s">
        <v>249</v>
      </c>
      <c r="F822" s="2" t="s">
        <v>19</v>
      </c>
      <c r="G822" s="2" t="s">
        <v>20</v>
      </c>
      <c r="H822" s="2" t="s">
        <v>29</v>
      </c>
      <c r="I822" s="2" t="s">
        <v>92</v>
      </c>
      <c r="J822" s="2" t="s">
        <v>52</v>
      </c>
      <c r="K822" s="2" t="s">
        <v>162</v>
      </c>
      <c r="L822" s="2" t="s">
        <v>32</v>
      </c>
      <c r="M822" s="2" t="s">
        <v>33</v>
      </c>
      <c r="N822" s="2" t="s">
        <v>27</v>
      </c>
      <c r="O822" s="1">
        <v>42484</v>
      </c>
      <c r="P822" s="3">
        <v>1.82</v>
      </c>
      <c r="Q822" s="3">
        <v>2.98</v>
      </c>
      <c r="R822" s="3">
        <f t="shared" si="73"/>
        <v>1.1599999999999999</v>
      </c>
      <c r="S822" s="2">
        <v>32</v>
      </c>
      <c r="T822" s="3">
        <f t="shared" si="74"/>
        <v>95.36</v>
      </c>
      <c r="U822" s="4">
        <v>0.01</v>
      </c>
      <c r="V822" s="6">
        <f t="shared" si="75"/>
        <v>0.9536</v>
      </c>
      <c r="W822" s="6">
        <f t="shared" si="76"/>
        <v>94.406400000000005</v>
      </c>
      <c r="X822" s="3">
        <v>1.58</v>
      </c>
      <c r="Y822" s="5">
        <f t="shared" si="77"/>
        <v>95.986400000000003</v>
      </c>
    </row>
    <row r="823" spans="1:25" x14ac:dyDescent="0.2">
      <c r="A823" t="s">
        <v>1684</v>
      </c>
      <c r="B823" s="1">
        <v>42484</v>
      </c>
      <c r="C823" s="2" t="str">
        <f t="shared" si="72"/>
        <v>2016</v>
      </c>
      <c r="D823" s="2" t="s">
        <v>418</v>
      </c>
      <c r="E823" s="2" t="s">
        <v>185</v>
      </c>
      <c r="F823" s="2" t="s">
        <v>36</v>
      </c>
      <c r="G823" s="2" t="s">
        <v>37</v>
      </c>
      <c r="H823" s="2" t="s">
        <v>21</v>
      </c>
      <c r="I823" s="2" t="s">
        <v>153</v>
      </c>
      <c r="J823" s="2" t="s">
        <v>44</v>
      </c>
      <c r="K823" s="2" t="s">
        <v>405</v>
      </c>
      <c r="L823" s="2" t="s">
        <v>32</v>
      </c>
      <c r="M823" s="2" t="s">
        <v>26</v>
      </c>
      <c r="N823" s="2" t="s">
        <v>27</v>
      </c>
      <c r="O823" s="1">
        <v>42486</v>
      </c>
      <c r="P823" s="3">
        <v>2.1800000000000002</v>
      </c>
      <c r="Q823" s="3">
        <v>3.52</v>
      </c>
      <c r="R823" s="3">
        <f t="shared" si="73"/>
        <v>1.3399999999999999</v>
      </c>
      <c r="S823" s="2">
        <v>32</v>
      </c>
      <c r="T823" s="3">
        <f t="shared" si="74"/>
        <v>112.64</v>
      </c>
      <c r="U823" s="4">
        <v>7.0000000000000007E-2</v>
      </c>
      <c r="V823" s="6">
        <f t="shared" si="75"/>
        <v>7.8848000000000011</v>
      </c>
      <c r="W823" s="6">
        <f t="shared" si="76"/>
        <v>104.7552</v>
      </c>
      <c r="X823" s="3">
        <v>6.83</v>
      </c>
      <c r="Y823" s="5">
        <f t="shared" si="77"/>
        <v>111.5852</v>
      </c>
    </row>
    <row r="824" spans="1:25" x14ac:dyDescent="0.2">
      <c r="A824" t="s">
        <v>1685</v>
      </c>
      <c r="B824" s="1">
        <v>42485</v>
      </c>
      <c r="C824" s="2" t="str">
        <f t="shared" si="72"/>
        <v>2016</v>
      </c>
      <c r="D824" s="2" t="s">
        <v>416</v>
      </c>
      <c r="E824" s="2" t="s">
        <v>339</v>
      </c>
      <c r="F824" s="2" t="s">
        <v>36</v>
      </c>
      <c r="G824" s="2" t="s">
        <v>37</v>
      </c>
      <c r="H824" s="2" t="s">
        <v>21</v>
      </c>
      <c r="I824" s="2" t="s">
        <v>79</v>
      </c>
      <c r="J824" s="2" t="s">
        <v>52</v>
      </c>
      <c r="K824" s="2" t="s">
        <v>128</v>
      </c>
      <c r="L824" s="2" t="s">
        <v>25</v>
      </c>
      <c r="M824" s="2" t="s">
        <v>26</v>
      </c>
      <c r="N824" s="2" t="s">
        <v>27</v>
      </c>
      <c r="O824" s="1">
        <v>42486</v>
      </c>
      <c r="P824" s="3">
        <v>8.31</v>
      </c>
      <c r="Q824" s="3">
        <v>15.98</v>
      </c>
      <c r="R824" s="3">
        <f t="shared" si="73"/>
        <v>7.67</v>
      </c>
      <c r="S824" s="2">
        <v>18</v>
      </c>
      <c r="T824" s="3">
        <f t="shared" si="74"/>
        <v>287.64</v>
      </c>
      <c r="U824" s="4">
        <v>0.1</v>
      </c>
      <c r="V824" s="6">
        <f t="shared" si="75"/>
        <v>28.763999999999999</v>
      </c>
      <c r="W824" s="6">
        <f t="shared" si="76"/>
        <v>258.87599999999998</v>
      </c>
      <c r="X824" s="3">
        <v>6.5</v>
      </c>
      <c r="Y824" s="5">
        <f t="shared" si="77"/>
        <v>265.37599999999998</v>
      </c>
    </row>
    <row r="825" spans="1:25" x14ac:dyDescent="0.2">
      <c r="A825" t="s">
        <v>1686</v>
      </c>
      <c r="B825" s="1">
        <v>42485</v>
      </c>
      <c r="C825" s="2" t="str">
        <f t="shared" si="72"/>
        <v>2016</v>
      </c>
      <c r="D825" s="2" t="s">
        <v>417</v>
      </c>
      <c r="E825" s="2" t="s">
        <v>65</v>
      </c>
      <c r="F825" s="2" t="s">
        <v>36</v>
      </c>
      <c r="G825" s="2" t="s">
        <v>37</v>
      </c>
      <c r="H825" s="2" t="s">
        <v>29</v>
      </c>
      <c r="I825" s="2" t="s">
        <v>43</v>
      </c>
      <c r="J825" s="2" t="s">
        <v>30</v>
      </c>
      <c r="K825" s="2" t="s">
        <v>297</v>
      </c>
      <c r="L825" s="2" t="s">
        <v>32</v>
      </c>
      <c r="M825" s="2" t="s">
        <v>33</v>
      </c>
      <c r="N825" s="2" t="s">
        <v>27</v>
      </c>
      <c r="O825" s="1">
        <v>42487</v>
      </c>
      <c r="P825" s="3">
        <v>3.48</v>
      </c>
      <c r="Q825" s="3">
        <v>5.43</v>
      </c>
      <c r="R825" s="3">
        <f t="shared" si="73"/>
        <v>1.9499999999999997</v>
      </c>
      <c r="S825" s="2">
        <v>37</v>
      </c>
      <c r="T825" s="3">
        <f t="shared" si="74"/>
        <v>200.91</v>
      </c>
      <c r="U825" s="4">
        <v>0.09</v>
      </c>
      <c r="V825" s="6">
        <f t="shared" si="75"/>
        <v>18.081899999999997</v>
      </c>
      <c r="W825" s="6">
        <f t="shared" si="76"/>
        <v>182.82810000000001</v>
      </c>
      <c r="X825" s="3">
        <v>0.95</v>
      </c>
      <c r="Y825" s="5">
        <f t="shared" si="77"/>
        <v>183.77809999999999</v>
      </c>
    </row>
    <row r="826" spans="1:25" x14ac:dyDescent="0.2">
      <c r="A826" t="s">
        <v>1687</v>
      </c>
      <c r="B826" s="1">
        <v>42487</v>
      </c>
      <c r="C826" s="2" t="str">
        <f t="shared" si="72"/>
        <v>2016</v>
      </c>
      <c r="D826" s="2" t="s">
        <v>415</v>
      </c>
      <c r="E826" s="2" t="s">
        <v>91</v>
      </c>
      <c r="F826" s="2" t="s">
        <v>19</v>
      </c>
      <c r="G826" s="2" t="s">
        <v>20</v>
      </c>
      <c r="H826" s="2" t="s">
        <v>29</v>
      </c>
      <c r="I826" s="2" t="s">
        <v>92</v>
      </c>
      <c r="J826" s="2" t="s">
        <v>44</v>
      </c>
      <c r="K826" s="2" t="s">
        <v>332</v>
      </c>
      <c r="L826" s="2" t="s">
        <v>32</v>
      </c>
      <c r="M826" s="2" t="s">
        <v>26</v>
      </c>
      <c r="N826" s="2" t="s">
        <v>27</v>
      </c>
      <c r="O826" s="1">
        <v>42488</v>
      </c>
      <c r="P826" s="3">
        <v>2.25</v>
      </c>
      <c r="Q826" s="3">
        <v>3.69</v>
      </c>
      <c r="R826" s="3">
        <f t="shared" si="73"/>
        <v>1.44</v>
      </c>
      <c r="S826" s="2">
        <v>46</v>
      </c>
      <c r="T826" s="3">
        <f t="shared" si="74"/>
        <v>169.74</v>
      </c>
      <c r="U826" s="4">
        <v>0.04</v>
      </c>
      <c r="V826" s="6">
        <f t="shared" si="75"/>
        <v>6.7896000000000001</v>
      </c>
      <c r="W826" s="6">
        <f t="shared" si="76"/>
        <v>162.9504</v>
      </c>
      <c r="X826" s="3">
        <v>2.5</v>
      </c>
      <c r="Y826" s="5">
        <f t="shared" si="77"/>
        <v>165.4504</v>
      </c>
    </row>
    <row r="827" spans="1:25" x14ac:dyDescent="0.2">
      <c r="A827" t="s">
        <v>925</v>
      </c>
      <c r="B827" s="1">
        <v>42491</v>
      </c>
      <c r="C827" s="2" t="str">
        <f t="shared" si="72"/>
        <v>2016</v>
      </c>
      <c r="D827" s="2" t="s">
        <v>414</v>
      </c>
      <c r="E827" s="2" t="s">
        <v>1899</v>
      </c>
      <c r="F827" s="2" t="s">
        <v>1881</v>
      </c>
      <c r="G827" s="2" t="s">
        <v>1882</v>
      </c>
      <c r="H827" s="2" t="s">
        <v>29</v>
      </c>
      <c r="I827" s="2" t="s">
        <v>75</v>
      </c>
      <c r="J827" s="2" t="s">
        <v>52</v>
      </c>
      <c r="K827" s="2" t="s">
        <v>173</v>
      </c>
      <c r="L827" s="2" t="s">
        <v>32</v>
      </c>
      <c r="M827" s="2" t="s">
        <v>26</v>
      </c>
      <c r="N827" s="2" t="s">
        <v>27</v>
      </c>
      <c r="O827" s="1">
        <v>42493</v>
      </c>
      <c r="P827" s="3">
        <v>1.84</v>
      </c>
      <c r="Q827" s="3">
        <v>2.88</v>
      </c>
      <c r="R827" s="3">
        <f t="shared" si="73"/>
        <v>1.0399999999999998</v>
      </c>
      <c r="S827" s="2">
        <v>45</v>
      </c>
      <c r="T827" s="3">
        <f t="shared" si="74"/>
        <v>129.6</v>
      </c>
      <c r="U827" s="4">
        <v>0.02</v>
      </c>
      <c r="V827" s="6">
        <f t="shared" si="75"/>
        <v>2.5920000000000001</v>
      </c>
      <c r="W827" s="6">
        <f t="shared" si="76"/>
        <v>127.008</v>
      </c>
      <c r="X827" s="3">
        <v>1.49</v>
      </c>
      <c r="Y827" s="5">
        <f t="shared" si="77"/>
        <v>128.49799999999999</v>
      </c>
    </row>
    <row r="828" spans="1:25" x14ac:dyDescent="0.2">
      <c r="A828" t="s">
        <v>926</v>
      </c>
      <c r="B828" s="1">
        <v>42491</v>
      </c>
      <c r="C828" s="2" t="str">
        <f t="shared" si="72"/>
        <v>2016</v>
      </c>
      <c r="D828" s="2" t="s">
        <v>414</v>
      </c>
      <c r="E828" s="2" t="s">
        <v>1899</v>
      </c>
      <c r="F828" s="2" t="s">
        <v>1881</v>
      </c>
      <c r="G828" s="2" t="s">
        <v>1882</v>
      </c>
      <c r="H828" s="2" t="s">
        <v>29</v>
      </c>
      <c r="I828" s="2" t="s">
        <v>75</v>
      </c>
      <c r="J828" s="2" t="s">
        <v>52</v>
      </c>
      <c r="K828" s="2" t="s">
        <v>247</v>
      </c>
      <c r="L828" s="2" t="s">
        <v>32</v>
      </c>
      <c r="M828" s="2" t="s">
        <v>26</v>
      </c>
      <c r="N828" s="2" t="s">
        <v>27</v>
      </c>
      <c r="O828" s="1">
        <v>42492</v>
      </c>
      <c r="P828" s="3">
        <v>4.46</v>
      </c>
      <c r="Q828" s="3">
        <v>10.89</v>
      </c>
      <c r="R828" s="3">
        <f t="shared" si="73"/>
        <v>6.4300000000000006</v>
      </c>
      <c r="S828" s="2">
        <v>39</v>
      </c>
      <c r="T828" s="3">
        <f t="shared" si="74"/>
        <v>424.71000000000004</v>
      </c>
      <c r="U828" s="4">
        <v>0.06</v>
      </c>
      <c r="V828" s="6">
        <f t="shared" si="75"/>
        <v>25.482600000000001</v>
      </c>
      <c r="W828" s="6">
        <f t="shared" si="76"/>
        <v>399.22740000000005</v>
      </c>
      <c r="X828" s="3">
        <v>4.5</v>
      </c>
      <c r="Y828" s="5">
        <f t="shared" si="77"/>
        <v>403.72740000000005</v>
      </c>
    </row>
    <row r="829" spans="1:25" x14ac:dyDescent="0.2">
      <c r="A829" t="s">
        <v>927</v>
      </c>
      <c r="B829" s="1">
        <v>42492</v>
      </c>
      <c r="C829" s="2" t="str">
        <f t="shared" si="72"/>
        <v>2016</v>
      </c>
      <c r="D829" s="2" t="s">
        <v>412</v>
      </c>
      <c r="E829" s="2" t="s">
        <v>251</v>
      </c>
      <c r="F829" s="2" t="s">
        <v>19</v>
      </c>
      <c r="G829" s="2" t="s">
        <v>20</v>
      </c>
      <c r="H829" s="2" t="s">
        <v>21</v>
      </c>
      <c r="I829" s="2" t="s">
        <v>92</v>
      </c>
      <c r="J829" s="2" t="s">
        <v>44</v>
      </c>
      <c r="K829" s="2" t="s">
        <v>149</v>
      </c>
      <c r="L829" s="2" t="s">
        <v>150</v>
      </c>
      <c r="M829" s="2" t="s">
        <v>58</v>
      </c>
      <c r="N829" s="2" t="s">
        <v>27</v>
      </c>
      <c r="O829" s="1">
        <v>42494</v>
      </c>
      <c r="P829" s="3">
        <v>5.5</v>
      </c>
      <c r="Q829" s="3">
        <v>12.22</v>
      </c>
      <c r="R829" s="3">
        <f t="shared" si="73"/>
        <v>6.7200000000000006</v>
      </c>
      <c r="S829" s="2">
        <v>46</v>
      </c>
      <c r="T829" s="3">
        <f t="shared" si="74"/>
        <v>562.12</v>
      </c>
      <c r="U829" s="4">
        <v>0.06</v>
      </c>
      <c r="V829" s="6">
        <f t="shared" si="75"/>
        <v>33.727199999999996</v>
      </c>
      <c r="W829" s="6">
        <f t="shared" si="76"/>
        <v>528.39279999999997</v>
      </c>
      <c r="X829" s="3">
        <v>2.85</v>
      </c>
      <c r="Y829" s="5">
        <f t="shared" si="77"/>
        <v>531.24279999999999</v>
      </c>
    </row>
    <row r="830" spans="1:25" x14ac:dyDescent="0.2">
      <c r="A830" t="s">
        <v>928</v>
      </c>
      <c r="B830" s="1">
        <v>42492</v>
      </c>
      <c r="C830" s="2" t="str">
        <f t="shared" si="72"/>
        <v>2016</v>
      </c>
      <c r="D830" s="2" t="s">
        <v>412</v>
      </c>
      <c r="E830" s="2" t="s">
        <v>251</v>
      </c>
      <c r="F830" s="2" t="s">
        <v>19</v>
      </c>
      <c r="G830" s="2" t="s">
        <v>20</v>
      </c>
      <c r="H830" s="2" t="s">
        <v>21</v>
      </c>
      <c r="I830" s="2" t="s">
        <v>92</v>
      </c>
      <c r="J830" s="2" t="s">
        <v>44</v>
      </c>
      <c r="K830" s="2" t="s">
        <v>103</v>
      </c>
      <c r="L830" s="2" t="s">
        <v>32</v>
      </c>
      <c r="M830" s="2" t="s">
        <v>26</v>
      </c>
      <c r="N830" s="2" t="s">
        <v>27</v>
      </c>
      <c r="O830" s="1">
        <v>42493</v>
      </c>
      <c r="P830" s="3">
        <v>2.2599999999999998</v>
      </c>
      <c r="Q830" s="3">
        <v>3.58</v>
      </c>
      <c r="R830" s="3">
        <f t="shared" si="73"/>
        <v>1.3200000000000003</v>
      </c>
      <c r="S830" s="2">
        <v>8</v>
      </c>
      <c r="T830" s="3">
        <f t="shared" si="74"/>
        <v>28.64</v>
      </c>
      <c r="U830" s="4">
        <v>0.09</v>
      </c>
      <c r="V830" s="6">
        <f t="shared" si="75"/>
        <v>2.5775999999999999</v>
      </c>
      <c r="W830" s="6">
        <f t="shared" si="76"/>
        <v>26.0624</v>
      </c>
      <c r="X830" s="3">
        <v>5.47</v>
      </c>
      <c r="Y830" s="5">
        <f t="shared" si="77"/>
        <v>31.532399999999999</v>
      </c>
    </row>
    <row r="831" spans="1:25" x14ac:dyDescent="0.2">
      <c r="A831" t="s">
        <v>1688</v>
      </c>
      <c r="B831" s="1">
        <v>42492</v>
      </c>
      <c r="C831" s="2" t="str">
        <f t="shared" si="72"/>
        <v>2016</v>
      </c>
      <c r="D831" s="2" t="s">
        <v>413</v>
      </c>
      <c r="E831" s="2" t="s">
        <v>18</v>
      </c>
      <c r="F831" s="2" t="s">
        <v>19</v>
      </c>
      <c r="G831" s="2" t="s">
        <v>20</v>
      </c>
      <c r="H831" s="2" t="s">
        <v>29</v>
      </c>
      <c r="I831" s="2" t="s">
        <v>22</v>
      </c>
      <c r="J831" s="2" t="s">
        <v>52</v>
      </c>
      <c r="K831" s="2" t="s">
        <v>232</v>
      </c>
      <c r="L831" s="2" t="s">
        <v>32</v>
      </c>
      <c r="M831" s="2" t="s">
        <v>58</v>
      </c>
      <c r="N831" s="2" t="s">
        <v>27</v>
      </c>
      <c r="O831" s="1">
        <v>42493</v>
      </c>
      <c r="P831" s="3">
        <v>2.5</v>
      </c>
      <c r="Q831" s="3">
        <v>5.68</v>
      </c>
      <c r="R831" s="3">
        <f t="shared" si="73"/>
        <v>3.1799999999999997</v>
      </c>
      <c r="S831" s="2">
        <v>25</v>
      </c>
      <c r="T831" s="3">
        <f t="shared" si="74"/>
        <v>142</v>
      </c>
      <c r="U831" s="4">
        <v>0.1</v>
      </c>
      <c r="V831" s="6">
        <f t="shared" si="75"/>
        <v>14.200000000000001</v>
      </c>
      <c r="W831" s="6">
        <f t="shared" si="76"/>
        <v>127.8</v>
      </c>
      <c r="X831" s="3">
        <v>3.6</v>
      </c>
      <c r="Y831" s="5">
        <f t="shared" si="77"/>
        <v>131.4</v>
      </c>
    </row>
    <row r="832" spans="1:25" x14ac:dyDescent="0.2">
      <c r="A832" t="s">
        <v>1689</v>
      </c>
      <c r="B832" s="1">
        <v>42495</v>
      </c>
      <c r="C832" s="2" t="str">
        <f t="shared" si="72"/>
        <v>2016</v>
      </c>
      <c r="D832" s="2" t="s">
        <v>369</v>
      </c>
      <c r="E832" s="2" t="s">
        <v>258</v>
      </c>
      <c r="F832" s="2" t="s">
        <v>36</v>
      </c>
      <c r="G832" s="2" t="s">
        <v>37</v>
      </c>
      <c r="H832" s="2" t="s">
        <v>21</v>
      </c>
      <c r="I832" s="2" t="s">
        <v>102</v>
      </c>
      <c r="J832" s="2" t="s">
        <v>30</v>
      </c>
      <c r="K832" s="2" t="s">
        <v>411</v>
      </c>
      <c r="L832" s="2" t="s">
        <v>32</v>
      </c>
      <c r="M832" s="2" t="s">
        <v>26</v>
      </c>
      <c r="N832" s="2" t="s">
        <v>27</v>
      </c>
      <c r="O832" s="1">
        <v>42497</v>
      </c>
      <c r="P832" s="3">
        <v>3.52</v>
      </c>
      <c r="Q832" s="3">
        <v>5.58</v>
      </c>
      <c r="R832" s="3">
        <f t="shared" si="73"/>
        <v>2.06</v>
      </c>
      <c r="S832" s="2">
        <v>13</v>
      </c>
      <c r="T832" s="3">
        <f t="shared" si="74"/>
        <v>72.540000000000006</v>
      </c>
      <c r="U832" s="4">
        <v>0.06</v>
      </c>
      <c r="V832" s="6">
        <f t="shared" si="75"/>
        <v>4.3524000000000003</v>
      </c>
      <c r="W832" s="6">
        <f t="shared" si="76"/>
        <v>68.187600000000003</v>
      </c>
      <c r="X832" s="3">
        <v>2.99</v>
      </c>
      <c r="Y832" s="5">
        <f t="shared" si="77"/>
        <v>71.177599999999998</v>
      </c>
    </row>
    <row r="833" spans="1:25" x14ac:dyDescent="0.2">
      <c r="A833" t="s">
        <v>1690</v>
      </c>
      <c r="B833" s="1">
        <v>42498</v>
      </c>
      <c r="C833" s="2" t="str">
        <f t="shared" si="72"/>
        <v>2016</v>
      </c>
      <c r="D833" s="2" t="s">
        <v>409</v>
      </c>
      <c r="E833" s="2" t="s">
        <v>258</v>
      </c>
      <c r="F833" s="2" t="s">
        <v>36</v>
      </c>
      <c r="G833" s="2" t="s">
        <v>37</v>
      </c>
      <c r="H833" s="2" t="s">
        <v>50</v>
      </c>
      <c r="I833" s="2" t="s">
        <v>102</v>
      </c>
      <c r="J833" s="2" t="s">
        <v>23</v>
      </c>
      <c r="K833" s="2" t="s">
        <v>410</v>
      </c>
      <c r="L833" s="2" t="s">
        <v>32</v>
      </c>
      <c r="M833" s="2" t="s">
        <v>33</v>
      </c>
      <c r="N833" s="2" t="s">
        <v>27</v>
      </c>
      <c r="O833" s="1">
        <v>42502</v>
      </c>
      <c r="P833" s="3">
        <v>1.95</v>
      </c>
      <c r="Q833" s="3">
        <v>3.98</v>
      </c>
      <c r="R833" s="3">
        <f t="shared" si="73"/>
        <v>2.0300000000000002</v>
      </c>
      <c r="S833" s="2">
        <v>27</v>
      </c>
      <c r="T833" s="3">
        <f t="shared" si="74"/>
        <v>107.46</v>
      </c>
      <c r="U833" s="4">
        <v>0.06</v>
      </c>
      <c r="V833" s="6">
        <f t="shared" si="75"/>
        <v>6.4475999999999996</v>
      </c>
      <c r="W833" s="6">
        <f t="shared" si="76"/>
        <v>101.0124</v>
      </c>
      <c r="X833" s="3">
        <v>0.83</v>
      </c>
      <c r="Y833" s="5">
        <f t="shared" si="77"/>
        <v>101.8424</v>
      </c>
    </row>
    <row r="834" spans="1:25" x14ac:dyDescent="0.2">
      <c r="A834" t="s">
        <v>1691</v>
      </c>
      <c r="B834" s="1">
        <v>42498</v>
      </c>
      <c r="C834" s="2" t="str">
        <f t="shared" si="72"/>
        <v>2016</v>
      </c>
      <c r="D834" s="2" t="s">
        <v>324</v>
      </c>
      <c r="E834" s="2" t="s">
        <v>325</v>
      </c>
      <c r="F834" s="2" t="s">
        <v>36</v>
      </c>
      <c r="G834" s="2" t="s">
        <v>37</v>
      </c>
      <c r="H834" s="2" t="s">
        <v>50</v>
      </c>
      <c r="I834" s="2" t="s">
        <v>96</v>
      </c>
      <c r="J834" s="2" t="s">
        <v>23</v>
      </c>
      <c r="K834" s="2" t="s">
        <v>97</v>
      </c>
      <c r="L834" s="2" t="s">
        <v>32</v>
      </c>
      <c r="M834" s="2" t="s">
        <v>33</v>
      </c>
      <c r="N834" s="2" t="s">
        <v>27</v>
      </c>
      <c r="O834" s="1">
        <v>42498</v>
      </c>
      <c r="P834" s="3">
        <v>0.71</v>
      </c>
      <c r="Q834" s="3">
        <v>1.1399999999999999</v>
      </c>
      <c r="R834" s="3">
        <f t="shared" si="73"/>
        <v>0.42999999999999994</v>
      </c>
      <c r="S834" s="2">
        <v>20</v>
      </c>
      <c r="T834" s="3">
        <f t="shared" si="74"/>
        <v>22.799999999999997</v>
      </c>
      <c r="U834" s="4">
        <v>0.09</v>
      </c>
      <c r="V834" s="6">
        <f t="shared" si="75"/>
        <v>2.0519999999999996</v>
      </c>
      <c r="W834" s="6">
        <f t="shared" si="76"/>
        <v>20.747999999999998</v>
      </c>
      <c r="X834" s="3">
        <v>0.7</v>
      </c>
      <c r="Y834" s="5">
        <f t="shared" si="77"/>
        <v>21.447999999999997</v>
      </c>
    </row>
    <row r="835" spans="1:25" x14ac:dyDescent="0.2">
      <c r="A835" t="s">
        <v>1692</v>
      </c>
      <c r="B835" s="1">
        <v>42499</v>
      </c>
      <c r="C835" s="2" t="str">
        <f t="shared" si="72"/>
        <v>2016</v>
      </c>
      <c r="D835" s="2" t="s">
        <v>407</v>
      </c>
      <c r="E835" s="2" t="s">
        <v>213</v>
      </c>
      <c r="F835" s="2" t="s">
        <v>36</v>
      </c>
      <c r="G835" s="2" t="s">
        <v>37</v>
      </c>
      <c r="H835" s="2" t="s">
        <v>50</v>
      </c>
      <c r="I835" s="2" t="s">
        <v>79</v>
      </c>
      <c r="J835" s="2" t="s">
        <v>44</v>
      </c>
      <c r="K835" s="2" t="s">
        <v>408</v>
      </c>
      <c r="L835" s="2" t="s">
        <v>32</v>
      </c>
      <c r="M835" s="2" t="s">
        <v>26</v>
      </c>
      <c r="N835" s="2" t="s">
        <v>27</v>
      </c>
      <c r="O835" s="1">
        <v>42501</v>
      </c>
      <c r="P835" s="3">
        <v>84.22</v>
      </c>
      <c r="Q835" s="3">
        <v>210.55</v>
      </c>
      <c r="R835" s="3">
        <f t="shared" si="73"/>
        <v>126.33000000000001</v>
      </c>
      <c r="S835" s="2">
        <v>4</v>
      </c>
      <c r="T835" s="3">
        <f t="shared" si="74"/>
        <v>842.2</v>
      </c>
      <c r="U835" s="4">
        <v>0.05</v>
      </c>
      <c r="V835" s="6">
        <f t="shared" si="75"/>
        <v>42.110000000000007</v>
      </c>
      <c r="W835" s="6">
        <f t="shared" si="76"/>
        <v>800.09</v>
      </c>
      <c r="X835" s="3">
        <v>9.99</v>
      </c>
      <c r="Y835" s="5">
        <f t="shared" si="77"/>
        <v>810.08</v>
      </c>
    </row>
    <row r="836" spans="1:25" x14ac:dyDescent="0.2">
      <c r="A836" t="s">
        <v>1693</v>
      </c>
      <c r="B836" s="1">
        <v>42500</v>
      </c>
      <c r="C836" s="2" t="str">
        <f t="shared" si="72"/>
        <v>2016</v>
      </c>
      <c r="D836" s="2" t="s">
        <v>406</v>
      </c>
      <c r="E836" s="2" t="s">
        <v>1903</v>
      </c>
      <c r="F836" s="2" t="s">
        <v>1881</v>
      </c>
      <c r="G836" s="2" t="s">
        <v>1882</v>
      </c>
      <c r="H836" s="2" t="s">
        <v>50</v>
      </c>
      <c r="I836" s="2" t="s">
        <v>43</v>
      </c>
      <c r="J836" s="2" t="s">
        <v>52</v>
      </c>
      <c r="K836" s="2" t="s">
        <v>197</v>
      </c>
      <c r="L836" s="2" t="s">
        <v>32</v>
      </c>
      <c r="M836" s="2" t="s">
        <v>26</v>
      </c>
      <c r="N836" s="2" t="s">
        <v>27</v>
      </c>
      <c r="O836" s="1">
        <v>42502</v>
      </c>
      <c r="P836" s="3">
        <v>3.52</v>
      </c>
      <c r="Q836" s="3">
        <v>5.68</v>
      </c>
      <c r="R836" s="3">
        <f t="shared" si="73"/>
        <v>2.1599999999999997</v>
      </c>
      <c r="S836" s="2">
        <v>34</v>
      </c>
      <c r="T836" s="3">
        <f t="shared" si="74"/>
        <v>193.12</v>
      </c>
      <c r="U836" s="4">
        <v>0.06</v>
      </c>
      <c r="V836" s="6">
        <f t="shared" si="75"/>
        <v>11.587199999999999</v>
      </c>
      <c r="W836" s="6">
        <f t="shared" si="76"/>
        <v>181.53280000000001</v>
      </c>
      <c r="X836" s="3">
        <v>1.39</v>
      </c>
      <c r="Y836" s="5">
        <f t="shared" si="77"/>
        <v>182.9228</v>
      </c>
    </row>
    <row r="837" spans="1:25" x14ac:dyDescent="0.2">
      <c r="A837" t="s">
        <v>1694</v>
      </c>
      <c r="B837" s="1">
        <v>42502</v>
      </c>
      <c r="C837" s="2" t="str">
        <f t="shared" si="72"/>
        <v>2016</v>
      </c>
      <c r="D837" s="2" t="s">
        <v>404</v>
      </c>
      <c r="E837" s="2" t="s">
        <v>69</v>
      </c>
      <c r="F837" s="2" t="s">
        <v>19</v>
      </c>
      <c r="G837" s="2" t="s">
        <v>20</v>
      </c>
      <c r="H837" s="2" t="s">
        <v>50</v>
      </c>
      <c r="I837" s="2" t="s">
        <v>22</v>
      </c>
      <c r="J837" s="2" t="s">
        <v>66</v>
      </c>
      <c r="K837" s="2" t="s">
        <v>405</v>
      </c>
      <c r="L837" s="2" t="s">
        <v>32</v>
      </c>
      <c r="M837" s="2" t="s">
        <v>26</v>
      </c>
      <c r="N837" s="2" t="s">
        <v>27</v>
      </c>
      <c r="O837" s="1">
        <v>42504</v>
      </c>
      <c r="P837" s="3">
        <v>2.1800000000000002</v>
      </c>
      <c r="Q837" s="3">
        <v>3.52</v>
      </c>
      <c r="R837" s="3">
        <f t="shared" si="73"/>
        <v>1.3399999999999999</v>
      </c>
      <c r="S837" s="2">
        <v>42</v>
      </c>
      <c r="T837" s="3">
        <f t="shared" si="74"/>
        <v>147.84</v>
      </c>
      <c r="U837" s="4">
        <v>0.04</v>
      </c>
      <c r="V837" s="6">
        <f t="shared" si="75"/>
        <v>5.9136000000000006</v>
      </c>
      <c r="W837" s="6">
        <f t="shared" si="76"/>
        <v>141.9264</v>
      </c>
      <c r="X837" s="3">
        <v>6.83</v>
      </c>
      <c r="Y837" s="5">
        <f t="shared" si="77"/>
        <v>148.75640000000001</v>
      </c>
    </row>
    <row r="838" spans="1:25" x14ac:dyDescent="0.2">
      <c r="A838" t="s">
        <v>1695</v>
      </c>
      <c r="B838" s="1">
        <v>42504</v>
      </c>
      <c r="C838" s="2" t="str">
        <f t="shared" ref="C838:C901" si="78">TEXT(B838,"yyyy")</f>
        <v>2016</v>
      </c>
      <c r="D838" s="2" t="s">
        <v>401</v>
      </c>
      <c r="E838" s="2" t="s">
        <v>263</v>
      </c>
      <c r="F838" s="2" t="s">
        <v>36</v>
      </c>
      <c r="G838" s="2" t="s">
        <v>37</v>
      </c>
      <c r="H838" s="2" t="s">
        <v>50</v>
      </c>
      <c r="I838" s="2" t="s">
        <v>142</v>
      </c>
      <c r="J838" s="2" t="s">
        <v>52</v>
      </c>
      <c r="K838" s="2" t="s">
        <v>337</v>
      </c>
      <c r="L838" s="2" t="s">
        <v>32</v>
      </c>
      <c r="M838" s="2" t="s">
        <v>26</v>
      </c>
      <c r="N838" s="2" t="s">
        <v>27</v>
      </c>
      <c r="O838" s="1">
        <v>42506</v>
      </c>
      <c r="P838" s="3">
        <v>2.29</v>
      </c>
      <c r="Q838" s="3">
        <v>3.69</v>
      </c>
      <c r="R838" s="3">
        <f t="shared" ref="R838:R901" si="79">Q838-P838</f>
        <v>1.4</v>
      </c>
      <c r="S838" s="2">
        <v>47</v>
      </c>
      <c r="T838" s="3">
        <f t="shared" ref="T838:T901" si="80">Q838*S838</f>
        <v>173.43</v>
      </c>
      <c r="U838" s="4">
        <v>0.05</v>
      </c>
      <c r="V838" s="6">
        <f t="shared" ref="V838:V901" si="81">T838*U838</f>
        <v>8.6715</v>
      </c>
      <c r="W838" s="6">
        <f t="shared" ref="W838:W901" si="82">T838-V838</f>
        <v>164.7585</v>
      </c>
      <c r="X838" s="3">
        <v>0.5</v>
      </c>
      <c r="Y838" s="5">
        <f t="shared" ref="Y838:Y901" si="83">W838+X838</f>
        <v>165.2585</v>
      </c>
    </row>
    <row r="839" spans="1:25" x14ac:dyDescent="0.2">
      <c r="A839" t="s">
        <v>1696</v>
      </c>
      <c r="B839" s="1">
        <v>42504</v>
      </c>
      <c r="C839" s="2" t="str">
        <f t="shared" si="78"/>
        <v>2016</v>
      </c>
      <c r="D839" s="2" t="s">
        <v>402</v>
      </c>
      <c r="E839" s="2" t="s">
        <v>202</v>
      </c>
      <c r="F839" s="2" t="s">
        <v>19</v>
      </c>
      <c r="G839" s="2" t="s">
        <v>20</v>
      </c>
      <c r="H839" s="2" t="s">
        <v>42</v>
      </c>
      <c r="I839" s="2" t="s">
        <v>22</v>
      </c>
      <c r="J839" s="2" t="s">
        <v>52</v>
      </c>
      <c r="K839" s="2" t="s">
        <v>403</v>
      </c>
      <c r="L839" s="2" t="s">
        <v>32</v>
      </c>
      <c r="M839" s="2" t="s">
        <v>26</v>
      </c>
      <c r="N839" s="2" t="s">
        <v>27</v>
      </c>
      <c r="O839" s="1">
        <v>42506</v>
      </c>
      <c r="P839" s="3">
        <v>1.33</v>
      </c>
      <c r="Q839" s="3">
        <v>2.08</v>
      </c>
      <c r="R839" s="3">
        <f t="shared" si="79"/>
        <v>0.75</v>
      </c>
      <c r="S839" s="2">
        <v>43</v>
      </c>
      <c r="T839" s="3">
        <f t="shared" si="80"/>
        <v>89.44</v>
      </c>
      <c r="U839" s="4">
        <v>0.05</v>
      </c>
      <c r="V839" s="6">
        <f t="shared" si="81"/>
        <v>4.4720000000000004</v>
      </c>
      <c r="W839" s="6">
        <f t="shared" si="82"/>
        <v>84.968000000000004</v>
      </c>
      <c r="X839" s="3">
        <v>1.49</v>
      </c>
      <c r="Y839" s="5">
        <f t="shared" si="83"/>
        <v>86.457999999999998</v>
      </c>
    </row>
    <row r="840" spans="1:25" x14ac:dyDescent="0.2">
      <c r="A840" s="12" t="s">
        <v>1696</v>
      </c>
      <c r="B840" s="1">
        <v>42507</v>
      </c>
      <c r="C840" s="2" t="str">
        <f t="shared" si="78"/>
        <v>2016</v>
      </c>
      <c r="D840" s="2" t="s">
        <v>613</v>
      </c>
      <c r="E840" s="2" t="s">
        <v>231</v>
      </c>
      <c r="F840" s="2" t="s">
        <v>36</v>
      </c>
      <c r="G840" s="2" t="s">
        <v>37</v>
      </c>
      <c r="H840" s="2" t="s">
        <v>42</v>
      </c>
      <c r="I840" s="2" t="s">
        <v>79</v>
      </c>
      <c r="J840" s="2" t="s">
        <v>44</v>
      </c>
      <c r="K840" s="2" t="s">
        <v>509</v>
      </c>
      <c r="L840" s="2" t="s">
        <v>32</v>
      </c>
      <c r="M840" s="2" t="s">
        <v>33</v>
      </c>
      <c r="N840" s="2" t="s">
        <v>27</v>
      </c>
      <c r="O840" s="1">
        <v>42508</v>
      </c>
      <c r="P840" s="3">
        <v>3.88</v>
      </c>
      <c r="Q840" s="3">
        <v>6.47</v>
      </c>
      <c r="R840" s="3">
        <f t="shared" si="79"/>
        <v>2.59</v>
      </c>
      <c r="S840" s="2">
        <v>7</v>
      </c>
      <c r="T840" s="3">
        <f t="shared" si="80"/>
        <v>45.29</v>
      </c>
      <c r="U840" s="4">
        <v>0.02</v>
      </c>
      <c r="V840" s="6">
        <f t="shared" si="81"/>
        <v>0.90580000000000005</v>
      </c>
      <c r="W840" s="6">
        <f t="shared" si="82"/>
        <v>44.3842</v>
      </c>
      <c r="X840" s="3">
        <v>1.22</v>
      </c>
      <c r="Y840" s="5">
        <f t="shared" si="83"/>
        <v>45.604199999999999</v>
      </c>
    </row>
    <row r="841" spans="1:25" x14ac:dyDescent="0.2">
      <c r="A841" t="s">
        <v>1697</v>
      </c>
      <c r="B841" s="1">
        <v>42508</v>
      </c>
      <c r="C841" s="2" t="str">
        <f t="shared" si="78"/>
        <v>2016</v>
      </c>
      <c r="D841" s="2" t="s">
        <v>399</v>
      </c>
      <c r="E841" s="2" t="s">
        <v>400</v>
      </c>
      <c r="F841" s="2" t="s">
        <v>19</v>
      </c>
      <c r="G841" s="2" t="s">
        <v>20</v>
      </c>
      <c r="H841" s="2" t="s">
        <v>50</v>
      </c>
      <c r="I841" s="2" t="s">
        <v>22</v>
      </c>
      <c r="J841" s="2" t="s">
        <v>52</v>
      </c>
      <c r="K841" s="2" t="s">
        <v>167</v>
      </c>
      <c r="L841" s="2" t="s">
        <v>32</v>
      </c>
      <c r="M841" s="2" t="s">
        <v>26</v>
      </c>
      <c r="N841" s="2" t="s">
        <v>27</v>
      </c>
      <c r="O841" s="1">
        <v>42510</v>
      </c>
      <c r="P841" s="3">
        <v>14.95</v>
      </c>
      <c r="Q841" s="3">
        <v>34.76</v>
      </c>
      <c r="R841" s="3">
        <f t="shared" si="79"/>
        <v>19.809999999999999</v>
      </c>
      <c r="S841" s="2">
        <v>8</v>
      </c>
      <c r="T841" s="3">
        <f t="shared" si="80"/>
        <v>278.08</v>
      </c>
      <c r="U841" s="4">
        <v>0</v>
      </c>
      <c r="V841" s="6">
        <f t="shared" si="81"/>
        <v>0</v>
      </c>
      <c r="W841" s="6">
        <f t="shared" si="82"/>
        <v>278.08</v>
      </c>
      <c r="X841" s="3">
        <v>8.2200000000000006</v>
      </c>
      <c r="Y841" s="5">
        <f t="shared" si="83"/>
        <v>286.3</v>
      </c>
    </row>
    <row r="842" spans="1:25" x14ac:dyDescent="0.2">
      <c r="A842" t="s">
        <v>1698</v>
      </c>
      <c r="B842" s="1">
        <v>42509</v>
      </c>
      <c r="C842" s="2" t="str">
        <f t="shared" si="78"/>
        <v>2016</v>
      </c>
      <c r="D842" s="2" t="s">
        <v>397</v>
      </c>
      <c r="E842" s="2" t="s">
        <v>398</v>
      </c>
      <c r="F842" s="2" t="s">
        <v>36</v>
      </c>
      <c r="G842" s="2" t="s">
        <v>37</v>
      </c>
      <c r="H842" s="2" t="s">
        <v>21</v>
      </c>
      <c r="I842" s="2" t="s">
        <v>38</v>
      </c>
      <c r="J842" s="2" t="s">
        <v>30</v>
      </c>
      <c r="K842" s="2" t="s">
        <v>306</v>
      </c>
      <c r="L842" s="2" t="s">
        <v>32</v>
      </c>
      <c r="M842" s="2" t="s">
        <v>33</v>
      </c>
      <c r="N842" s="2" t="s">
        <v>27</v>
      </c>
      <c r="O842" s="1">
        <v>42510</v>
      </c>
      <c r="P842" s="3">
        <v>1.76</v>
      </c>
      <c r="Q842" s="3">
        <v>2.94</v>
      </c>
      <c r="R842" s="3">
        <f t="shared" si="79"/>
        <v>1.18</v>
      </c>
      <c r="S842" s="2">
        <v>31</v>
      </c>
      <c r="T842" s="3">
        <f t="shared" si="80"/>
        <v>91.14</v>
      </c>
      <c r="U842" s="4">
        <v>0.04</v>
      </c>
      <c r="V842" s="6">
        <f t="shared" si="81"/>
        <v>3.6456</v>
      </c>
      <c r="W842" s="6">
        <f t="shared" si="82"/>
        <v>87.494399999999999</v>
      </c>
      <c r="X842" s="3">
        <v>0.81</v>
      </c>
      <c r="Y842" s="5">
        <f t="shared" si="83"/>
        <v>88.304400000000001</v>
      </c>
    </row>
    <row r="843" spans="1:25" x14ac:dyDescent="0.2">
      <c r="A843" t="s">
        <v>1699</v>
      </c>
      <c r="B843" s="1">
        <v>42511</v>
      </c>
      <c r="C843" s="2" t="str">
        <f t="shared" si="78"/>
        <v>2016</v>
      </c>
      <c r="D843" s="2" t="s">
        <v>394</v>
      </c>
      <c r="E843" s="2" t="s">
        <v>161</v>
      </c>
      <c r="F843" s="2" t="s">
        <v>36</v>
      </c>
      <c r="G843" s="2" t="s">
        <v>37</v>
      </c>
      <c r="H843" s="2" t="s">
        <v>50</v>
      </c>
      <c r="I843" s="2" t="s">
        <v>51</v>
      </c>
      <c r="J843" s="2" t="s">
        <v>66</v>
      </c>
      <c r="K843" s="2" t="s">
        <v>149</v>
      </c>
      <c r="L843" s="2" t="s">
        <v>150</v>
      </c>
      <c r="M843" s="2" t="s">
        <v>58</v>
      </c>
      <c r="N843" s="2" t="s">
        <v>27</v>
      </c>
      <c r="O843" s="1">
        <v>42512</v>
      </c>
      <c r="P843" s="3">
        <v>5.5</v>
      </c>
      <c r="Q843" s="3">
        <v>12.22</v>
      </c>
      <c r="R843" s="3">
        <f t="shared" si="79"/>
        <v>6.7200000000000006</v>
      </c>
      <c r="S843" s="2">
        <v>10</v>
      </c>
      <c r="T843" s="3">
        <f t="shared" si="80"/>
        <v>122.2</v>
      </c>
      <c r="U843" s="4">
        <v>0.01</v>
      </c>
      <c r="V843" s="6">
        <f t="shared" si="81"/>
        <v>1.222</v>
      </c>
      <c r="W843" s="6">
        <f t="shared" si="82"/>
        <v>120.97800000000001</v>
      </c>
      <c r="X843" s="3">
        <v>2.85</v>
      </c>
      <c r="Y843" s="5">
        <f t="shared" si="83"/>
        <v>123.828</v>
      </c>
    </row>
    <row r="844" spans="1:25" x14ac:dyDescent="0.2">
      <c r="A844" t="s">
        <v>1700</v>
      </c>
      <c r="B844" s="1">
        <v>42511</v>
      </c>
      <c r="C844" s="2" t="str">
        <f t="shared" si="78"/>
        <v>2016</v>
      </c>
      <c r="D844" s="2" t="s">
        <v>395</v>
      </c>
      <c r="E844" s="2" t="s">
        <v>1893</v>
      </c>
      <c r="F844" s="2" t="s">
        <v>1881</v>
      </c>
      <c r="G844" s="2" t="s">
        <v>1882</v>
      </c>
      <c r="H844" s="2" t="s">
        <v>42</v>
      </c>
      <c r="I844" s="2" t="s">
        <v>153</v>
      </c>
      <c r="J844" s="2" t="s">
        <v>66</v>
      </c>
      <c r="K844" s="2" t="s">
        <v>131</v>
      </c>
      <c r="L844" s="2" t="s">
        <v>32</v>
      </c>
      <c r="M844" s="2" t="s">
        <v>26</v>
      </c>
      <c r="N844" s="2" t="s">
        <v>27</v>
      </c>
      <c r="O844" s="1">
        <v>42511</v>
      </c>
      <c r="P844" s="3">
        <v>52.07</v>
      </c>
      <c r="Q844" s="3">
        <v>83.98</v>
      </c>
      <c r="R844" s="3">
        <f t="shared" si="79"/>
        <v>31.910000000000004</v>
      </c>
      <c r="S844" s="2">
        <v>46</v>
      </c>
      <c r="T844" s="3">
        <f t="shared" si="80"/>
        <v>3863.0800000000004</v>
      </c>
      <c r="U844" s="4">
        <v>0.06</v>
      </c>
      <c r="V844" s="6">
        <f t="shared" si="81"/>
        <v>231.78480000000002</v>
      </c>
      <c r="W844" s="6">
        <f t="shared" si="82"/>
        <v>3631.2952000000005</v>
      </c>
      <c r="X844" s="3">
        <v>5.01</v>
      </c>
      <c r="Y844" s="5">
        <f t="shared" si="83"/>
        <v>3636.3052000000007</v>
      </c>
    </row>
    <row r="845" spans="1:25" x14ac:dyDescent="0.2">
      <c r="A845" t="s">
        <v>1701</v>
      </c>
      <c r="B845" s="1">
        <v>42511</v>
      </c>
      <c r="C845" s="2" t="str">
        <f t="shared" si="78"/>
        <v>2016</v>
      </c>
      <c r="D845" s="2" t="s">
        <v>396</v>
      </c>
      <c r="E845" s="2" t="s">
        <v>138</v>
      </c>
      <c r="F845" s="2" t="s">
        <v>36</v>
      </c>
      <c r="G845" s="2" t="s">
        <v>37</v>
      </c>
      <c r="H845" s="2" t="s">
        <v>50</v>
      </c>
      <c r="I845" s="2" t="s">
        <v>51</v>
      </c>
      <c r="J845" s="2" t="s">
        <v>66</v>
      </c>
      <c r="K845" s="2" t="s">
        <v>167</v>
      </c>
      <c r="L845" s="2" t="s">
        <v>32</v>
      </c>
      <c r="M845" s="2" t="s">
        <v>26</v>
      </c>
      <c r="N845" s="2" t="s">
        <v>27</v>
      </c>
      <c r="O845" s="1">
        <v>42512</v>
      </c>
      <c r="P845" s="3">
        <v>14.95</v>
      </c>
      <c r="Q845" s="3">
        <v>34.76</v>
      </c>
      <c r="R845" s="3">
        <f t="shared" si="79"/>
        <v>19.809999999999999</v>
      </c>
      <c r="S845" s="2">
        <v>47</v>
      </c>
      <c r="T845" s="3">
        <f t="shared" si="80"/>
        <v>1633.7199999999998</v>
      </c>
      <c r="U845" s="4">
        <v>0.09</v>
      </c>
      <c r="V845" s="6">
        <f t="shared" si="81"/>
        <v>147.03479999999999</v>
      </c>
      <c r="W845" s="6">
        <f t="shared" si="82"/>
        <v>1486.6851999999999</v>
      </c>
      <c r="X845" s="3">
        <v>8.2200000000000006</v>
      </c>
      <c r="Y845" s="5">
        <f t="shared" si="83"/>
        <v>1494.9051999999999</v>
      </c>
    </row>
    <row r="846" spans="1:25" x14ac:dyDescent="0.2">
      <c r="A846" t="s">
        <v>1702</v>
      </c>
      <c r="B846" s="1">
        <v>42512</v>
      </c>
      <c r="C846" s="2" t="str">
        <f t="shared" si="78"/>
        <v>2016</v>
      </c>
      <c r="D846" s="2" t="s">
        <v>392</v>
      </c>
      <c r="E846" s="2" t="s">
        <v>1902</v>
      </c>
      <c r="F846" s="2" t="s">
        <v>1881</v>
      </c>
      <c r="G846" s="2" t="s">
        <v>1882</v>
      </c>
      <c r="H846" s="2" t="s">
        <v>50</v>
      </c>
      <c r="I846" s="2" t="s">
        <v>51</v>
      </c>
      <c r="J846" s="2" t="s">
        <v>30</v>
      </c>
      <c r="K846" s="2" t="s">
        <v>247</v>
      </c>
      <c r="L846" s="2" t="s">
        <v>32</v>
      </c>
      <c r="M846" s="2" t="s">
        <v>26</v>
      </c>
      <c r="N846" s="2" t="s">
        <v>27</v>
      </c>
      <c r="O846" s="1">
        <v>42514</v>
      </c>
      <c r="P846" s="3">
        <v>4.46</v>
      </c>
      <c r="Q846" s="3">
        <v>10.89</v>
      </c>
      <c r="R846" s="3">
        <f t="shared" si="79"/>
        <v>6.4300000000000006</v>
      </c>
      <c r="S846" s="2">
        <v>1</v>
      </c>
      <c r="T846" s="3">
        <f t="shared" si="80"/>
        <v>10.89</v>
      </c>
      <c r="U846" s="4">
        <v>0</v>
      </c>
      <c r="V846" s="6">
        <f t="shared" si="81"/>
        <v>0</v>
      </c>
      <c r="W846" s="6">
        <f t="shared" si="82"/>
        <v>10.89</v>
      </c>
      <c r="X846" s="3">
        <v>4.5</v>
      </c>
      <c r="Y846" s="5">
        <f t="shared" si="83"/>
        <v>15.39</v>
      </c>
    </row>
    <row r="847" spans="1:25" x14ac:dyDescent="0.2">
      <c r="A847" t="s">
        <v>1703</v>
      </c>
      <c r="B847" s="1">
        <v>42512</v>
      </c>
      <c r="C847" s="2" t="str">
        <f t="shared" si="78"/>
        <v>2016</v>
      </c>
      <c r="D847" s="2" t="s">
        <v>393</v>
      </c>
      <c r="E847" s="2" t="s">
        <v>105</v>
      </c>
      <c r="F847" s="2" t="s">
        <v>36</v>
      </c>
      <c r="G847" s="2" t="s">
        <v>37</v>
      </c>
      <c r="H847" s="2" t="s">
        <v>21</v>
      </c>
      <c r="I847" s="2" t="s">
        <v>56</v>
      </c>
      <c r="J847" s="2" t="s">
        <v>52</v>
      </c>
      <c r="K847" s="2" t="s">
        <v>120</v>
      </c>
      <c r="L847" s="2" t="s">
        <v>32</v>
      </c>
      <c r="M847" s="2" t="s">
        <v>26</v>
      </c>
      <c r="N847" s="2" t="s">
        <v>27</v>
      </c>
      <c r="O847" s="1">
        <v>42513</v>
      </c>
      <c r="P847" s="3">
        <v>1.18</v>
      </c>
      <c r="Q847" s="3">
        <v>1.88</v>
      </c>
      <c r="R847" s="3">
        <f t="shared" si="79"/>
        <v>0.7</v>
      </c>
      <c r="S847" s="2">
        <v>22</v>
      </c>
      <c r="T847" s="3">
        <f t="shared" si="80"/>
        <v>41.36</v>
      </c>
      <c r="U847" s="4">
        <v>0.09</v>
      </c>
      <c r="V847" s="6">
        <f t="shared" si="81"/>
        <v>3.7223999999999999</v>
      </c>
      <c r="W847" s="6">
        <f t="shared" si="82"/>
        <v>37.637599999999999</v>
      </c>
      <c r="X847" s="3">
        <v>1.49</v>
      </c>
      <c r="Y847" s="5">
        <f t="shared" si="83"/>
        <v>39.127600000000001</v>
      </c>
    </row>
    <row r="848" spans="1:25" x14ac:dyDescent="0.2">
      <c r="A848" t="s">
        <v>1704</v>
      </c>
      <c r="B848" s="1">
        <v>42513</v>
      </c>
      <c r="C848" s="2" t="str">
        <f t="shared" si="78"/>
        <v>2016</v>
      </c>
      <c r="D848" s="2" t="s">
        <v>391</v>
      </c>
      <c r="E848" s="2" t="s">
        <v>74</v>
      </c>
      <c r="F848" s="2" t="s">
        <v>36</v>
      </c>
      <c r="G848" s="2" t="s">
        <v>37</v>
      </c>
      <c r="H848" s="2" t="s">
        <v>42</v>
      </c>
      <c r="I848" s="2" t="s">
        <v>75</v>
      </c>
      <c r="J848" s="2" t="s">
        <v>44</v>
      </c>
      <c r="K848" s="2" t="s">
        <v>157</v>
      </c>
      <c r="L848" s="2" t="s">
        <v>32</v>
      </c>
      <c r="M848" s="2" t="s">
        <v>33</v>
      </c>
      <c r="N848" s="2" t="s">
        <v>89</v>
      </c>
      <c r="O848" s="1">
        <v>42514</v>
      </c>
      <c r="P848" s="3">
        <v>2.39</v>
      </c>
      <c r="Q848" s="3">
        <v>4.26</v>
      </c>
      <c r="R848" s="3">
        <f t="shared" si="79"/>
        <v>1.8699999999999997</v>
      </c>
      <c r="S848" s="2">
        <v>5</v>
      </c>
      <c r="T848" s="3">
        <f t="shared" si="80"/>
        <v>21.299999999999997</v>
      </c>
      <c r="U848" s="4">
        <v>0.01</v>
      </c>
      <c r="V848" s="6">
        <f t="shared" si="81"/>
        <v>0.21299999999999997</v>
      </c>
      <c r="W848" s="6">
        <f t="shared" si="82"/>
        <v>21.086999999999996</v>
      </c>
      <c r="X848" s="3">
        <v>1.2</v>
      </c>
      <c r="Y848" s="5">
        <f t="shared" si="83"/>
        <v>22.286999999999995</v>
      </c>
    </row>
    <row r="849" spans="1:25" x14ac:dyDescent="0.2">
      <c r="A849" t="s">
        <v>1705</v>
      </c>
      <c r="B849" s="1">
        <v>42516</v>
      </c>
      <c r="C849" s="2" t="str">
        <f t="shared" si="78"/>
        <v>2016</v>
      </c>
      <c r="D849" s="2" t="s">
        <v>390</v>
      </c>
      <c r="E849" s="2" t="s">
        <v>286</v>
      </c>
      <c r="F849" s="2" t="s">
        <v>36</v>
      </c>
      <c r="G849" s="2" t="s">
        <v>37</v>
      </c>
      <c r="H849" s="2" t="s">
        <v>42</v>
      </c>
      <c r="I849" s="2" t="s">
        <v>102</v>
      </c>
      <c r="J849" s="2" t="s">
        <v>30</v>
      </c>
      <c r="K849" s="2" t="s">
        <v>342</v>
      </c>
      <c r="L849" s="2" t="s">
        <v>32</v>
      </c>
      <c r="M849" s="2" t="s">
        <v>26</v>
      </c>
      <c r="N849" s="2" t="s">
        <v>27</v>
      </c>
      <c r="O849" s="1">
        <v>42517</v>
      </c>
      <c r="P849" s="3">
        <v>52.04</v>
      </c>
      <c r="Q849" s="3">
        <v>83.93</v>
      </c>
      <c r="R849" s="3">
        <f t="shared" si="79"/>
        <v>31.890000000000008</v>
      </c>
      <c r="S849" s="2">
        <v>5</v>
      </c>
      <c r="T849" s="3">
        <f t="shared" si="80"/>
        <v>419.65000000000003</v>
      </c>
      <c r="U849" s="4">
        <v>0.04</v>
      </c>
      <c r="V849" s="6">
        <f t="shared" si="81"/>
        <v>16.786000000000001</v>
      </c>
      <c r="W849" s="6">
        <f t="shared" si="82"/>
        <v>402.86400000000003</v>
      </c>
      <c r="X849" s="3">
        <v>19.989999999999998</v>
      </c>
      <c r="Y849" s="5">
        <f t="shared" si="83"/>
        <v>422.85400000000004</v>
      </c>
    </row>
    <row r="850" spans="1:25" x14ac:dyDescent="0.2">
      <c r="A850" t="s">
        <v>1706</v>
      </c>
      <c r="B850" s="1">
        <v>42517</v>
      </c>
      <c r="C850" s="2" t="str">
        <f t="shared" si="78"/>
        <v>2016</v>
      </c>
      <c r="D850" s="2" t="s">
        <v>388</v>
      </c>
      <c r="E850" s="2" t="s">
        <v>389</v>
      </c>
      <c r="F850" s="2" t="s">
        <v>36</v>
      </c>
      <c r="G850" s="2" t="s">
        <v>37</v>
      </c>
      <c r="H850" s="2" t="s">
        <v>50</v>
      </c>
      <c r="I850" s="2" t="s">
        <v>102</v>
      </c>
      <c r="J850" s="2" t="s">
        <v>52</v>
      </c>
      <c r="K850" s="2" t="s">
        <v>300</v>
      </c>
      <c r="L850" s="2" t="s">
        <v>32</v>
      </c>
      <c r="M850" s="2" t="s">
        <v>26</v>
      </c>
      <c r="N850" s="2" t="s">
        <v>27</v>
      </c>
      <c r="O850" s="1">
        <v>42517</v>
      </c>
      <c r="P850" s="3">
        <v>5.33</v>
      </c>
      <c r="Q850" s="3">
        <v>8.6</v>
      </c>
      <c r="R850" s="3">
        <f t="shared" si="79"/>
        <v>3.2699999999999996</v>
      </c>
      <c r="S850" s="2">
        <v>1</v>
      </c>
      <c r="T850" s="3">
        <f t="shared" si="80"/>
        <v>8.6</v>
      </c>
      <c r="U850" s="4">
        <v>0.06</v>
      </c>
      <c r="V850" s="6">
        <f t="shared" si="81"/>
        <v>0.51600000000000001</v>
      </c>
      <c r="W850" s="6">
        <f t="shared" si="82"/>
        <v>8.0839999999999996</v>
      </c>
      <c r="X850" s="3">
        <v>6.19</v>
      </c>
      <c r="Y850" s="5">
        <f t="shared" si="83"/>
        <v>14.274000000000001</v>
      </c>
    </row>
    <row r="851" spans="1:25" x14ac:dyDescent="0.2">
      <c r="A851" t="s">
        <v>1707</v>
      </c>
      <c r="B851" s="1">
        <v>42519</v>
      </c>
      <c r="C851" s="2" t="str">
        <f t="shared" si="78"/>
        <v>2016</v>
      </c>
      <c r="D851" s="2" t="s">
        <v>387</v>
      </c>
      <c r="E851" s="2" t="s">
        <v>217</v>
      </c>
      <c r="F851" s="2" t="s">
        <v>36</v>
      </c>
      <c r="G851" s="2" t="s">
        <v>37</v>
      </c>
      <c r="H851" s="2" t="s">
        <v>29</v>
      </c>
      <c r="I851" s="2" t="s">
        <v>56</v>
      </c>
      <c r="J851" s="2" t="s">
        <v>30</v>
      </c>
      <c r="K851" s="2" t="s">
        <v>167</v>
      </c>
      <c r="L851" s="2" t="s">
        <v>32</v>
      </c>
      <c r="M851" s="2" t="s">
        <v>26</v>
      </c>
      <c r="N851" s="2" t="s">
        <v>27</v>
      </c>
      <c r="O851" s="1">
        <v>42520</v>
      </c>
      <c r="P851" s="3">
        <v>14.95</v>
      </c>
      <c r="Q851" s="3">
        <v>34.76</v>
      </c>
      <c r="R851" s="3">
        <f t="shared" si="79"/>
        <v>19.809999999999999</v>
      </c>
      <c r="S851" s="2">
        <v>32</v>
      </c>
      <c r="T851" s="3">
        <f t="shared" si="80"/>
        <v>1112.32</v>
      </c>
      <c r="U851" s="4">
        <v>0.02</v>
      </c>
      <c r="V851" s="6">
        <f t="shared" si="81"/>
        <v>22.246399999999998</v>
      </c>
      <c r="W851" s="6">
        <f t="shared" si="82"/>
        <v>1090.0735999999999</v>
      </c>
      <c r="X851" s="3">
        <v>8.2200000000000006</v>
      </c>
      <c r="Y851" s="5">
        <f t="shared" si="83"/>
        <v>1098.2936</v>
      </c>
    </row>
    <row r="852" spans="1:25" x14ac:dyDescent="0.2">
      <c r="A852" t="s">
        <v>1708</v>
      </c>
      <c r="B852" s="1">
        <v>42520</v>
      </c>
      <c r="C852" s="2" t="str">
        <f t="shared" si="78"/>
        <v>2016</v>
      </c>
      <c r="D852" s="2" t="s">
        <v>329</v>
      </c>
      <c r="E852" s="2" t="s">
        <v>1893</v>
      </c>
      <c r="F852" s="2" t="s">
        <v>1881</v>
      </c>
      <c r="G852" s="2" t="s">
        <v>1882</v>
      </c>
      <c r="H852" s="2" t="s">
        <v>21</v>
      </c>
      <c r="I852" s="2" t="s">
        <v>153</v>
      </c>
      <c r="J852" s="2" t="s">
        <v>30</v>
      </c>
      <c r="K852" s="2" t="s">
        <v>386</v>
      </c>
      <c r="L852" s="2" t="s">
        <v>25</v>
      </c>
      <c r="M852" s="2" t="s">
        <v>26</v>
      </c>
      <c r="N852" s="2" t="s">
        <v>27</v>
      </c>
      <c r="O852" s="1">
        <v>42520</v>
      </c>
      <c r="P852" s="3">
        <v>6.2</v>
      </c>
      <c r="Q852" s="3">
        <v>30.98</v>
      </c>
      <c r="R852" s="3">
        <f t="shared" si="79"/>
        <v>24.78</v>
      </c>
      <c r="S852" s="2">
        <v>24</v>
      </c>
      <c r="T852" s="3">
        <f t="shared" si="80"/>
        <v>743.52</v>
      </c>
      <c r="U852" s="4">
        <v>0.08</v>
      </c>
      <c r="V852" s="6">
        <f t="shared" si="81"/>
        <v>59.4816</v>
      </c>
      <c r="W852" s="6">
        <f t="shared" si="82"/>
        <v>684.03840000000002</v>
      </c>
      <c r="X852" s="3">
        <v>4</v>
      </c>
      <c r="Y852" s="5">
        <f t="shared" si="83"/>
        <v>688.03840000000002</v>
      </c>
    </row>
    <row r="853" spans="1:25" x14ac:dyDescent="0.2">
      <c r="A853" t="s">
        <v>1709</v>
      </c>
      <c r="B853" s="1">
        <v>42521</v>
      </c>
      <c r="C853" s="2" t="str">
        <f t="shared" si="78"/>
        <v>2016</v>
      </c>
      <c r="D853" s="2" t="s">
        <v>384</v>
      </c>
      <c r="E853" s="2" t="s">
        <v>172</v>
      </c>
      <c r="F853" s="2" t="s">
        <v>36</v>
      </c>
      <c r="G853" s="2" t="s">
        <v>37</v>
      </c>
      <c r="H853" s="2" t="s">
        <v>29</v>
      </c>
      <c r="I853" s="2" t="s">
        <v>75</v>
      </c>
      <c r="J853" s="2" t="s">
        <v>23</v>
      </c>
      <c r="K853" s="2" t="s">
        <v>139</v>
      </c>
      <c r="L853" s="2" t="s">
        <v>32</v>
      </c>
      <c r="M853" s="2" t="s">
        <v>58</v>
      </c>
      <c r="N853" s="2" t="s">
        <v>27</v>
      </c>
      <c r="O853" s="1">
        <v>42523</v>
      </c>
      <c r="P853" s="3">
        <v>0.94</v>
      </c>
      <c r="Q853" s="3">
        <v>2.08</v>
      </c>
      <c r="R853" s="3">
        <f t="shared" si="79"/>
        <v>1.1400000000000001</v>
      </c>
      <c r="S853" s="2">
        <v>49</v>
      </c>
      <c r="T853" s="3">
        <f t="shared" si="80"/>
        <v>101.92</v>
      </c>
      <c r="U853" s="4">
        <v>0.08</v>
      </c>
      <c r="V853" s="6">
        <f t="shared" si="81"/>
        <v>8.1536000000000008</v>
      </c>
      <c r="W853" s="6">
        <f t="shared" si="82"/>
        <v>93.766400000000004</v>
      </c>
      <c r="X853" s="3">
        <v>2.56</v>
      </c>
      <c r="Y853" s="5">
        <f t="shared" si="83"/>
        <v>96.326400000000007</v>
      </c>
    </row>
    <row r="854" spans="1:25" x14ac:dyDescent="0.2">
      <c r="A854" t="s">
        <v>1710</v>
      </c>
      <c r="B854" s="1">
        <v>42521</v>
      </c>
      <c r="C854" s="2" t="str">
        <f t="shared" si="78"/>
        <v>2016</v>
      </c>
      <c r="D854" s="2" t="s">
        <v>385</v>
      </c>
      <c r="E854" s="2" t="s">
        <v>1918</v>
      </c>
      <c r="F854" s="2" t="s">
        <v>1881</v>
      </c>
      <c r="G854" s="2" t="s">
        <v>1882</v>
      </c>
      <c r="H854" s="2" t="s">
        <v>42</v>
      </c>
      <c r="I854" s="2" t="s">
        <v>153</v>
      </c>
      <c r="J854" s="2" t="s">
        <v>44</v>
      </c>
      <c r="K854" s="2" t="s">
        <v>290</v>
      </c>
      <c r="L854" s="2" t="s">
        <v>25</v>
      </c>
      <c r="M854" s="2" t="s">
        <v>26</v>
      </c>
      <c r="N854" s="2" t="s">
        <v>27</v>
      </c>
      <c r="O854" s="1">
        <v>42524</v>
      </c>
      <c r="P854" s="3">
        <v>14.7</v>
      </c>
      <c r="Q854" s="3">
        <v>29.99</v>
      </c>
      <c r="R854" s="3">
        <f t="shared" si="79"/>
        <v>15.29</v>
      </c>
      <c r="S854" s="2">
        <v>1</v>
      </c>
      <c r="T854" s="3">
        <f t="shared" si="80"/>
        <v>29.99</v>
      </c>
      <c r="U854" s="4">
        <v>0.04</v>
      </c>
      <c r="V854" s="6">
        <f t="shared" si="81"/>
        <v>1.1996</v>
      </c>
      <c r="W854" s="6">
        <f t="shared" si="82"/>
        <v>28.790399999999998</v>
      </c>
      <c r="X854" s="3">
        <v>5.5</v>
      </c>
      <c r="Y854" s="5">
        <f t="shared" si="83"/>
        <v>34.290399999999998</v>
      </c>
    </row>
    <row r="855" spans="1:25" x14ac:dyDescent="0.2">
      <c r="A855" t="s">
        <v>1711</v>
      </c>
      <c r="B855" s="1">
        <v>42523</v>
      </c>
      <c r="C855" s="2" t="str">
        <f t="shared" si="78"/>
        <v>2016</v>
      </c>
      <c r="D855" s="2" t="s">
        <v>382</v>
      </c>
      <c r="E855" s="2" t="s">
        <v>74</v>
      </c>
      <c r="F855" s="2" t="s">
        <v>36</v>
      </c>
      <c r="G855" s="2" t="s">
        <v>37</v>
      </c>
      <c r="H855" s="2" t="s">
        <v>29</v>
      </c>
      <c r="I855" s="2" t="s">
        <v>75</v>
      </c>
      <c r="J855" s="2" t="s">
        <v>66</v>
      </c>
      <c r="K855" s="2" t="s">
        <v>383</v>
      </c>
      <c r="L855" s="2" t="s">
        <v>32</v>
      </c>
      <c r="M855" s="2" t="s">
        <v>33</v>
      </c>
      <c r="N855" s="2" t="s">
        <v>27</v>
      </c>
      <c r="O855" s="1">
        <v>42525</v>
      </c>
      <c r="P855" s="3">
        <v>3.95</v>
      </c>
      <c r="Q855" s="3">
        <v>6.08</v>
      </c>
      <c r="R855" s="3">
        <f t="shared" si="79"/>
        <v>2.13</v>
      </c>
      <c r="S855" s="2">
        <v>50</v>
      </c>
      <c r="T855" s="3">
        <f t="shared" si="80"/>
        <v>304</v>
      </c>
      <c r="U855" s="4">
        <v>0.09</v>
      </c>
      <c r="V855" s="6">
        <f t="shared" si="81"/>
        <v>27.36</v>
      </c>
      <c r="W855" s="6">
        <f t="shared" si="82"/>
        <v>276.64</v>
      </c>
      <c r="X855" s="3">
        <v>1.82</v>
      </c>
      <c r="Y855" s="5">
        <f t="shared" si="83"/>
        <v>278.45999999999998</v>
      </c>
    </row>
    <row r="856" spans="1:25" x14ac:dyDescent="0.2">
      <c r="A856" t="s">
        <v>1712</v>
      </c>
      <c r="B856" s="1">
        <v>42524</v>
      </c>
      <c r="C856" s="2" t="str">
        <f t="shared" si="78"/>
        <v>2016</v>
      </c>
      <c r="D856" s="2" t="s">
        <v>378</v>
      </c>
      <c r="E856" s="2" t="s">
        <v>1934</v>
      </c>
      <c r="F856" s="2" t="s">
        <v>36</v>
      </c>
      <c r="G856" s="2" t="s">
        <v>37</v>
      </c>
      <c r="H856" s="2" t="s">
        <v>42</v>
      </c>
      <c r="I856" s="2" t="s">
        <v>56</v>
      </c>
      <c r="J856" s="2" t="s">
        <v>66</v>
      </c>
      <c r="K856" s="2" t="s">
        <v>180</v>
      </c>
      <c r="L856" s="2" t="s">
        <v>32</v>
      </c>
      <c r="M856" s="2" t="s">
        <v>26</v>
      </c>
      <c r="N856" s="2" t="s">
        <v>27</v>
      </c>
      <c r="O856" s="1">
        <v>42525</v>
      </c>
      <c r="P856" s="3">
        <v>1.94</v>
      </c>
      <c r="Q856" s="3">
        <v>3.08</v>
      </c>
      <c r="R856" s="3">
        <f t="shared" si="79"/>
        <v>1.1400000000000001</v>
      </c>
      <c r="S856" s="2">
        <v>11</v>
      </c>
      <c r="T856" s="3">
        <f t="shared" si="80"/>
        <v>33.880000000000003</v>
      </c>
      <c r="U856" s="4">
        <v>0.03</v>
      </c>
      <c r="V856" s="6">
        <f t="shared" si="81"/>
        <v>1.0164</v>
      </c>
      <c r="W856" s="6">
        <f t="shared" si="82"/>
        <v>32.863600000000005</v>
      </c>
      <c r="X856" s="3">
        <v>0.99</v>
      </c>
      <c r="Y856" s="5">
        <f t="shared" si="83"/>
        <v>33.853600000000007</v>
      </c>
    </row>
    <row r="857" spans="1:25" x14ac:dyDescent="0.2">
      <c r="A857" t="s">
        <v>1713</v>
      </c>
      <c r="B857" s="1">
        <v>42524</v>
      </c>
      <c r="C857" s="2" t="str">
        <f t="shared" si="78"/>
        <v>2016</v>
      </c>
      <c r="D857" s="2" t="s">
        <v>380</v>
      </c>
      <c r="E857" s="2" t="s">
        <v>381</v>
      </c>
      <c r="F857" s="2" t="s">
        <v>36</v>
      </c>
      <c r="G857" s="2" t="s">
        <v>37</v>
      </c>
      <c r="H857" s="2" t="s">
        <v>42</v>
      </c>
      <c r="I857" s="2" t="s">
        <v>124</v>
      </c>
      <c r="J857" s="2" t="s">
        <v>52</v>
      </c>
      <c r="K857" s="2" t="s">
        <v>97</v>
      </c>
      <c r="L857" s="2" t="s">
        <v>32</v>
      </c>
      <c r="M857" s="2" t="s">
        <v>33</v>
      </c>
      <c r="N857" s="2" t="s">
        <v>27</v>
      </c>
      <c r="O857" s="1">
        <v>42526</v>
      </c>
      <c r="P857" s="3">
        <v>0.71</v>
      </c>
      <c r="Q857" s="3">
        <v>1.1399999999999999</v>
      </c>
      <c r="R857" s="3">
        <f t="shared" si="79"/>
        <v>0.42999999999999994</v>
      </c>
      <c r="S857" s="2">
        <v>3</v>
      </c>
      <c r="T857" s="3">
        <f t="shared" si="80"/>
        <v>3.42</v>
      </c>
      <c r="U857" s="4">
        <v>0.1</v>
      </c>
      <c r="V857" s="6">
        <f t="shared" si="81"/>
        <v>0.34200000000000003</v>
      </c>
      <c r="W857" s="6">
        <f t="shared" si="82"/>
        <v>3.0779999999999998</v>
      </c>
      <c r="X857" s="3">
        <v>0.7</v>
      </c>
      <c r="Y857" s="5">
        <f t="shared" si="83"/>
        <v>3.7779999999999996</v>
      </c>
    </row>
    <row r="858" spans="1:25" x14ac:dyDescent="0.2">
      <c r="A858" t="s">
        <v>1714</v>
      </c>
      <c r="B858" s="1">
        <v>42532</v>
      </c>
      <c r="C858" s="2" t="str">
        <f t="shared" si="78"/>
        <v>2016</v>
      </c>
      <c r="D858" s="2" t="s">
        <v>267</v>
      </c>
      <c r="E858" s="2" t="s">
        <v>1892</v>
      </c>
      <c r="F858" s="2" t="s">
        <v>1881</v>
      </c>
      <c r="G858" s="2" t="s">
        <v>1882</v>
      </c>
      <c r="H858" s="2" t="s">
        <v>50</v>
      </c>
      <c r="I858" s="2" t="s">
        <v>51</v>
      </c>
      <c r="J858" s="2" t="s">
        <v>66</v>
      </c>
      <c r="K858" s="2" t="s">
        <v>377</v>
      </c>
      <c r="L858" s="2" t="s">
        <v>32</v>
      </c>
      <c r="M858" s="2" t="s">
        <v>33</v>
      </c>
      <c r="N858" s="2" t="s">
        <v>27</v>
      </c>
      <c r="O858" s="1">
        <v>42533</v>
      </c>
      <c r="P858" s="3">
        <v>1.31</v>
      </c>
      <c r="Q858" s="3">
        <v>2.84</v>
      </c>
      <c r="R858" s="3">
        <f t="shared" si="79"/>
        <v>1.5299999999999998</v>
      </c>
      <c r="S858" s="2">
        <v>9</v>
      </c>
      <c r="T858" s="3">
        <f t="shared" si="80"/>
        <v>25.56</v>
      </c>
      <c r="U858" s="4">
        <v>0.08</v>
      </c>
      <c r="V858" s="6">
        <f t="shared" si="81"/>
        <v>2.0448</v>
      </c>
      <c r="W858" s="6">
        <f t="shared" si="82"/>
        <v>23.5152</v>
      </c>
      <c r="X858" s="3">
        <v>0.93</v>
      </c>
      <c r="Y858" s="5">
        <f t="shared" si="83"/>
        <v>24.4452</v>
      </c>
    </row>
    <row r="859" spans="1:25" x14ac:dyDescent="0.2">
      <c r="A859" t="s">
        <v>1715</v>
      </c>
      <c r="B859" s="1">
        <v>42534</v>
      </c>
      <c r="C859" s="2" t="str">
        <f t="shared" si="78"/>
        <v>2016</v>
      </c>
      <c r="D859" s="2" t="s">
        <v>376</v>
      </c>
      <c r="E859" s="2" t="s">
        <v>182</v>
      </c>
      <c r="F859" s="2" t="s">
        <v>36</v>
      </c>
      <c r="G859" s="2" t="s">
        <v>37</v>
      </c>
      <c r="H859" s="2" t="s">
        <v>21</v>
      </c>
      <c r="I859" s="2" t="s">
        <v>96</v>
      </c>
      <c r="J859" s="2" t="s">
        <v>66</v>
      </c>
      <c r="K859" s="2" t="s">
        <v>117</v>
      </c>
      <c r="L859" s="2" t="s">
        <v>25</v>
      </c>
      <c r="M859" s="2" t="s">
        <v>26</v>
      </c>
      <c r="N859" s="2" t="s">
        <v>27</v>
      </c>
      <c r="O859" s="1">
        <v>42536</v>
      </c>
      <c r="P859" s="3">
        <v>32.020000000000003</v>
      </c>
      <c r="Q859" s="3">
        <v>152.47999999999999</v>
      </c>
      <c r="R859" s="3">
        <f t="shared" si="79"/>
        <v>120.45999999999998</v>
      </c>
      <c r="S859" s="2">
        <v>12</v>
      </c>
      <c r="T859" s="3">
        <f t="shared" si="80"/>
        <v>1829.7599999999998</v>
      </c>
      <c r="U859" s="4">
        <v>0.1</v>
      </c>
      <c r="V859" s="6">
        <f t="shared" si="81"/>
        <v>182.976</v>
      </c>
      <c r="W859" s="6">
        <f t="shared" si="82"/>
        <v>1646.7839999999997</v>
      </c>
      <c r="X859" s="3">
        <v>4</v>
      </c>
      <c r="Y859" s="5">
        <f t="shared" si="83"/>
        <v>1650.7839999999997</v>
      </c>
    </row>
    <row r="860" spans="1:25" x14ac:dyDescent="0.2">
      <c r="A860" t="s">
        <v>929</v>
      </c>
      <c r="B860" s="1">
        <v>42535</v>
      </c>
      <c r="C860" s="2" t="str">
        <f t="shared" si="78"/>
        <v>2016</v>
      </c>
      <c r="D860" s="2" t="s">
        <v>331</v>
      </c>
      <c r="E860" s="2" t="s">
        <v>46</v>
      </c>
      <c r="F860" s="2" t="s">
        <v>19</v>
      </c>
      <c r="G860" s="2" t="s">
        <v>20</v>
      </c>
      <c r="H860" s="2" t="s">
        <v>21</v>
      </c>
      <c r="I860" s="2" t="s">
        <v>22</v>
      </c>
      <c r="J860" s="2" t="s">
        <v>23</v>
      </c>
      <c r="K860" s="2" t="s">
        <v>84</v>
      </c>
      <c r="L860" s="2" t="s">
        <v>25</v>
      </c>
      <c r="M860" s="2" t="s">
        <v>85</v>
      </c>
      <c r="N860" s="2" t="s">
        <v>27</v>
      </c>
      <c r="O860" s="1">
        <v>42535</v>
      </c>
      <c r="P860" s="3">
        <v>8.82</v>
      </c>
      <c r="Q860" s="3">
        <v>20.99</v>
      </c>
      <c r="R860" s="3">
        <f t="shared" si="79"/>
        <v>12.169999999999998</v>
      </c>
      <c r="S860" s="2">
        <v>2</v>
      </c>
      <c r="T860" s="3">
        <f t="shared" si="80"/>
        <v>41.98</v>
      </c>
      <c r="U860" s="4">
        <v>0.01</v>
      </c>
      <c r="V860" s="6">
        <f t="shared" si="81"/>
        <v>0.41979999999999995</v>
      </c>
      <c r="W860" s="6">
        <f t="shared" si="82"/>
        <v>41.560199999999995</v>
      </c>
      <c r="X860" s="3">
        <v>4.8099999999999996</v>
      </c>
      <c r="Y860" s="5">
        <f t="shared" si="83"/>
        <v>46.370199999999997</v>
      </c>
    </row>
    <row r="861" spans="1:25" x14ac:dyDescent="0.2">
      <c r="A861" t="s">
        <v>930</v>
      </c>
      <c r="B861" s="1">
        <v>42535</v>
      </c>
      <c r="C861" s="2" t="str">
        <f t="shared" si="78"/>
        <v>2016</v>
      </c>
      <c r="D861" s="2" t="s">
        <v>265</v>
      </c>
      <c r="E861" s="2" t="s">
        <v>266</v>
      </c>
      <c r="F861" s="2" t="s">
        <v>36</v>
      </c>
      <c r="G861" s="2" t="s">
        <v>37</v>
      </c>
      <c r="H861" s="2" t="s">
        <v>21</v>
      </c>
      <c r="I861" s="2" t="s">
        <v>153</v>
      </c>
      <c r="J861" s="2" t="s">
        <v>44</v>
      </c>
      <c r="K861" s="2" t="s">
        <v>117</v>
      </c>
      <c r="L861" s="2" t="s">
        <v>25</v>
      </c>
      <c r="M861" s="2" t="s">
        <v>26</v>
      </c>
      <c r="N861" s="2" t="s">
        <v>27</v>
      </c>
      <c r="O861" s="1">
        <v>42537</v>
      </c>
      <c r="P861" s="3">
        <v>32.020000000000003</v>
      </c>
      <c r="Q861" s="3">
        <v>152.47999999999999</v>
      </c>
      <c r="R861" s="3">
        <f t="shared" si="79"/>
        <v>120.45999999999998</v>
      </c>
      <c r="S861" s="2">
        <v>37</v>
      </c>
      <c r="T861" s="3">
        <f t="shared" si="80"/>
        <v>5641.7599999999993</v>
      </c>
      <c r="U861" s="4">
        <v>0.1</v>
      </c>
      <c r="V861" s="6">
        <f t="shared" si="81"/>
        <v>564.17599999999993</v>
      </c>
      <c r="W861" s="6">
        <f t="shared" si="82"/>
        <v>5077.5839999999989</v>
      </c>
      <c r="X861" s="3">
        <v>4</v>
      </c>
      <c r="Y861" s="5">
        <f t="shared" si="83"/>
        <v>5081.5839999999989</v>
      </c>
    </row>
    <row r="862" spans="1:25" x14ac:dyDescent="0.2">
      <c r="A862" t="s">
        <v>931</v>
      </c>
      <c r="B862" s="1">
        <v>42535</v>
      </c>
      <c r="C862" s="2" t="str">
        <f t="shared" si="78"/>
        <v>2016</v>
      </c>
      <c r="D862" s="2" t="s">
        <v>265</v>
      </c>
      <c r="E862" s="2" t="s">
        <v>266</v>
      </c>
      <c r="F862" s="2" t="s">
        <v>36</v>
      </c>
      <c r="G862" s="2" t="s">
        <v>37</v>
      </c>
      <c r="H862" s="2" t="s">
        <v>21</v>
      </c>
      <c r="I862" s="2" t="s">
        <v>153</v>
      </c>
      <c r="J862" s="2" t="s">
        <v>44</v>
      </c>
      <c r="K862" s="2" t="s">
        <v>215</v>
      </c>
      <c r="L862" s="2" t="s">
        <v>25</v>
      </c>
      <c r="M862" s="2" t="s">
        <v>58</v>
      </c>
      <c r="N862" s="2" t="s">
        <v>27</v>
      </c>
      <c r="O862" s="1">
        <v>42537</v>
      </c>
      <c r="P862" s="3">
        <v>20.18</v>
      </c>
      <c r="Q862" s="3">
        <v>35.409999999999997</v>
      </c>
      <c r="R862" s="3">
        <f t="shared" si="79"/>
        <v>15.229999999999997</v>
      </c>
      <c r="S862" s="2">
        <v>30</v>
      </c>
      <c r="T862" s="3">
        <f t="shared" si="80"/>
        <v>1062.3</v>
      </c>
      <c r="U862" s="4">
        <v>0.08</v>
      </c>
      <c r="V862" s="6">
        <f t="shared" si="81"/>
        <v>84.983999999999995</v>
      </c>
      <c r="W862" s="6">
        <f t="shared" si="82"/>
        <v>977.31599999999992</v>
      </c>
      <c r="X862" s="3">
        <v>1.99</v>
      </c>
      <c r="Y862" s="5">
        <f t="shared" si="83"/>
        <v>979.30599999999993</v>
      </c>
    </row>
    <row r="863" spans="1:25" x14ac:dyDescent="0.2">
      <c r="A863" t="s">
        <v>1716</v>
      </c>
      <c r="B863" s="1">
        <v>42535</v>
      </c>
      <c r="C863" s="2" t="str">
        <f t="shared" si="78"/>
        <v>2016</v>
      </c>
      <c r="D863" s="2" t="s">
        <v>374</v>
      </c>
      <c r="E863" s="2" t="s">
        <v>41</v>
      </c>
      <c r="F863" s="2" t="s">
        <v>36</v>
      </c>
      <c r="G863" s="2" t="s">
        <v>37</v>
      </c>
      <c r="H863" s="2" t="s">
        <v>50</v>
      </c>
      <c r="I863" s="2" t="s">
        <v>43</v>
      </c>
      <c r="J863" s="2" t="s">
        <v>66</v>
      </c>
      <c r="K863" s="2" t="s">
        <v>375</v>
      </c>
      <c r="L863" s="2" t="s">
        <v>32</v>
      </c>
      <c r="M863" s="2" t="s">
        <v>26</v>
      </c>
      <c r="N863" s="2" t="s">
        <v>89</v>
      </c>
      <c r="O863" s="1">
        <v>42536</v>
      </c>
      <c r="P863" s="3">
        <v>99.39</v>
      </c>
      <c r="Q863" s="3">
        <v>162.93</v>
      </c>
      <c r="R863" s="3">
        <f t="shared" si="79"/>
        <v>63.540000000000006</v>
      </c>
      <c r="S863" s="2">
        <v>36</v>
      </c>
      <c r="T863" s="3">
        <f t="shared" si="80"/>
        <v>5865.4800000000005</v>
      </c>
      <c r="U863" s="4">
        <v>0.05</v>
      </c>
      <c r="V863" s="6">
        <f t="shared" si="81"/>
        <v>293.27400000000006</v>
      </c>
      <c r="W863" s="6">
        <f t="shared" si="82"/>
        <v>5572.2060000000001</v>
      </c>
      <c r="X863" s="3">
        <v>19.989999999999998</v>
      </c>
      <c r="Y863" s="5">
        <f t="shared" si="83"/>
        <v>5592.1959999999999</v>
      </c>
    </row>
    <row r="864" spans="1:25" x14ac:dyDescent="0.2">
      <c r="A864" t="s">
        <v>932</v>
      </c>
      <c r="B864" s="1">
        <v>42535</v>
      </c>
      <c r="C864" s="2" t="str">
        <f t="shared" si="78"/>
        <v>2016</v>
      </c>
      <c r="D864" s="2" t="s">
        <v>331</v>
      </c>
      <c r="E864" s="2" t="s">
        <v>46</v>
      </c>
      <c r="F864" s="2" t="s">
        <v>19</v>
      </c>
      <c r="G864" s="2" t="s">
        <v>20</v>
      </c>
      <c r="H864" s="2" t="s">
        <v>21</v>
      </c>
      <c r="I864" s="2" t="s">
        <v>22</v>
      </c>
      <c r="J864" s="2" t="s">
        <v>23</v>
      </c>
      <c r="K864" s="2" t="s">
        <v>97</v>
      </c>
      <c r="L864" s="2" t="s">
        <v>32</v>
      </c>
      <c r="M864" s="2" t="s">
        <v>33</v>
      </c>
      <c r="N864" s="2" t="s">
        <v>27</v>
      </c>
      <c r="O864" s="1">
        <v>42540</v>
      </c>
      <c r="P864" s="3">
        <v>0.71</v>
      </c>
      <c r="Q864" s="3">
        <v>1.1399999999999999</v>
      </c>
      <c r="R864" s="3">
        <f t="shared" si="79"/>
        <v>0.42999999999999994</v>
      </c>
      <c r="S864" s="2">
        <v>31</v>
      </c>
      <c r="T864" s="3">
        <f t="shared" si="80"/>
        <v>35.339999999999996</v>
      </c>
      <c r="U864" s="4">
        <v>7.0000000000000007E-2</v>
      </c>
      <c r="V864" s="6">
        <f t="shared" si="81"/>
        <v>2.4737999999999998</v>
      </c>
      <c r="W864" s="6">
        <f t="shared" si="82"/>
        <v>32.866199999999999</v>
      </c>
      <c r="X864" s="3">
        <v>0.7</v>
      </c>
      <c r="Y864" s="5">
        <f t="shared" si="83"/>
        <v>33.566200000000002</v>
      </c>
    </row>
    <row r="865" spans="1:25" x14ac:dyDescent="0.2">
      <c r="A865" t="s">
        <v>1717</v>
      </c>
      <c r="B865" s="1">
        <v>42536</v>
      </c>
      <c r="C865" s="2" t="str">
        <f t="shared" si="78"/>
        <v>2016</v>
      </c>
      <c r="D865" s="2" t="s">
        <v>371</v>
      </c>
      <c r="E865" s="2" t="s">
        <v>1921</v>
      </c>
      <c r="F865" s="2" t="s">
        <v>36</v>
      </c>
      <c r="G865" s="2" t="s">
        <v>37</v>
      </c>
      <c r="H865" s="2" t="s">
        <v>21</v>
      </c>
      <c r="I865" s="2" t="s">
        <v>153</v>
      </c>
      <c r="J865" s="2" t="s">
        <v>23</v>
      </c>
      <c r="K865" s="2" t="s">
        <v>287</v>
      </c>
      <c r="L865" s="2" t="s">
        <v>32</v>
      </c>
      <c r="M865" s="2" t="s">
        <v>26</v>
      </c>
      <c r="N865" s="2" t="s">
        <v>27</v>
      </c>
      <c r="O865" s="1">
        <v>42538</v>
      </c>
      <c r="P865" s="3">
        <v>13.88</v>
      </c>
      <c r="Q865" s="3">
        <v>22.38</v>
      </c>
      <c r="R865" s="3">
        <f t="shared" si="79"/>
        <v>8.4999999999999982</v>
      </c>
      <c r="S865" s="2">
        <v>11</v>
      </c>
      <c r="T865" s="3">
        <f t="shared" si="80"/>
        <v>246.17999999999998</v>
      </c>
      <c r="U865" s="4">
        <v>0.01</v>
      </c>
      <c r="V865" s="6">
        <f t="shared" si="81"/>
        <v>2.4617999999999998</v>
      </c>
      <c r="W865" s="6">
        <f t="shared" si="82"/>
        <v>243.71819999999997</v>
      </c>
      <c r="X865" s="3">
        <v>15.1</v>
      </c>
      <c r="Y865" s="5">
        <f t="shared" si="83"/>
        <v>258.81819999999999</v>
      </c>
    </row>
    <row r="866" spans="1:25" x14ac:dyDescent="0.2">
      <c r="A866" t="s">
        <v>1718</v>
      </c>
      <c r="B866" s="1">
        <v>42536</v>
      </c>
      <c r="C866" s="2" t="str">
        <f t="shared" si="78"/>
        <v>2016</v>
      </c>
      <c r="D866" s="2" t="s">
        <v>372</v>
      </c>
      <c r="E866" s="2" t="s">
        <v>373</v>
      </c>
      <c r="F866" s="2" t="s">
        <v>36</v>
      </c>
      <c r="G866" s="2" t="s">
        <v>37</v>
      </c>
      <c r="H866" s="2" t="s">
        <v>50</v>
      </c>
      <c r="I866" s="2" t="s">
        <v>51</v>
      </c>
      <c r="J866" s="2" t="s">
        <v>52</v>
      </c>
      <c r="K866" s="2" t="s">
        <v>223</v>
      </c>
      <c r="L866" s="2" t="s">
        <v>32</v>
      </c>
      <c r="M866" s="2" t="s">
        <v>33</v>
      </c>
      <c r="N866" s="2" t="s">
        <v>89</v>
      </c>
      <c r="O866" s="1">
        <v>42538</v>
      </c>
      <c r="P866" s="3">
        <v>0.9</v>
      </c>
      <c r="Q866" s="3">
        <v>2.1</v>
      </c>
      <c r="R866" s="3">
        <f t="shared" si="79"/>
        <v>1.2000000000000002</v>
      </c>
      <c r="S866" s="2">
        <v>31</v>
      </c>
      <c r="T866" s="3">
        <f t="shared" si="80"/>
        <v>65.100000000000009</v>
      </c>
      <c r="U866" s="4">
        <v>0.08</v>
      </c>
      <c r="V866" s="6">
        <f t="shared" si="81"/>
        <v>5.2080000000000011</v>
      </c>
      <c r="W866" s="6">
        <f t="shared" si="82"/>
        <v>59.89200000000001</v>
      </c>
      <c r="X866" s="3">
        <v>0.7</v>
      </c>
      <c r="Y866" s="5">
        <f t="shared" si="83"/>
        <v>60.592000000000013</v>
      </c>
    </row>
    <row r="867" spans="1:25" x14ac:dyDescent="0.2">
      <c r="A867" t="s">
        <v>1719</v>
      </c>
      <c r="B867" s="1">
        <v>42539</v>
      </c>
      <c r="C867" s="2" t="str">
        <f t="shared" si="78"/>
        <v>2016</v>
      </c>
      <c r="D867" s="2" t="s">
        <v>369</v>
      </c>
      <c r="E867" s="2" t="s">
        <v>258</v>
      </c>
      <c r="F867" s="2" t="s">
        <v>36</v>
      </c>
      <c r="G867" s="2" t="s">
        <v>37</v>
      </c>
      <c r="H867" s="2" t="s">
        <v>21</v>
      </c>
      <c r="I867" s="2" t="s">
        <v>102</v>
      </c>
      <c r="J867" s="2" t="s">
        <v>23</v>
      </c>
      <c r="K867" s="2" t="s">
        <v>370</v>
      </c>
      <c r="L867" s="2" t="s">
        <v>25</v>
      </c>
      <c r="M867" s="2" t="s">
        <v>26</v>
      </c>
      <c r="N867" s="2" t="s">
        <v>27</v>
      </c>
      <c r="O867" s="1">
        <v>42541</v>
      </c>
      <c r="P867" s="3">
        <v>81.59</v>
      </c>
      <c r="Q867" s="3">
        <v>159.99</v>
      </c>
      <c r="R867" s="3">
        <f t="shared" si="79"/>
        <v>78.400000000000006</v>
      </c>
      <c r="S867" s="2">
        <v>31</v>
      </c>
      <c r="T867" s="3">
        <f t="shared" si="80"/>
        <v>4959.6900000000005</v>
      </c>
      <c r="U867" s="4">
        <v>0.01</v>
      </c>
      <c r="V867" s="6">
        <f t="shared" si="81"/>
        <v>49.596900000000005</v>
      </c>
      <c r="W867" s="6">
        <f t="shared" si="82"/>
        <v>4910.0931</v>
      </c>
      <c r="X867" s="3">
        <v>5.5</v>
      </c>
      <c r="Y867" s="5">
        <f t="shared" si="83"/>
        <v>4915.5931</v>
      </c>
    </row>
    <row r="868" spans="1:25" x14ac:dyDescent="0.2">
      <c r="A868" t="s">
        <v>1720</v>
      </c>
      <c r="B868" s="1">
        <v>42540</v>
      </c>
      <c r="C868" s="2" t="str">
        <f t="shared" si="78"/>
        <v>2016</v>
      </c>
      <c r="D868" s="2" t="s">
        <v>367</v>
      </c>
      <c r="E868" s="2" t="s">
        <v>368</v>
      </c>
      <c r="F868" s="2" t="s">
        <v>36</v>
      </c>
      <c r="G868" s="2" t="s">
        <v>37</v>
      </c>
      <c r="H868" s="2" t="s">
        <v>29</v>
      </c>
      <c r="I868" s="2" t="s">
        <v>96</v>
      </c>
      <c r="J868" s="2" t="s">
        <v>30</v>
      </c>
      <c r="K868" s="2" t="s">
        <v>232</v>
      </c>
      <c r="L868" s="2" t="s">
        <v>32</v>
      </c>
      <c r="M868" s="2" t="s">
        <v>58</v>
      </c>
      <c r="N868" s="2" t="s">
        <v>27</v>
      </c>
      <c r="O868" s="1">
        <v>42541</v>
      </c>
      <c r="P868" s="3">
        <v>2.5</v>
      </c>
      <c r="Q868" s="3">
        <v>5.68</v>
      </c>
      <c r="R868" s="3">
        <f t="shared" si="79"/>
        <v>3.1799999999999997</v>
      </c>
      <c r="S868" s="2">
        <v>27</v>
      </c>
      <c r="T868" s="3">
        <f t="shared" si="80"/>
        <v>153.35999999999999</v>
      </c>
      <c r="U868" s="4">
        <v>0.03</v>
      </c>
      <c r="V868" s="6">
        <f t="shared" si="81"/>
        <v>4.6007999999999996</v>
      </c>
      <c r="W868" s="6">
        <f t="shared" si="82"/>
        <v>148.75919999999999</v>
      </c>
      <c r="X868" s="3">
        <v>3.6</v>
      </c>
      <c r="Y868" s="5">
        <f t="shared" si="83"/>
        <v>152.35919999999999</v>
      </c>
    </row>
    <row r="869" spans="1:25" x14ac:dyDescent="0.2">
      <c r="A869" t="s">
        <v>1721</v>
      </c>
      <c r="B869" s="1">
        <v>42541</v>
      </c>
      <c r="C869" s="2" t="str">
        <f t="shared" si="78"/>
        <v>2016</v>
      </c>
      <c r="D869" s="2" t="s">
        <v>315</v>
      </c>
      <c r="E869" s="2" t="s">
        <v>141</v>
      </c>
      <c r="F869" s="2" t="s">
        <v>36</v>
      </c>
      <c r="G869" s="2" t="s">
        <v>37</v>
      </c>
      <c r="H869" s="2" t="s">
        <v>29</v>
      </c>
      <c r="I869" s="2" t="s">
        <v>142</v>
      </c>
      <c r="J869" s="2" t="s">
        <v>44</v>
      </c>
      <c r="K869" s="2" t="s">
        <v>365</v>
      </c>
      <c r="L869" s="2" t="s">
        <v>32</v>
      </c>
      <c r="M869" s="2" t="s">
        <v>33</v>
      </c>
      <c r="N869" s="2" t="s">
        <v>27</v>
      </c>
      <c r="O869" s="1">
        <v>42542</v>
      </c>
      <c r="P869" s="3">
        <v>21.56</v>
      </c>
      <c r="Q869" s="3">
        <v>36.549999999999997</v>
      </c>
      <c r="R869" s="3">
        <f t="shared" si="79"/>
        <v>14.989999999999998</v>
      </c>
      <c r="S869" s="2">
        <v>34</v>
      </c>
      <c r="T869" s="3">
        <f t="shared" si="80"/>
        <v>1242.6999999999998</v>
      </c>
      <c r="U869" s="4">
        <v>0.1</v>
      </c>
      <c r="V869" s="6">
        <f t="shared" si="81"/>
        <v>124.26999999999998</v>
      </c>
      <c r="W869" s="6">
        <f t="shared" si="82"/>
        <v>1118.4299999999998</v>
      </c>
      <c r="X869" s="3">
        <v>13.89</v>
      </c>
      <c r="Y869" s="5">
        <f t="shared" si="83"/>
        <v>1132.32</v>
      </c>
    </row>
    <row r="870" spans="1:25" x14ac:dyDescent="0.2">
      <c r="A870" t="s">
        <v>933</v>
      </c>
      <c r="B870" s="1">
        <v>42541</v>
      </c>
      <c r="C870" s="2" t="str">
        <f t="shared" si="78"/>
        <v>2016</v>
      </c>
      <c r="D870" s="2" t="s">
        <v>366</v>
      </c>
      <c r="E870" s="2" t="s">
        <v>49</v>
      </c>
      <c r="F870" s="2" t="s">
        <v>36</v>
      </c>
      <c r="G870" s="2" t="s">
        <v>37</v>
      </c>
      <c r="H870" s="2" t="s">
        <v>29</v>
      </c>
      <c r="I870" s="2" t="s">
        <v>51</v>
      </c>
      <c r="J870" s="2" t="s">
        <v>30</v>
      </c>
      <c r="K870" s="2" t="s">
        <v>125</v>
      </c>
      <c r="L870" s="2" t="s">
        <v>32</v>
      </c>
      <c r="M870" s="2" t="s">
        <v>33</v>
      </c>
      <c r="N870" s="2" t="s">
        <v>89</v>
      </c>
      <c r="O870" s="1">
        <v>42541</v>
      </c>
      <c r="P870" s="3">
        <v>1.53</v>
      </c>
      <c r="Q870" s="3">
        <v>2.78</v>
      </c>
      <c r="R870" s="3">
        <f t="shared" si="79"/>
        <v>1.2499999999999998</v>
      </c>
      <c r="S870" s="2">
        <v>47</v>
      </c>
      <c r="T870" s="3">
        <f t="shared" si="80"/>
        <v>130.66</v>
      </c>
      <c r="U870" s="4">
        <v>0.1</v>
      </c>
      <c r="V870" s="6">
        <f t="shared" si="81"/>
        <v>13.066000000000001</v>
      </c>
      <c r="W870" s="6">
        <f t="shared" si="82"/>
        <v>117.59399999999999</v>
      </c>
      <c r="X870" s="3">
        <v>1.34</v>
      </c>
      <c r="Y870" s="5">
        <f t="shared" si="83"/>
        <v>118.934</v>
      </c>
    </row>
    <row r="871" spans="1:25" x14ac:dyDescent="0.2">
      <c r="A871" t="s">
        <v>934</v>
      </c>
      <c r="B871" s="1">
        <v>42541</v>
      </c>
      <c r="C871" s="2" t="str">
        <f t="shared" si="78"/>
        <v>2016</v>
      </c>
      <c r="D871" s="2" t="s">
        <v>366</v>
      </c>
      <c r="E871" s="2" t="s">
        <v>49</v>
      </c>
      <c r="F871" s="2" t="s">
        <v>36</v>
      </c>
      <c r="G871" s="2" t="s">
        <v>37</v>
      </c>
      <c r="H871" s="2" t="s">
        <v>29</v>
      </c>
      <c r="I871" s="2" t="s">
        <v>51</v>
      </c>
      <c r="J871" s="2" t="s">
        <v>30</v>
      </c>
      <c r="K871" s="2" t="s">
        <v>116</v>
      </c>
      <c r="L871" s="2" t="s">
        <v>32</v>
      </c>
      <c r="M871" s="2" t="s">
        <v>33</v>
      </c>
      <c r="N871" s="2" t="s">
        <v>27</v>
      </c>
      <c r="O871" s="1">
        <v>42544</v>
      </c>
      <c r="P871" s="3">
        <v>1.6</v>
      </c>
      <c r="Q871" s="3">
        <v>2.62</v>
      </c>
      <c r="R871" s="3">
        <f t="shared" si="79"/>
        <v>1.02</v>
      </c>
      <c r="S871" s="2">
        <v>30</v>
      </c>
      <c r="T871" s="3">
        <f t="shared" si="80"/>
        <v>78.600000000000009</v>
      </c>
      <c r="U871" s="4">
        <v>0.05</v>
      </c>
      <c r="V871" s="6">
        <f t="shared" si="81"/>
        <v>3.9300000000000006</v>
      </c>
      <c r="W871" s="6">
        <f t="shared" si="82"/>
        <v>74.67</v>
      </c>
      <c r="X871" s="3">
        <v>0.8</v>
      </c>
      <c r="Y871" s="5">
        <f t="shared" si="83"/>
        <v>75.47</v>
      </c>
    </row>
    <row r="872" spans="1:25" x14ac:dyDescent="0.2">
      <c r="A872" s="12" t="s">
        <v>1947</v>
      </c>
      <c r="B872" s="1">
        <v>42546</v>
      </c>
      <c r="C872" s="2" t="str">
        <f t="shared" si="78"/>
        <v>2016</v>
      </c>
      <c r="D872" s="2" t="s">
        <v>48</v>
      </c>
      <c r="E872" s="2" t="s">
        <v>1892</v>
      </c>
      <c r="F872" s="2" t="s">
        <v>1881</v>
      </c>
      <c r="G872" s="2" t="s">
        <v>1882</v>
      </c>
      <c r="H872" s="2" t="s">
        <v>50</v>
      </c>
      <c r="I872" s="2" t="s">
        <v>51</v>
      </c>
      <c r="J872" s="2" t="s">
        <v>52</v>
      </c>
      <c r="K872" s="2" t="s">
        <v>334</v>
      </c>
      <c r="L872" s="2" t="s">
        <v>32</v>
      </c>
      <c r="M872" s="2" t="s">
        <v>33</v>
      </c>
      <c r="N872" s="2" t="s">
        <v>27</v>
      </c>
      <c r="O872" s="1">
        <v>42548</v>
      </c>
      <c r="P872" s="3">
        <v>2.9</v>
      </c>
      <c r="Q872" s="3">
        <v>4.76</v>
      </c>
      <c r="R872" s="3">
        <f t="shared" si="79"/>
        <v>1.8599999999999999</v>
      </c>
      <c r="S872" s="2">
        <v>5</v>
      </c>
      <c r="T872" s="3">
        <f t="shared" si="80"/>
        <v>23.799999999999997</v>
      </c>
      <c r="U872" s="4">
        <v>0.09</v>
      </c>
      <c r="V872" s="6">
        <f t="shared" si="81"/>
        <v>2.1419999999999995</v>
      </c>
      <c r="W872" s="6">
        <f t="shared" si="82"/>
        <v>21.657999999999998</v>
      </c>
      <c r="X872" s="3">
        <v>0.88</v>
      </c>
      <c r="Y872" s="5">
        <f t="shared" si="83"/>
        <v>22.537999999999997</v>
      </c>
    </row>
    <row r="873" spans="1:25" x14ac:dyDescent="0.2">
      <c r="A873" s="12" t="s">
        <v>1943</v>
      </c>
      <c r="B873" s="1">
        <v>42549</v>
      </c>
      <c r="C873" s="2" t="str">
        <f t="shared" si="78"/>
        <v>2016</v>
      </c>
      <c r="D873" s="2" t="s">
        <v>589</v>
      </c>
      <c r="E873" s="2" t="s">
        <v>65</v>
      </c>
      <c r="F873" s="2" t="s">
        <v>36</v>
      </c>
      <c r="G873" s="2" t="s">
        <v>37</v>
      </c>
      <c r="H873" s="2" t="s">
        <v>50</v>
      </c>
      <c r="I873" s="2" t="s">
        <v>43</v>
      </c>
      <c r="J873" s="2" t="s">
        <v>30</v>
      </c>
      <c r="K873" s="2" t="s">
        <v>173</v>
      </c>
      <c r="L873" s="2" t="s">
        <v>32</v>
      </c>
      <c r="M873" s="2" t="s">
        <v>26</v>
      </c>
      <c r="N873" s="2" t="s">
        <v>27</v>
      </c>
      <c r="O873" s="1">
        <v>42551</v>
      </c>
      <c r="P873" s="3">
        <v>1.84</v>
      </c>
      <c r="Q873" s="3">
        <v>2.88</v>
      </c>
      <c r="R873" s="3">
        <f t="shared" si="79"/>
        <v>1.0399999999999998</v>
      </c>
      <c r="S873" s="2">
        <v>25</v>
      </c>
      <c r="T873" s="3">
        <f t="shared" si="80"/>
        <v>72</v>
      </c>
      <c r="U873" s="4">
        <v>0.04</v>
      </c>
      <c r="V873" s="6">
        <f t="shared" si="81"/>
        <v>2.88</v>
      </c>
      <c r="W873" s="6">
        <f t="shared" si="82"/>
        <v>69.12</v>
      </c>
      <c r="X873" s="3">
        <v>1.49</v>
      </c>
      <c r="Y873" s="5">
        <f t="shared" si="83"/>
        <v>70.61</v>
      </c>
    </row>
    <row r="874" spans="1:25" x14ac:dyDescent="0.2">
      <c r="A874" t="s">
        <v>1722</v>
      </c>
      <c r="B874" s="1">
        <v>42550</v>
      </c>
      <c r="C874" s="2" t="str">
        <f t="shared" si="78"/>
        <v>2016</v>
      </c>
      <c r="D874" s="2" t="s">
        <v>438</v>
      </c>
      <c r="E874" s="2" t="s">
        <v>1905</v>
      </c>
      <c r="F874" s="2" t="s">
        <v>1881</v>
      </c>
      <c r="G874" s="2" t="s">
        <v>1882</v>
      </c>
      <c r="H874" s="2" t="s">
        <v>42</v>
      </c>
      <c r="I874" s="2" t="s">
        <v>153</v>
      </c>
      <c r="J874" s="2" t="s">
        <v>23</v>
      </c>
      <c r="K874" s="2" t="s">
        <v>316</v>
      </c>
      <c r="L874" s="2" t="s">
        <v>32</v>
      </c>
      <c r="M874" s="2" t="s">
        <v>33</v>
      </c>
      <c r="N874" s="2" t="s">
        <v>89</v>
      </c>
      <c r="O874" s="1">
        <v>42555</v>
      </c>
      <c r="P874" s="3">
        <v>3.32</v>
      </c>
      <c r="Q874" s="3">
        <v>5.18</v>
      </c>
      <c r="R874" s="3">
        <f t="shared" si="79"/>
        <v>1.8599999999999999</v>
      </c>
      <c r="S874" s="2">
        <v>1</v>
      </c>
      <c r="T874" s="3">
        <f t="shared" si="80"/>
        <v>5.18</v>
      </c>
      <c r="U874" s="4">
        <v>0.02</v>
      </c>
      <c r="V874" s="6">
        <f t="shared" si="81"/>
        <v>0.1036</v>
      </c>
      <c r="W874" s="6">
        <f t="shared" si="82"/>
        <v>5.0763999999999996</v>
      </c>
      <c r="X874" s="3">
        <v>2.04</v>
      </c>
      <c r="Y874" s="5">
        <f t="shared" si="83"/>
        <v>7.1163999999999996</v>
      </c>
    </row>
    <row r="875" spans="1:25" x14ac:dyDescent="0.2">
      <c r="A875" s="12" t="s">
        <v>1942</v>
      </c>
      <c r="B875" s="1">
        <v>42550</v>
      </c>
      <c r="C875" s="2" t="str">
        <f t="shared" si="78"/>
        <v>2016</v>
      </c>
      <c r="D875" s="2" t="s">
        <v>438</v>
      </c>
      <c r="E875" s="2" t="s">
        <v>1905</v>
      </c>
      <c r="F875" s="2" t="s">
        <v>1881</v>
      </c>
      <c r="G875" s="2" t="s">
        <v>1882</v>
      </c>
      <c r="H875" s="2" t="s">
        <v>42</v>
      </c>
      <c r="I875" s="2" t="s">
        <v>153</v>
      </c>
      <c r="J875" s="2" t="s">
        <v>23</v>
      </c>
      <c r="K875" s="2" t="s">
        <v>459</v>
      </c>
      <c r="L875" s="2" t="s">
        <v>32</v>
      </c>
      <c r="M875" s="2" t="s">
        <v>33</v>
      </c>
      <c r="N875" s="2" t="s">
        <v>27</v>
      </c>
      <c r="O875" s="1">
        <v>42554</v>
      </c>
      <c r="P875" s="3">
        <v>2.98</v>
      </c>
      <c r="Q875" s="3">
        <v>5.84</v>
      </c>
      <c r="R875" s="3">
        <f t="shared" si="79"/>
        <v>2.86</v>
      </c>
      <c r="S875" s="2">
        <v>4</v>
      </c>
      <c r="T875" s="3">
        <f t="shared" si="80"/>
        <v>23.36</v>
      </c>
      <c r="U875" s="4">
        <v>0.09</v>
      </c>
      <c r="V875" s="6">
        <f t="shared" si="81"/>
        <v>2.1023999999999998</v>
      </c>
      <c r="W875" s="6">
        <f t="shared" si="82"/>
        <v>21.2576</v>
      </c>
      <c r="X875" s="3">
        <v>0.83</v>
      </c>
      <c r="Y875" s="5">
        <f t="shared" si="83"/>
        <v>22.087599999999998</v>
      </c>
    </row>
    <row r="876" spans="1:25" x14ac:dyDescent="0.2">
      <c r="A876" t="s">
        <v>1723</v>
      </c>
      <c r="B876" s="1">
        <v>42550</v>
      </c>
      <c r="C876" s="2" t="str">
        <f t="shared" si="78"/>
        <v>2016</v>
      </c>
      <c r="D876" s="2" t="s">
        <v>364</v>
      </c>
      <c r="E876" s="2" t="s">
        <v>271</v>
      </c>
      <c r="F876" s="2" t="s">
        <v>36</v>
      </c>
      <c r="G876" s="2" t="s">
        <v>37</v>
      </c>
      <c r="H876" s="2" t="s">
        <v>50</v>
      </c>
      <c r="I876" s="2" t="s">
        <v>102</v>
      </c>
      <c r="J876" s="2" t="s">
        <v>66</v>
      </c>
      <c r="K876" s="2" t="s">
        <v>299</v>
      </c>
      <c r="L876" s="2" t="s">
        <v>32</v>
      </c>
      <c r="M876" s="2" t="s">
        <v>26</v>
      </c>
      <c r="N876" s="2" t="s">
        <v>27</v>
      </c>
      <c r="O876" s="1">
        <v>42552</v>
      </c>
      <c r="P876" s="3">
        <v>3.14</v>
      </c>
      <c r="Q876" s="3">
        <v>4.91</v>
      </c>
      <c r="R876" s="3">
        <f t="shared" si="79"/>
        <v>1.77</v>
      </c>
      <c r="S876" s="2">
        <v>28</v>
      </c>
      <c r="T876" s="3">
        <f t="shared" si="80"/>
        <v>137.48000000000002</v>
      </c>
      <c r="U876" s="4">
        <v>0.08</v>
      </c>
      <c r="V876" s="6">
        <f t="shared" si="81"/>
        <v>10.998400000000002</v>
      </c>
      <c r="W876" s="6">
        <f t="shared" si="82"/>
        <v>126.48160000000001</v>
      </c>
      <c r="X876" s="3">
        <v>0.5</v>
      </c>
      <c r="Y876" s="5">
        <f t="shared" si="83"/>
        <v>126.98160000000001</v>
      </c>
    </row>
    <row r="877" spans="1:25" x14ac:dyDescent="0.2">
      <c r="A877" t="s">
        <v>1724</v>
      </c>
      <c r="B877" s="1">
        <v>42551</v>
      </c>
      <c r="C877" s="2" t="str">
        <f t="shared" si="78"/>
        <v>2016</v>
      </c>
      <c r="D877" s="2" t="s">
        <v>296</v>
      </c>
      <c r="E877" s="2" t="s">
        <v>60</v>
      </c>
      <c r="F877" s="2" t="s">
        <v>36</v>
      </c>
      <c r="G877" s="2" t="s">
        <v>37</v>
      </c>
      <c r="H877" s="2" t="s">
        <v>29</v>
      </c>
      <c r="I877" s="2" t="s">
        <v>56</v>
      </c>
      <c r="J877" s="2" t="s">
        <v>23</v>
      </c>
      <c r="K877" s="2" t="s">
        <v>287</v>
      </c>
      <c r="L877" s="2" t="s">
        <v>32</v>
      </c>
      <c r="M877" s="2" t="s">
        <v>26</v>
      </c>
      <c r="N877" s="2" t="s">
        <v>27</v>
      </c>
      <c r="O877" s="1">
        <v>42553</v>
      </c>
      <c r="P877" s="3">
        <v>13.88</v>
      </c>
      <c r="Q877" s="3">
        <v>22.38</v>
      </c>
      <c r="R877" s="3">
        <f t="shared" si="79"/>
        <v>8.4999999999999982</v>
      </c>
      <c r="S877" s="2">
        <v>9</v>
      </c>
      <c r="T877" s="3">
        <f t="shared" si="80"/>
        <v>201.42</v>
      </c>
      <c r="U877" s="4">
        <v>0.03</v>
      </c>
      <c r="V877" s="6">
        <f t="shared" si="81"/>
        <v>6.0425999999999993</v>
      </c>
      <c r="W877" s="6">
        <f t="shared" si="82"/>
        <v>195.37739999999999</v>
      </c>
      <c r="X877" s="3">
        <v>15.1</v>
      </c>
      <c r="Y877" s="5">
        <f t="shared" si="83"/>
        <v>210.47739999999999</v>
      </c>
    </row>
    <row r="878" spans="1:25" x14ac:dyDescent="0.2">
      <c r="A878" t="s">
        <v>1725</v>
      </c>
      <c r="B878" s="1">
        <v>42551</v>
      </c>
      <c r="C878" s="2" t="str">
        <f t="shared" si="78"/>
        <v>2016</v>
      </c>
      <c r="D878" s="2" t="s">
        <v>362</v>
      </c>
      <c r="E878" s="2" t="s">
        <v>363</v>
      </c>
      <c r="F878" s="2" t="s">
        <v>36</v>
      </c>
      <c r="G878" s="2" t="s">
        <v>37</v>
      </c>
      <c r="H878" s="2" t="s">
        <v>50</v>
      </c>
      <c r="I878" s="2" t="s">
        <v>153</v>
      </c>
      <c r="J878" s="2" t="s">
        <v>44</v>
      </c>
      <c r="K878" s="2" t="s">
        <v>155</v>
      </c>
      <c r="L878" s="2" t="s">
        <v>32</v>
      </c>
      <c r="M878" s="2" t="s">
        <v>33</v>
      </c>
      <c r="N878" s="2" t="s">
        <v>27</v>
      </c>
      <c r="O878" s="1">
        <v>42552</v>
      </c>
      <c r="P878" s="3">
        <v>0.24</v>
      </c>
      <c r="Q878" s="3">
        <v>1.26</v>
      </c>
      <c r="R878" s="3">
        <f t="shared" si="79"/>
        <v>1.02</v>
      </c>
      <c r="S878" s="2">
        <v>47</v>
      </c>
      <c r="T878" s="3">
        <f t="shared" si="80"/>
        <v>59.22</v>
      </c>
      <c r="U878" s="4">
        <v>0</v>
      </c>
      <c r="V878" s="6">
        <f t="shared" si="81"/>
        <v>0</v>
      </c>
      <c r="W878" s="6">
        <f t="shared" si="82"/>
        <v>59.22</v>
      </c>
      <c r="X878" s="3">
        <v>0.7</v>
      </c>
      <c r="Y878" s="5">
        <f t="shared" si="83"/>
        <v>59.92</v>
      </c>
    </row>
    <row r="879" spans="1:25" x14ac:dyDescent="0.2">
      <c r="A879" t="s">
        <v>1726</v>
      </c>
      <c r="B879" s="1">
        <v>42553</v>
      </c>
      <c r="C879" s="2" t="str">
        <f t="shared" si="78"/>
        <v>2016</v>
      </c>
      <c r="D879" s="2" t="s">
        <v>360</v>
      </c>
      <c r="E879" s="2" t="s">
        <v>266</v>
      </c>
      <c r="F879" s="2" t="s">
        <v>36</v>
      </c>
      <c r="G879" s="2" t="s">
        <v>37</v>
      </c>
      <c r="H879" s="2" t="s">
        <v>21</v>
      </c>
      <c r="I879" s="2" t="s">
        <v>153</v>
      </c>
      <c r="J879" s="2" t="s">
        <v>44</v>
      </c>
      <c r="K879" s="2" t="s">
        <v>108</v>
      </c>
      <c r="L879" s="2" t="s">
        <v>32</v>
      </c>
      <c r="M879" s="2" t="s">
        <v>26</v>
      </c>
      <c r="N879" s="2" t="s">
        <v>27</v>
      </c>
      <c r="O879" s="1">
        <v>42555</v>
      </c>
      <c r="P879" s="3">
        <v>1.84</v>
      </c>
      <c r="Q879" s="3">
        <v>2.88</v>
      </c>
      <c r="R879" s="3">
        <f t="shared" si="79"/>
        <v>1.0399999999999998</v>
      </c>
      <c r="S879" s="2">
        <v>18</v>
      </c>
      <c r="T879" s="3">
        <f t="shared" si="80"/>
        <v>51.839999999999996</v>
      </c>
      <c r="U879" s="4">
        <v>0.03</v>
      </c>
      <c r="V879" s="6">
        <f t="shared" si="81"/>
        <v>1.5551999999999999</v>
      </c>
      <c r="W879" s="6">
        <f t="shared" si="82"/>
        <v>50.284799999999997</v>
      </c>
      <c r="X879" s="3">
        <v>0.99</v>
      </c>
      <c r="Y879" s="5">
        <f t="shared" si="83"/>
        <v>51.274799999999999</v>
      </c>
    </row>
    <row r="880" spans="1:25" x14ac:dyDescent="0.2">
      <c r="A880" t="s">
        <v>1727</v>
      </c>
      <c r="B880" s="1">
        <v>42553</v>
      </c>
      <c r="C880" s="2" t="str">
        <f t="shared" si="78"/>
        <v>2016</v>
      </c>
      <c r="D880" s="2" t="s">
        <v>361</v>
      </c>
      <c r="E880" s="2" t="s">
        <v>1922</v>
      </c>
      <c r="F880" s="2" t="s">
        <v>36</v>
      </c>
      <c r="G880" s="2" t="s">
        <v>37</v>
      </c>
      <c r="H880" s="2" t="s">
        <v>50</v>
      </c>
      <c r="I880" s="2" t="s">
        <v>79</v>
      </c>
      <c r="J880" s="2" t="s">
        <v>66</v>
      </c>
      <c r="K880" s="2" t="s">
        <v>116</v>
      </c>
      <c r="L880" s="2" t="s">
        <v>32</v>
      </c>
      <c r="M880" s="2" t="s">
        <v>33</v>
      </c>
      <c r="N880" s="2" t="s">
        <v>27</v>
      </c>
      <c r="O880" s="1">
        <v>42555</v>
      </c>
      <c r="P880" s="3">
        <v>1.6</v>
      </c>
      <c r="Q880" s="3">
        <v>2.62</v>
      </c>
      <c r="R880" s="3">
        <f t="shared" si="79"/>
        <v>1.02</v>
      </c>
      <c r="S880" s="2">
        <v>16</v>
      </c>
      <c r="T880" s="3">
        <f t="shared" si="80"/>
        <v>41.92</v>
      </c>
      <c r="U880" s="4">
        <v>0.09</v>
      </c>
      <c r="V880" s="6">
        <f t="shared" si="81"/>
        <v>3.7728000000000002</v>
      </c>
      <c r="W880" s="6">
        <f t="shared" si="82"/>
        <v>38.147199999999998</v>
      </c>
      <c r="X880" s="3">
        <v>0.8</v>
      </c>
      <c r="Y880" s="5">
        <f t="shared" si="83"/>
        <v>38.947199999999995</v>
      </c>
    </row>
    <row r="881" spans="1:25" x14ac:dyDescent="0.2">
      <c r="A881" s="12" t="s">
        <v>1948</v>
      </c>
      <c r="B881" s="1">
        <v>42553</v>
      </c>
      <c r="C881" s="2" t="str">
        <f t="shared" si="78"/>
        <v>2016</v>
      </c>
      <c r="D881" s="2" t="s">
        <v>586</v>
      </c>
      <c r="E881" s="2" t="s">
        <v>41</v>
      </c>
      <c r="F881" s="2" t="s">
        <v>36</v>
      </c>
      <c r="G881" s="2" t="s">
        <v>37</v>
      </c>
      <c r="H881" s="2" t="s">
        <v>21</v>
      </c>
      <c r="I881" s="2" t="s">
        <v>43</v>
      </c>
      <c r="J881" s="2" t="s">
        <v>23</v>
      </c>
      <c r="K881" s="2" t="s">
        <v>149</v>
      </c>
      <c r="L881" s="2" t="s">
        <v>150</v>
      </c>
      <c r="M881" s="2" t="s">
        <v>58</v>
      </c>
      <c r="N881" s="2" t="s">
        <v>27</v>
      </c>
      <c r="O881" s="1">
        <v>42560</v>
      </c>
      <c r="P881" s="3">
        <v>5.5</v>
      </c>
      <c r="Q881" s="3">
        <v>12.22</v>
      </c>
      <c r="R881" s="3">
        <f t="shared" si="79"/>
        <v>6.7200000000000006</v>
      </c>
      <c r="S881" s="2">
        <v>46</v>
      </c>
      <c r="T881" s="3">
        <f t="shared" si="80"/>
        <v>562.12</v>
      </c>
      <c r="U881" s="4">
        <v>0.03</v>
      </c>
      <c r="V881" s="6">
        <f t="shared" si="81"/>
        <v>16.863599999999998</v>
      </c>
      <c r="W881" s="6">
        <f t="shared" si="82"/>
        <v>545.25639999999999</v>
      </c>
      <c r="X881" s="3">
        <v>2.85</v>
      </c>
      <c r="Y881" s="5">
        <f t="shared" si="83"/>
        <v>548.10640000000001</v>
      </c>
    </row>
    <row r="882" spans="1:25" x14ac:dyDescent="0.2">
      <c r="A882" t="s">
        <v>1728</v>
      </c>
      <c r="B882" s="1">
        <v>42554</v>
      </c>
      <c r="C882" s="2" t="str">
        <f t="shared" si="78"/>
        <v>2016</v>
      </c>
      <c r="D882" s="2" t="s">
        <v>358</v>
      </c>
      <c r="E882" s="2" t="s">
        <v>359</v>
      </c>
      <c r="F882" s="2" t="s">
        <v>36</v>
      </c>
      <c r="G882" s="2" t="s">
        <v>37</v>
      </c>
      <c r="H882" s="2" t="s">
        <v>21</v>
      </c>
      <c r="I882" s="2" t="s">
        <v>51</v>
      </c>
      <c r="J882" s="2" t="s">
        <v>30</v>
      </c>
      <c r="K882" s="2" t="s">
        <v>192</v>
      </c>
      <c r="L882" s="2" t="s">
        <v>32</v>
      </c>
      <c r="M882" s="2" t="s">
        <v>33</v>
      </c>
      <c r="N882" s="2" t="s">
        <v>27</v>
      </c>
      <c r="O882" s="1">
        <v>42556</v>
      </c>
      <c r="P882" s="3">
        <v>0.87</v>
      </c>
      <c r="Q882" s="3">
        <v>1.81</v>
      </c>
      <c r="R882" s="3">
        <f t="shared" si="79"/>
        <v>0.94000000000000006</v>
      </c>
      <c r="S882" s="2">
        <v>50</v>
      </c>
      <c r="T882" s="3">
        <f t="shared" si="80"/>
        <v>90.5</v>
      </c>
      <c r="U882" s="4">
        <v>0.08</v>
      </c>
      <c r="V882" s="6">
        <f t="shared" si="81"/>
        <v>7.24</v>
      </c>
      <c r="W882" s="6">
        <f t="shared" si="82"/>
        <v>83.26</v>
      </c>
      <c r="X882" s="3">
        <v>0.75</v>
      </c>
      <c r="Y882" s="5">
        <f t="shared" si="83"/>
        <v>84.01</v>
      </c>
    </row>
    <row r="883" spans="1:25" x14ac:dyDescent="0.2">
      <c r="A883" t="s">
        <v>1729</v>
      </c>
      <c r="B883" s="1">
        <v>42556</v>
      </c>
      <c r="C883" s="2" t="str">
        <f t="shared" si="78"/>
        <v>2016</v>
      </c>
      <c r="D883" s="2" t="s">
        <v>356</v>
      </c>
      <c r="E883" s="2" t="s">
        <v>357</v>
      </c>
      <c r="F883" s="2" t="s">
        <v>36</v>
      </c>
      <c r="G883" s="2" t="s">
        <v>37</v>
      </c>
      <c r="H883" s="2" t="s">
        <v>21</v>
      </c>
      <c r="I883" s="2" t="s">
        <v>96</v>
      </c>
      <c r="J883" s="2" t="s">
        <v>52</v>
      </c>
      <c r="K883" s="2" t="s">
        <v>103</v>
      </c>
      <c r="L883" s="2" t="s">
        <v>32</v>
      </c>
      <c r="M883" s="2" t="s">
        <v>26</v>
      </c>
      <c r="N883" s="2" t="s">
        <v>89</v>
      </c>
      <c r="O883" s="1">
        <v>42558</v>
      </c>
      <c r="P883" s="3">
        <v>2.2599999999999998</v>
      </c>
      <c r="Q883" s="3">
        <v>3.58</v>
      </c>
      <c r="R883" s="3">
        <f t="shared" si="79"/>
        <v>1.3200000000000003</v>
      </c>
      <c r="S883" s="2">
        <v>36</v>
      </c>
      <c r="T883" s="3">
        <f t="shared" si="80"/>
        <v>128.88</v>
      </c>
      <c r="U883" s="4">
        <v>0.04</v>
      </c>
      <c r="V883" s="6">
        <f t="shared" si="81"/>
        <v>5.1551999999999998</v>
      </c>
      <c r="W883" s="6">
        <f t="shared" si="82"/>
        <v>123.7248</v>
      </c>
      <c r="X883" s="3">
        <v>5.47</v>
      </c>
      <c r="Y883" s="5">
        <f t="shared" si="83"/>
        <v>129.19480000000001</v>
      </c>
    </row>
    <row r="884" spans="1:25" x14ac:dyDescent="0.2">
      <c r="A884" t="s">
        <v>1730</v>
      </c>
      <c r="B884" s="1">
        <v>42558</v>
      </c>
      <c r="C884" s="2" t="str">
        <f t="shared" si="78"/>
        <v>2016</v>
      </c>
      <c r="D884" s="2" t="s">
        <v>275</v>
      </c>
      <c r="E884" s="2" t="s">
        <v>276</v>
      </c>
      <c r="F884" s="2" t="s">
        <v>19</v>
      </c>
      <c r="G884" s="2" t="s">
        <v>20</v>
      </c>
      <c r="H884" s="2" t="s">
        <v>21</v>
      </c>
      <c r="I884" s="2" t="s">
        <v>22</v>
      </c>
      <c r="J884" s="2" t="s">
        <v>44</v>
      </c>
      <c r="K884" s="2" t="s">
        <v>355</v>
      </c>
      <c r="L884" s="2" t="s">
        <v>32</v>
      </c>
      <c r="M884" s="2" t="s">
        <v>33</v>
      </c>
      <c r="N884" s="2" t="s">
        <v>27</v>
      </c>
      <c r="O884" s="1">
        <v>42559</v>
      </c>
      <c r="P884" s="3">
        <v>1.0900000000000001</v>
      </c>
      <c r="Q884" s="3">
        <v>1.68</v>
      </c>
      <c r="R884" s="3">
        <f t="shared" si="79"/>
        <v>0.58999999999999986</v>
      </c>
      <c r="S884" s="2">
        <v>50</v>
      </c>
      <c r="T884" s="3">
        <f t="shared" si="80"/>
        <v>84</v>
      </c>
      <c r="U884" s="4">
        <v>0.09</v>
      </c>
      <c r="V884" s="6">
        <f t="shared" si="81"/>
        <v>7.56</v>
      </c>
      <c r="W884" s="6">
        <f t="shared" si="82"/>
        <v>76.44</v>
      </c>
      <c r="X884" s="3">
        <v>1</v>
      </c>
      <c r="Y884" s="5">
        <f t="shared" si="83"/>
        <v>77.44</v>
      </c>
    </row>
    <row r="885" spans="1:25" x14ac:dyDescent="0.2">
      <c r="A885" t="s">
        <v>1731</v>
      </c>
      <c r="B885" s="1">
        <v>42562</v>
      </c>
      <c r="C885" s="2" t="str">
        <f t="shared" si="78"/>
        <v>2016</v>
      </c>
      <c r="D885" s="2" t="s">
        <v>354</v>
      </c>
      <c r="E885" s="2" t="s">
        <v>113</v>
      </c>
      <c r="F885" s="2" t="s">
        <v>36</v>
      </c>
      <c r="G885" s="2" t="s">
        <v>37</v>
      </c>
      <c r="H885" s="2" t="s">
        <v>21</v>
      </c>
      <c r="I885" s="2" t="s">
        <v>56</v>
      </c>
      <c r="J885" s="2" t="s">
        <v>30</v>
      </c>
      <c r="K885" s="2" t="s">
        <v>297</v>
      </c>
      <c r="L885" s="2" t="s">
        <v>32</v>
      </c>
      <c r="M885" s="2" t="s">
        <v>33</v>
      </c>
      <c r="N885" s="2" t="s">
        <v>27</v>
      </c>
      <c r="O885" s="1">
        <v>42563</v>
      </c>
      <c r="P885" s="3">
        <v>3.48</v>
      </c>
      <c r="Q885" s="3">
        <v>5.43</v>
      </c>
      <c r="R885" s="3">
        <f t="shared" si="79"/>
        <v>1.9499999999999997</v>
      </c>
      <c r="S885" s="2">
        <v>2</v>
      </c>
      <c r="T885" s="3">
        <f t="shared" si="80"/>
        <v>10.86</v>
      </c>
      <c r="U885" s="4">
        <v>0.03</v>
      </c>
      <c r="V885" s="6">
        <f t="shared" si="81"/>
        <v>0.32579999999999998</v>
      </c>
      <c r="W885" s="6">
        <f t="shared" si="82"/>
        <v>10.5342</v>
      </c>
      <c r="X885" s="3">
        <v>0.95</v>
      </c>
      <c r="Y885" s="5">
        <f t="shared" si="83"/>
        <v>11.4842</v>
      </c>
    </row>
    <row r="886" spans="1:25" x14ac:dyDescent="0.2">
      <c r="A886" t="s">
        <v>1732</v>
      </c>
      <c r="B886" s="1">
        <v>42563</v>
      </c>
      <c r="C886" s="2" t="str">
        <f t="shared" si="78"/>
        <v>2016</v>
      </c>
      <c r="D886" s="2" t="s">
        <v>353</v>
      </c>
      <c r="E886" s="2" t="s">
        <v>202</v>
      </c>
      <c r="F886" s="2" t="s">
        <v>19</v>
      </c>
      <c r="G886" s="2" t="s">
        <v>20</v>
      </c>
      <c r="H886" s="2" t="s">
        <v>42</v>
      </c>
      <c r="I886" s="2" t="s">
        <v>22</v>
      </c>
      <c r="J886" s="2" t="s">
        <v>30</v>
      </c>
      <c r="K886" s="2" t="s">
        <v>241</v>
      </c>
      <c r="L886" s="2" t="s">
        <v>32</v>
      </c>
      <c r="M886" s="2" t="s">
        <v>26</v>
      </c>
      <c r="N886" s="2" t="s">
        <v>27</v>
      </c>
      <c r="O886" s="1">
        <v>42564</v>
      </c>
      <c r="P886" s="3">
        <v>3.65</v>
      </c>
      <c r="Q886" s="3">
        <v>5.98</v>
      </c>
      <c r="R886" s="3">
        <f t="shared" si="79"/>
        <v>2.3300000000000005</v>
      </c>
      <c r="S886" s="2">
        <v>22</v>
      </c>
      <c r="T886" s="3">
        <f t="shared" si="80"/>
        <v>131.56</v>
      </c>
      <c r="U886" s="4">
        <v>7.0000000000000007E-2</v>
      </c>
      <c r="V886" s="6">
        <f t="shared" si="81"/>
        <v>9.2092000000000009</v>
      </c>
      <c r="W886" s="6">
        <f t="shared" si="82"/>
        <v>122.35080000000001</v>
      </c>
      <c r="X886" s="3">
        <v>1.49</v>
      </c>
      <c r="Y886" s="5">
        <f t="shared" si="83"/>
        <v>123.8408</v>
      </c>
    </row>
    <row r="887" spans="1:25" x14ac:dyDescent="0.2">
      <c r="A887" t="s">
        <v>1733</v>
      </c>
      <c r="B887" s="1">
        <v>42567</v>
      </c>
      <c r="C887" s="2" t="str">
        <f t="shared" si="78"/>
        <v>2016</v>
      </c>
      <c r="D887" s="2" t="s">
        <v>352</v>
      </c>
      <c r="E887" s="2" t="s">
        <v>246</v>
      </c>
      <c r="F887" s="2" t="s">
        <v>19</v>
      </c>
      <c r="G887" s="2" t="s">
        <v>20</v>
      </c>
      <c r="H887" s="2" t="s">
        <v>21</v>
      </c>
      <c r="I887" s="2" t="s">
        <v>22</v>
      </c>
      <c r="J887" s="2" t="s">
        <v>44</v>
      </c>
      <c r="K887" s="2" t="s">
        <v>117</v>
      </c>
      <c r="L887" s="2" t="s">
        <v>25</v>
      </c>
      <c r="M887" s="2" t="s">
        <v>26</v>
      </c>
      <c r="N887" s="2" t="s">
        <v>27</v>
      </c>
      <c r="O887" s="1">
        <v>42569</v>
      </c>
      <c r="P887" s="3">
        <v>32.020000000000003</v>
      </c>
      <c r="Q887" s="3">
        <v>152.47999999999999</v>
      </c>
      <c r="R887" s="3">
        <f t="shared" si="79"/>
        <v>120.45999999999998</v>
      </c>
      <c r="S887" s="2">
        <v>2</v>
      </c>
      <c r="T887" s="3">
        <f t="shared" si="80"/>
        <v>304.95999999999998</v>
      </c>
      <c r="U887" s="4">
        <v>0.03</v>
      </c>
      <c r="V887" s="6">
        <f t="shared" si="81"/>
        <v>9.1487999999999996</v>
      </c>
      <c r="W887" s="6">
        <f t="shared" si="82"/>
        <v>295.81119999999999</v>
      </c>
      <c r="X887" s="3">
        <v>4</v>
      </c>
      <c r="Y887" s="5">
        <f t="shared" si="83"/>
        <v>299.81119999999999</v>
      </c>
    </row>
    <row r="888" spans="1:25" x14ac:dyDescent="0.2">
      <c r="A888" t="s">
        <v>1734</v>
      </c>
      <c r="B888" s="1">
        <v>42568</v>
      </c>
      <c r="C888" s="2" t="str">
        <f t="shared" si="78"/>
        <v>2016</v>
      </c>
      <c r="D888" s="2" t="s">
        <v>64</v>
      </c>
      <c r="E888" s="2" t="s">
        <v>1904</v>
      </c>
      <c r="F888" s="2" t="s">
        <v>1881</v>
      </c>
      <c r="G888" s="2" t="s">
        <v>1882</v>
      </c>
      <c r="H888" s="2" t="s">
        <v>50</v>
      </c>
      <c r="I888" s="2" t="s">
        <v>43</v>
      </c>
      <c r="J888" s="2" t="s">
        <v>52</v>
      </c>
      <c r="K888" s="2" t="s">
        <v>351</v>
      </c>
      <c r="L888" s="2" t="s">
        <v>32</v>
      </c>
      <c r="M888" s="2" t="s">
        <v>33</v>
      </c>
      <c r="N888" s="2" t="s">
        <v>27</v>
      </c>
      <c r="O888" s="1">
        <v>42569</v>
      </c>
      <c r="P888" s="3">
        <v>0.93</v>
      </c>
      <c r="Q888" s="3">
        <v>1.6</v>
      </c>
      <c r="R888" s="3">
        <f t="shared" si="79"/>
        <v>0.67</v>
      </c>
      <c r="S888" s="2">
        <v>39</v>
      </c>
      <c r="T888" s="3">
        <f t="shared" si="80"/>
        <v>62.400000000000006</v>
      </c>
      <c r="U888" s="4">
        <v>0.1</v>
      </c>
      <c r="V888" s="6">
        <f t="shared" si="81"/>
        <v>6.2400000000000011</v>
      </c>
      <c r="W888" s="6">
        <f t="shared" si="82"/>
        <v>56.160000000000004</v>
      </c>
      <c r="X888" s="3">
        <v>1.29</v>
      </c>
      <c r="Y888" s="5">
        <f t="shared" si="83"/>
        <v>57.45</v>
      </c>
    </row>
    <row r="889" spans="1:25" x14ac:dyDescent="0.2">
      <c r="A889" t="s">
        <v>1735</v>
      </c>
      <c r="B889" s="1">
        <v>42578</v>
      </c>
      <c r="C889" s="2" t="str">
        <f t="shared" si="78"/>
        <v>2016</v>
      </c>
      <c r="D889" s="2" t="s">
        <v>348</v>
      </c>
      <c r="E889" s="2" t="s">
        <v>349</v>
      </c>
      <c r="F889" s="2" t="s">
        <v>36</v>
      </c>
      <c r="G889" s="2" t="s">
        <v>37</v>
      </c>
      <c r="H889" s="2" t="s">
        <v>21</v>
      </c>
      <c r="I889" s="2" t="s">
        <v>96</v>
      </c>
      <c r="J889" s="2" t="s">
        <v>66</v>
      </c>
      <c r="K889" s="2" t="s">
        <v>350</v>
      </c>
      <c r="L889" s="2" t="s">
        <v>25</v>
      </c>
      <c r="M889" s="2" t="s">
        <v>261</v>
      </c>
      <c r="N889" s="2" t="s">
        <v>27</v>
      </c>
      <c r="O889" s="1">
        <v>42580</v>
      </c>
      <c r="P889" s="3">
        <v>269.99</v>
      </c>
      <c r="Q889" s="3">
        <v>449.99</v>
      </c>
      <c r="R889" s="3">
        <f t="shared" si="79"/>
        <v>180</v>
      </c>
      <c r="S889" s="2">
        <v>3</v>
      </c>
      <c r="T889" s="3">
        <f t="shared" si="80"/>
        <v>1349.97</v>
      </c>
      <c r="U889" s="4">
        <v>0.06</v>
      </c>
      <c r="V889" s="6">
        <f t="shared" si="81"/>
        <v>80.998199999999997</v>
      </c>
      <c r="W889" s="6">
        <f t="shared" si="82"/>
        <v>1268.9718</v>
      </c>
      <c r="X889" s="3">
        <v>24.49</v>
      </c>
      <c r="Y889" s="5">
        <f t="shared" si="83"/>
        <v>1293.4618</v>
      </c>
    </row>
    <row r="890" spans="1:25" x14ac:dyDescent="0.2">
      <c r="A890" t="s">
        <v>1736</v>
      </c>
      <c r="B890" s="1">
        <v>42579</v>
      </c>
      <c r="C890" s="2" t="str">
        <f t="shared" si="78"/>
        <v>2016</v>
      </c>
      <c r="D890" s="2" t="s">
        <v>257</v>
      </c>
      <c r="E890" s="2" t="s">
        <v>258</v>
      </c>
      <c r="F890" s="2" t="s">
        <v>36</v>
      </c>
      <c r="G890" s="2" t="s">
        <v>37</v>
      </c>
      <c r="H890" s="2" t="s">
        <v>21</v>
      </c>
      <c r="I890" s="2" t="s">
        <v>102</v>
      </c>
      <c r="J890" s="2" t="s">
        <v>30</v>
      </c>
      <c r="K890" s="2" t="s">
        <v>287</v>
      </c>
      <c r="L890" s="2" t="s">
        <v>32</v>
      </c>
      <c r="M890" s="2" t="s">
        <v>26</v>
      </c>
      <c r="N890" s="2" t="s">
        <v>27</v>
      </c>
      <c r="O890" s="1">
        <v>42581</v>
      </c>
      <c r="P890" s="3">
        <v>13.88</v>
      </c>
      <c r="Q890" s="3">
        <v>22.38</v>
      </c>
      <c r="R890" s="3">
        <f t="shared" si="79"/>
        <v>8.4999999999999982</v>
      </c>
      <c r="S890" s="2">
        <v>18</v>
      </c>
      <c r="T890" s="3">
        <f t="shared" si="80"/>
        <v>402.84</v>
      </c>
      <c r="U890" s="4">
        <v>0.05</v>
      </c>
      <c r="V890" s="6">
        <f t="shared" si="81"/>
        <v>20.141999999999999</v>
      </c>
      <c r="W890" s="6">
        <f t="shared" si="82"/>
        <v>382.69799999999998</v>
      </c>
      <c r="X890" s="3">
        <v>15.1</v>
      </c>
      <c r="Y890" s="5">
        <f t="shared" si="83"/>
        <v>397.798</v>
      </c>
    </row>
    <row r="891" spans="1:25" x14ac:dyDescent="0.2">
      <c r="A891" t="s">
        <v>1737</v>
      </c>
      <c r="B891" s="1">
        <v>42584</v>
      </c>
      <c r="C891" s="2" t="str">
        <f t="shared" si="78"/>
        <v>2016</v>
      </c>
      <c r="D891" s="2" t="s">
        <v>346</v>
      </c>
      <c r="E891" s="2" t="s">
        <v>249</v>
      </c>
      <c r="F891" s="2" t="s">
        <v>19</v>
      </c>
      <c r="G891" s="2" t="s">
        <v>20</v>
      </c>
      <c r="H891" s="2" t="s">
        <v>21</v>
      </c>
      <c r="I891" s="2" t="s">
        <v>92</v>
      </c>
      <c r="J891" s="2" t="s">
        <v>52</v>
      </c>
      <c r="K891" s="2" t="s">
        <v>347</v>
      </c>
      <c r="L891" s="2" t="s">
        <v>32</v>
      </c>
      <c r="M891" s="2" t="s">
        <v>26</v>
      </c>
      <c r="N891" s="2" t="s">
        <v>27</v>
      </c>
      <c r="O891" s="1">
        <v>42586</v>
      </c>
      <c r="P891" s="3">
        <v>178.83</v>
      </c>
      <c r="Q891" s="3">
        <v>415.88</v>
      </c>
      <c r="R891" s="3">
        <f t="shared" si="79"/>
        <v>237.04999999999998</v>
      </c>
      <c r="S891" s="2">
        <v>4</v>
      </c>
      <c r="T891" s="3">
        <f t="shared" si="80"/>
        <v>1663.52</v>
      </c>
      <c r="U891" s="4">
        <v>0.04</v>
      </c>
      <c r="V891" s="6">
        <f t="shared" si="81"/>
        <v>66.540800000000004</v>
      </c>
      <c r="W891" s="6">
        <f t="shared" si="82"/>
        <v>1596.9792</v>
      </c>
      <c r="X891" s="3">
        <v>11.37</v>
      </c>
      <c r="Y891" s="5">
        <f t="shared" si="83"/>
        <v>1608.3491999999999</v>
      </c>
    </row>
    <row r="892" spans="1:25" x14ac:dyDescent="0.2">
      <c r="A892" t="s">
        <v>1738</v>
      </c>
      <c r="B892" s="1">
        <v>42585</v>
      </c>
      <c r="C892" s="2" t="str">
        <f t="shared" si="78"/>
        <v>2016</v>
      </c>
      <c r="D892" s="2" t="s">
        <v>345</v>
      </c>
      <c r="E892" s="2" t="s">
        <v>271</v>
      </c>
      <c r="F892" s="2" t="s">
        <v>36</v>
      </c>
      <c r="G892" s="2" t="s">
        <v>37</v>
      </c>
      <c r="H892" s="2" t="s">
        <v>42</v>
      </c>
      <c r="I892" s="2" t="s">
        <v>102</v>
      </c>
      <c r="J892" s="2" t="s">
        <v>52</v>
      </c>
      <c r="K892" s="2" t="s">
        <v>295</v>
      </c>
      <c r="L892" s="2" t="s">
        <v>32</v>
      </c>
      <c r="M892" s="2" t="s">
        <v>58</v>
      </c>
      <c r="N892" s="2" t="s">
        <v>27</v>
      </c>
      <c r="O892" s="1">
        <v>42586</v>
      </c>
      <c r="P892" s="3">
        <v>4.79</v>
      </c>
      <c r="Q892" s="3">
        <v>11.97</v>
      </c>
      <c r="R892" s="3">
        <f t="shared" si="79"/>
        <v>7.1800000000000006</v>
      </c>
      <c r="S892" s="2">
        <v>49</v>
      </c>
      <c r="T892" s="3">
        <f t="shared" si="80"/>
        <v>586.53000000000009</v>
      </c>
      <c r="U892" s="4">
        <v>0.09</v>
      </c>
      <c r="V892" s="6">
        <f t="shared" si="81"/>
        <v>52.787700000000008</v>
      </c>
      <c r="W892" s="6">
        <f t="shared" si="82"/>
        <v>533.74230000000011</v>
      </c>
      <c r="X892" s="3">
        <v>5.81</v>
      </c>
      <c r="Y892" s="5">
        <f t="shared" si="83"/>
        <v>539.55230000000006</v>
      </c>
    </row>
    <row r="893" spans="1:25" x14ac:dyDescent="0.2">
      <c r="A893" t="s">
        <v>1739</v>
      </c>
      <c r="B893" s="1">
        <v>42586</v>
      </c>
      <c r="C893" s="2" t="str">
        <f t="shared" si="78"/>
        <v>2016</v>
      </c>
      <c r="D893" s="2" t="s">
        <v>344</v>
      </c>
      <c r="E893" s="2" t="s">
        <v>65</v>
      </c>
      <c r="F893" s="2" t="s">
        <v>36</v>
      </c>
      <c r="G893" s="2" t="s">
        <v>37</v>
      </c>
      <c r="H893" s="2" t="s">
        <v>50</v>
      </c>
      <c r="I893" s="2" t="s">
        <v>43</v>
      </c>
      <c r="J893" s="2" t="s">
        <v>44</v>
      </c>
      <c r="K893" s="2" t="s">
        <v>174</v>
      </c>
      <c r="L893" s="2" t="s">
        <v>25</v>
      </c>
      <c r="M893" s="2" t="s">
        <v>26</v>
      </c>
      <c r="N893" s="2" t="s">
        <v>27</v>
      </c>
      <c r="O893" s="1">
        <v>42588</v>
      </c>
      <c r="P893" s="3">
        <v>54.52</v>
      </c>
      <c r="Q893" s="3">
        <v>100.97</v>
      </c>
      <c r="R893" s="3">
        <f t="shared" si="79"/>
        <v>46.449999999999996</v>
      </c>
      <c r="S893" s="2">
        <v>41</v>
      </c>
      <c r="T893" s="3">
        <f t="shared" si="80"/>
        <v>4139.7699999999995</v>
      </c>
      <c r="U893" s="4">
        <v>0.03</v>
      </c>
      <c r="V893" s="6">
        <f t="shared" si="81"/>
        <v>124.19309999999999</v>
      </c>
      <c r="W893" s="6">
        <f t="shared" si="82"/>
        <v>4015.5768999999996</v>
      </c>
      <c r="X893" s="3">
        <v>7.18</v>
      </c>
      <c r="Y893" s="5">
        <f t="shared" si="83"/>
        <v>4022.7568999999994</v>
      </c>
    </row>
    <row r="894" spans="1:25" x14ac:dyDescent="0.2">
      <c r="A894" t="s">
        <v>1740</v>
      </c>
      <c r="B894" s="1">
        <v>42587</v>
      </c>
      <c r="C894" s="2" t="str">
        <f t="shared" si="78"/>
        <v>2016</v>
      </c>
      <c r="D894" s="2" t="s">
        <v>343</v>
      </c>
      <c r="E894" s="2" t="s">
        <v>1918</v>
      </c>
      <c r="F894" s="2" t="s">
        <v>36</v>
      </c>
      <c r="G894" s="2" t="s">
        <v>37</v>
      </c>
      <c r="H894" s="2" t="s">
        <v>50</v>
      </c>
      <c r="I894" s="2" t="s">
        <v>75</v>
      </c>
      <c r="J894" s="2" t="s">
        <v>44</v>
      </c>
      <c r="K894" s="2" t="s">
        <v>125</v>
      </c>
      <c r="L894" s="2" t="s">
        <v>32</v>
      </c>
      <c r="M894" s="2" t="s">
        <v>33</v>
      </c>
      <c r="N894" s="2" t="s">
        <v>27</v>
      </c>
      <c r="O894" s="1">
        <v>42588</v>
      </c>
      <c r="P894" s="3">
        <v>1.17</v>
      </c>
      <c r="Q894" s="3">
        <v>2.78</v>
      </c>
      <c r="R894" s="3">
        <f t="shared" si="79"/>
        <v>1.6099999999999999</v>
      </c>
      <c r="S894" s="2">
        <v>6</v>
      </c>
      <c r="T894" s="3">
        <f t="shared" si="80"/>
        <v>16.68</v>
      </c>
      <c r="U894" s="4">
        <v>0.01</v>
      </c>
      <c r="V894" s="6">
        <f t="shared" si="81"/>
        <v>0.1668</v>
      </c>
      <c r="W894" s="6">
        <f t="shared" si="82"/>
        <v>16.513200000000001</v>
      </c>
      <c r="X894" s="3">
        <v>1.2</v>
      </c>
      <c r="Y894" s="5">
        <f t="shared" si="83"/>
        <v>17.713200000000001</v>
      </c>
    </row>
    <row r="895" spans="1:25" x14ac:dyDescent="0.2">
      <c r="A895" t="s">
        <v>1741</v>
      </c>
      <c r="B895" s="1">
        <v>42589</v>
      </c>
      <c r="C895" s="2" t="str">
        <f t="shared" si="78"/>
        <v>2016</v>
      </c>
      <c r="D895" s="2" t="s">
        <v>341</v>
      </c>
      <c r="E895" s="2" t="s">
        <v>176</v>
      </c>
      <c r="F895" s="2" t="s">
        <v>36</v>
      </c>
      <c r="G895" s="2" t="s">
        <v>37</v>
      </c>
      <c r="H895" s="2" t="s">
        <v>29</v>
      </c>
      <c r="I895" s="2" t="s">
        <v>102</v>
      </c>
      <c r="J895" s="2" t="s">
        <v>52</v>
      </c>
      <c r="K895" s="2" t="s">
        <v>342</v>
      </c>
      <c r="L895" s="2" t="s">
        <v>32</v>
      </c>
      <c r="M895" s="2" t="s">
        <v>26</v>
      </c>
      <c r="N895" s="2" t="s">
        <v>27</v>
      </c>
      <c r="O895" s="1">
        <v>42590</v>
      </c>
      <c r="P895" s="3">
        <v>52.04</v>
      </c>
      <c r="Q895" s="3">
        <v>83.93</v>
      </c>
      <c r="R895" s="3">
        <f t="shared" si="79"/>
        <v>31.890000000000008</v>
      </c>
      <c r="S895" s="2">
        <v>37</v>
      </c>
      <c r="T895" s="3">
        <f t="shared" si="80"/>
        <v>3105.4100000000003</v>
      </c>
      <c r="U895" s="4">
        <v>0.03</v>
      </c>
      <c r="V895" s="6">
        <f t="shared" si="81"/>
        <v>93.162300000000002</v>
      </c>
      <c r="W895" s="6">
        <f t="shared" si="82"/>
        <v>3012.2477000000003</v>
      </c>
      <c r="X895" s="3">
        <v>19.989999999999998</v>
      </c>
      <c r="Y895" s="5">
        <f t="shared" si="83"/>
        <v>3032.2377000000001</v>
      </c>
    </row>
    <row r="896" spans="1:25" x14ac:dyDescent="0.2">
      <c r="A896" t="s">
        <v>1742</v>
      </c>
      <c r="B896" s="1">
        <v>42590</v>
      </c>
      <c r="C896" s="2" t="str">
        <f t="shared" si="78"/>
        <v>2016</v>
      </c>
      <c r="D896" s="2" t="s">
        <v>340</v>
      </c>
      <c r="E896" s="2" t="s">
        <v>286</v>
      </c>
      <c r="F896" s="2" t="s">
        <v>36</v>
      </c>
      <c r="G896" s="2" t="s">
        <v>37</v>
      </c>
      <c r="H896" s="2" t="s">
        <v>21</v>
      </c>
      <c r="I896" s="2" t="s">
        <v>102</v>
      </c>
      <c r="J896" s="2" t="s">
        <v>44</v>
      </c>
      <c r="K896" s="2" t="s">
        <v>134</v>
      </c>
      <c r="L896" s="2" t="s">
        <v>32</v>
      </c>
      <c r="M896" s="2" t="s">
        <v>26</v>
      </c>
      <c r="N896" s="2" t="s">
        <v>27</v>
      </c>
      <c r="O896" s="1">
        <v>42591</v>
      </c>
      <c r="P896" s="3">
        <v>2.4500000000000002</v>
      </c>
      <c r="Q896" s="3">
        <v>3.89</v>
      </c>
      <c r="R896" s="3">
        <f t="shared" si="79"/>
        <v>1.44</v>
      </c>
      <c r="S896" s="2">
        <v>18</v>
      </c>
      <c r="T896" s="3">
        <f t="shared" si="80"/>
        <v>70.02</v>
      </c>
      <c r="U896" s="4">
        <v>0.04</v>
      </c>
      <c r="V896" s="6">
        <f t="shared" si="81"/>
        <v>2.8007999999999997</v>
      </c>
      <c r="W896" s="6">
        <f t="shared" si="82"/>
        <v>67.219200000000001</v>
      </c>
      <c r="X896" s="3">
        <v>7.01</v>
      </c>
      <c r="Y896" s="5">
        <f t="shared" si="83"/>
        <v>74.229200000000006</v>
      </c>
    </row>
    <row r="897" spans="1:25" x14ac:dyDescent="0.2">
      <c r="A897" t="s">
        <v>1743</v>
      </c>
      <c r="B897" s="1">
        <v>42593</v>
      </c>
      <c r="C897" s="2" t="str">
        <f t="shared" si="78"/>
        <v>2016</v>
      </c>
      <c r="D897" s="2" t="s">
        <v>335</v>
      </c>
      <c r="E897" s="2" t="s">
        <v>336</v>
      </c>
      <c r="F897" s="2" t="s">
        <v>36</v>
      </c>
      <c r="G897" s="2" t="s">
        <v>37</v>
      </c>
      <c r="H897" s="2" t="s">
        <v>29</v>
      </c>
      <c r="I897" s="2" t="s">
        <v>79</v>
      </c>
      <c r="J897" s="2" t="s">
        <v>44</v>
      </c>
      <c r="K897" s="2" t="s">
        <v>337</v>
      </c>
      <c r="L897" s="2" t="s">
        <v>32</v>
      </c>
      <c r="M897" s="2" t="s">
        <v>26</v>
      </c>
      <c r="N897" s="2" t="s">
        <v>27</v>
      </c>
      <c r="O897" s="1">
        <v>42595</v>
      </c>
      <c r="P897" s="3">
        <v>2.29</v>
      </c>
      <c r="Q897" s="3">
        <v>3.69</v>
      </c>
      <c r="R897" s="3">
        <f t="shared" si="79"/>
        <v>1.4</v>
      </c>
      <c r="S897" s="2">
        <v>13</v>
      </c>
      <c r="T897" s="3">
        <f t="shared" si="80"/>
        <v>47.97</v>
      </c>
      <c r="U897" s="4">
        <v>0.04</v>
      </c>
      <c r="V897" s="6">
        <f t="shared" si="81"/>
        <v>1.9188000000000001</v>
      </c>
      <c r="W897" s="6">
        <f t="shared" si="82"/>
        <v>46.051200000000001</v>
      </c>
      <c r="X897" s="3">
        <v>0.5</v>
      </c>
      <c r="Y897" s="5">
        <f t="shared" si="83"/>
        <v>46.551200000000001</v>
      </c>
    </row>
    <row r="898" spans="1:25" x14ac:dyDescent="0.2">
      <c r="A898" t="s">
        <v>1744</v>
      </c>
      <c r="B898" s="1">
        <v>42593</v>
      </c>
      <c r="C898" s="2" t="str">
        <f t="shared" si="78"/>
        <v>2016</v>
      </c>
      <c r="D898" s="2" t="s">
        <v>338</v>
      </c>
      <c r="E898" s="2" t="s">
        <v>339</v>
      </c>
      <c r="F898" s="2" t="s">
        <v>36</v>
      </c>
      <c r="G898" s="2" t="s">
        <v>37</v>
      </c>
      <c r="H898" s="2" t="s">
        <v>50</v>
      </c>
      <c r="I898" s="2" t="s">
        <v>79</v>
      </c>
      <c r="J898" s="2" t="s">
        <v>30</v>
      </c>
      <c r="K898" s="2" t="s">
        <v>155</v>
      </c>
      <c r="L898" s="2" t="s">
        <v>32</v>
      </c>
      <c r="M898" s="2" t="s">
        <v>33</v>
      </c>
      <c r="N898" s="2" t="s">
        <v>27</v>
      </c>
      <c r="O898" s="1">
        <v>42595</v>
      </c>
      <c r="P898" s="3">
        <v>0.24</v>
      </c>
      <c r="Q898" s="3">
        <v>1.26</v>
      </c>
      <c r="R898" s="3">
        <f t="shared" si="79"/>
        <v>1.02</v>
      </c>
      <c r="S898" s="2">
        <v>34</v>
      </c>
      <c r="T898" s="3">
        <f t="shared" si="80"/>
        <v>42.84</v>
      </c>
      <c r="U898" s="4">
        <v>0</v>
      </c>
      <c r="V898" s="6">
        <f t="shared" si="81"/>
        <v>0</v>
      </c>
      <c r="W898" s="6">
        <f t="shared" si="82"/>
        <v>42.84</v>
      </c>
      <c r="X898" s="3">
        <v>0.7</v>
      </c>
      <c r="Y898" s="5">
        <f t="shared" si="83"/>
        <v>43.540000000000006</v>
      </c>
    </row>
    <row r="899" spans="1:25" x14ac:dyDescent="0.2">
      <c r="A899" t="s">
        <v>1745</v>
      </c>
      <c r="B899" s="1">
        <v>42597</v>
      </c>
      <c r="C899" s="2" t="str">
        <f t="shared" si="78"/>
        <v>2016</v>
      </c>
      <c r="D899" s="2" t="s">
        <v>106</v>
      </c>
      <c r="E899" s="2" t="s">
        <v>107</v>
      </c>
      <c r="F899" s="2" t="s">
        <v>36</v>
      </c>
      <c r="G899" s="2" t="s">
        <v>37</v>
      </c>
      <c r="H899" s="2" t="s">
        <v>50</v>
      </c>
      <c r="I899" s="2" t="s">
        <v>83</v>
      </c>
      <c r="J899" s="2" t="s">
        <v>23</v>
      </c>
      <c r="K899" s="2" t="s">
        <v>134</v>
      </c>
      <c r="L899" s="2" t="s">
        <v>32</v>
      </c>
      <c r="M899" s="2" t="s">
        <v>26</v>
      </c>
      <c r="N899" s="2" t="s">
        <v>89</v>
      </c>
      <c r="O899" s="1">
        <v>42602</v>
      </c>
      <c r="P899" s="3">
        <v>2.4500000000000002</v>
      </c>
      <c r="Q899" s="3">
        <v>3.89</v>
      </c>
      <c r="R899" s="3">
        <f t="shared" si="79"/>
        <v>1.44</v>
      </c>
      <c r="S899" s="2">
        <v>30</v>
      </c>
      <c r="T899" s="3">
        <f t="shared" si="80"/>
        <v>116.7</v>
      </c>
      <c r="U899" s="4">
        <v>0.09</v>
      </c>
      <c r="V899" s="6">
        <f t="shared" si="81"/>
        <v>10.503</v>
      </c>
      <c r="W899" s="6">
        <f t="shared" si="82"/>
        <v>106.197</v>
      </c>
      <c r="X899" s="3">
        <v>7.01</v>
      </c>
      <c r="Y899" s="5">
        <f t="shared" si="83"/>
        <v>113.20700000000001</v>
      </c>
    </row>
    <row r="900" spans="1:25" x14ac:dyDescent="0.2">
      <c r="A900" t="s">
        <v>1746</v>
      </c>
      <c r="B900" s="1">
        <v>42599</v>
      </c>
      <c r="C900" s="2" t="str">
        <f t="shared" si="78"/>
        <v>2016</v>
      </c>
      <c r="D900" s="2" t="s">
        <v>333</v>
      </c>
      <c r="E900" s="2" t="s">
        <v>202</v>
      </c>
      <c r="F900" s="2" t="s">
        <v>19</v>
      </c>
      <c r="G900" s="2" t="s">
        <v>20</v>
      </c>
      <c r="H900" s="2" t="s">
        <v>29</v>
      </c>
      <c r="I900" s="2" t="s">
        <v>22</v>
      </c>
      <c r="J900" s="2" t="s">
        <v>44</v>
      </c>
      <c r="K900" s="2" t="s">
        <v>334</v>
      </c>
      <c r="L900" s="2" t="s">
        <v>32</v>
      </c>
      <c r="M900" s="2" t="s">
        <v>33</v>
      </c>
      <c r="N900" s="2" t="s">
        <v>27</v>
      </c>
      <c r="O900" s="1">
        <v>42600</v>
      </c>
      <c r="P900" s="3">
        <v>2.9</v>
      </c>
      <c r="Q900" s="3">
        <v>4.76</v>
      </c>
      <c r="R900" s="3">
        <f t="shared" si="79"/>
        <v>1.8599999999999999</v>
      </c>
      <c r="S900" s="2">
        <v>1</v>
      </c>
      <c r="T900" s="3">
        <f t="shared" si="80"/>
        <v>4.76</v>
      </c>
      <c r="U900" s="4">
        <v>0.02</v>
      </c>
      <c r="V900" s="6">
        <f t="shared" si="81"/>
        <v>9.5199999999999993E-2</v>
      </c>
      <c r="W900" s="6">
        <f t="shared" si="82"/>
        <v>4.6647999999999996</v>
      </c>
      <c r="X900" s="3">
        <v>0.88</v>
      </c>
      <c r="Y900" s="5">
        <f t="shared" si="83"/>
        <v>5.5447999999999995</v>
      </c>
    </row>
    <row r="901" spans="1:25" x14ac:dyDescent="0.2">
      <c r="A901" t="s">
        <v>1747</v>
      </c>
      <c r="B901" s="1">
        <v>42600</v>
      </c>
      <c r="C901" s="2" t="str">
        <f t="shared" si="78"/>
        <v>2016</v>
      </c>
      <c r="D901" s="2" t="s">
        <v>329</v>
      </c>
      <c r="E901" s="2" t="s">
        <v>1893</v>
      </c>
      <c r="F901" s="2" t="s">
        <v>1881</v>
      </c>
      <c r="G901" s="2" t="s">
        <v>1882</v>
      </c>
      <c r="H901" s="2" t="s">
        <v>21</v>
      </c>
      <c r="I901" s="2" t="s">
        <v>153</v>
      </c>
      <c r="J901" s="2" t="s">
        <v>44</v>
      </c>
      <c r="K901" s="2" t="s">
        <v>330</v>
      </c>
      <c r="L901" s="2" t="s">
        <v>32</v>
      </c>
      <c r="M901" s="2" t="s">
        <v>26</v>
      </c>
      <c r="N901" s="2" t="s">
        <v>89</v>
      </c>
      <c r="O901" s="1">
        <v>42602</v>
      </c>
      <c r="P901" s="3">
        <v>4.53</v>
      </c>
      <c r="Q901" s="3">
        <v>7.3</v>
      </c>
      <c r="R901" s="3">
        <f t="shared" si="79"/>
        <v>2.7699999999999996</v>
      </c>
      <c r="S901" s="2">
        <v>41</v>
      </c>
      <c r="T901" s="3">
        <f t="shared" si="80"/>
        <v>299.3</v>
      </c>
      <c r="U901" s="4">
        <v>0.05</v>
      </c>
      <c r="V901" s="6">
        <f t="shared" si="81"/>
        <v>14.965000000000002</v>
      </c>
      <c r="W901" s="6">
        <f t="shared" si="82"/>
        <v>284.33500000000004</v>
      </c>
      <c r="X901" s="3">
        <v>7.72</v>
      </c>
      <c r="Y901" s="5">
        <f t="shared" si="83"/>
        <v>292.05500000000006</v>
      </c>
    </row>
    <row r="902" spans="1:25" x14ac:dyDescent="0.2">
      <c r="A902" t="s">
        <v>1748</v>
      </c>
      <c r="B902" s="1">
        <v>42600</v>
      </c>
      <c r="C902" s="2" t="str">
        <f t="shared" ref="C902:C965" si="84">TEXT(B902,"yyyy")</f>
        <v>2016</v>
      </c>
      <c r="D902" s="2" t="s">
        <v>331</v>
      </c>
      <c r="E902" s="2" t="s">
        <v>46</v>
      </c>
      <c r="F902" s="2" t="s">
        <v>19</v>
      </c>
      <c r="G902" s="2" t="s">
        <v>20</v>
      </c>
      <c r="H902" s="2" t="s">
        <v>21</v>
      </c>
      <c r="I902" s="2" t="s">
        <v>22</v>
      </c>
      <c r="J902" s="2" t="s">
        <v>23</v>
      </c>
      <c r="K902" s="2" t="s">
        <v>332</v>
      </c>
      <c r="L902" s="2" t="s">
        <v>32</v>
      </c>
      <c r="M902" s="2" t="s">
        <v>26</v>
      </c>
      <c r="N902" s="2" t="s">
        <v>27</v>
      </c>
      <c r="O902" s="1">
        <v>42604</v>
      </c>
      <c r="P902" s="3">
        <v>2.25</v>
      </c>
      <c r="Q902" s="3">
        <v>3.69</v>
      </c>
      <c r="R902" s="3">
        <f t="shared" ref="R902:R965" si="85">Q902-P902</f>
        <v>1.44</v>
      </c>
      <c r="S902" s="2">
        <v>16</v>
      </c>
      <c r="T902" s="3">
        <f t="shared" ref="T902:T965" si="86">Q902*S902</f>
        <v>59.04</v>
      </c>
      <c r="U902" s="4">
        <v>0.02</v>
      </c>
      <c r="V902" s="6">
        <f t="shared" ref="V902:V965" si="87">T902*U902</f>
        <v>1.1808000000000001</v>
      </c>
      <c r="W902" s="6">
        <f t="shared" ref="W902:W965" si="88">T902-V902</f>
        <v>57.859200000000001</v>
      </c>
      <c r="X902" s="3">
        <v>2.5</v>
      </c>
      <c r="Y902" s="5">
        <f t="shared" ref="Y902:Y965" si="89">W902+X902</f>
        <v>60.359200000000001</v>
      </c>
    </row>
    <row r="903" spans="1:25" x14ac:dyDescent="0.2">
      <c r="A903" t="s">
        <v>1749</v>
      </c>
      <c r="B903" s="1">
        <v>42602</v>
      </c>
      <c r="C903" s="2" t="str">
        <f t="shared" si="84"/>
        <v>2016</v>
      </c>
      <c r="D903" s="2" t="s">
        <v>328</v>
      </c>
      <c r="E903" s="2" t="s">
        <v>251</v>
      </c>
      <c r="F903" s="2" t="s">
        <v>19</v>
      </c>
      <c r="G903" s="2" t="s">
        <v>20</v>
      </c>
      <c r="H903" s="2" t="s">
        <v>29</v>
      </c>
      <c r="I903" s="2" t="s">
        <v>92</v>
      </c>
      <c r="J903" s="2" t="s">
        <v>23</v>
      </c>
      <c r="K903" s="2" t="s">
        <v>278</v>
      </c>
      <c r="L903" s="2" t="s">
        <v>32</v>
      </c>
      <c r="M903" s="2" t="s">
        <v>33</v>
      </c>
      <c r="N903" s="2" t="s">
        <v>27</v>
      </c>
      <c r="O903" s="1">
        <v>42607</v>
      </c>
      <c r="P903" s="3">
        <v>2.31</v>
      </c>
      <c r="Q903" s="3">
        <v>3.78</v>
      </c>
      <c r="R903" s="3">
        <f t="shared" si="85"/>
        <v>1.4699999999999998</v>
      </c>
      <c r="S903" s="2">
        <v>28</v>
      </c>
      <c r="T903" s="3">
        <f t="shared" si="86"/>
        <v>105.83999999999999</v>
      </c>
      <c r="U903" s="4">
        <v>0.06</v>
      </c>
      <c r="V903" s="6">
        <f t="shared" si="87"/>
        <v>6.3503999999999987</v>
      </c>
      <c r="W903" s="6">
        <f t="shared" si="88"/>
        <v>99.489599999999996</v>
      </c>
      <c r="X903" s="3">
        <v>0.71</v>
      </c>
      <c r="Y903" s="5">
        <f t="shared" si="89"/>
        <v>100.19959999999999</v>
      </c>
    </row>
    <row r="904" spans="1:25" x14ac:dyDescent="0.2">
      <c r="A904" t="s">
        <v>1750</v>
      </c>
      <c r="B904" s="1">
        <v>42605</v>
      </c>
      <c r="C904" s="2" t="str">
        <f t="shared" si="84"/>
        <v>2016</v>
      </c>
      <c r="D904" s="2" t="s">
        <v>327</v>
      </c>
      <c r="E904" s="2" t="s">
        <v>244</v>
      </c>
      <c r="F904" s="2" t="s">
        <v>36</v>
      </c>
      <c r="G904" s="2" t="s">
        <v>37</v>
      </c>
      <c r="H904" s="2" t="s">
        <v>50</v>
      </c>
      <c r="I904" s="2" t="s">
        <v>75</v>
      </c>
      <c r="J904" s="2" t="s">
        <v>52</v>
      </c>
      <c r="K904" s="2" t="s">
        <v>323</v>
      </c>
      <c r="L904" s="2" t="s">
        <v>32</v>
      </c>
      <c r="M904" s="2" t="s">
        <v>33</v>
      </c>
      <c r="N904" s="2" t="s">
        <v>27</v>
      </c>
      <c r="O904" s="1">
        <v>42607</v>
      </c>
      <c r="P904" s="3">
        <v>11.11</v>
      </c>
      <c r="Q904" s="3">
        <v>19.84</v>
      </c>
      <c r="R904" s="3">
        <f t="shared" si="85"/>
        <v>8.73</v>
      </c>
      <c r="S904" s="2">
        <v>22</v>
      </c>
      <c r="T904" s="3">
        <f t="shared" si="86"/>
        <v>436.48</v>
      </c>
      <c r="U904" s="4">
        <v>0.06</v>
      </c>
      <c r="V904" s="6">
        <f t="shared" si="87"/>
        <v>26.188800000000001</v>
      </c>
      <c r="W904" s="6">
        <f t="shared" si="88"/>
        <v>410.2912</v>
      </c>
      <c r="X904" s="3">
        <v>4.0999999999999996</v>
      </c>
      <c r="Y904" s="5">
        <f t="shared" si="89"/>
        <v>414.39120000000003</v>
      </c>
    </row>
    <row r="905" spans="1:25" x14ac:dyDescent="0.2">
      <c r="A905" t="s">
        <v>1751</v>
      </c>
      <c r="B905" s="1">
        <v>42606</v>
      </c>
      <c r="C905" s="2" t="str">
        <f t="shared" si="84"/>
        <v>2016</v>
      </c>
      <c r="D905" s="2" t="s">
        <v>317</v>
      </c>
      <c r="E905" s="2" t="s">
        <v>318</v>
      </c>
      <c r="F905" s="2" t="s">
        <v>36</v>
      </c>
      <c r="G905" s="2" t="s">
        <v>37</v>
      </c>
      <c r="H905" s="2" t="s">
        <v>21</v>
      </c>
      <c r="I905" s="2" t="s">
        <v>56</v>
      </c>
      <c r="J905" s="2" t="s">
        <v>23</v>
      </c>
      <c r="K905" s="2" t="s">
        <v>319</v>
      </c>
      <c r="L905" s="2" t="s">
        <v>25</v>
      </c>
      <c r="M905" s="2" t="s">
        <v>26</v>
      </c>
      <c r="N905" s="2" t="s">
        <v>27</v>
      </c>
      <c r="O905" s="1">
        <v>42606</v>
      </c>
      <c r="P905" s="3">
        <v>19.78</v>
      </c>
      <c r="Q905" s="3">
        <v>45.99</v>
      </c>
      <c r="R905" s="3">
        <f t="shared" si="85"/>
        <v>26.21</v>
      </c>
      <c r="S905" s="2">
        <v>46</v>
      </c>
      <c r="T905" s="3">
        <f t="shared" si="86"/>
        <v>2115.54</v>
      </c>
      <c r="U905" s="4">
        <v>0.1</v>
      </c>
      <c r="V905" s="6">
        <f t="shared" si="87"/>
        <v>211.554</v>
      </c>
      <c r="W905" s="6">
        <f t="shared" si="88"/>
        <v>1903.9859999999999</v>
      </c>
      <c r="X905" s="3">
        <v>4.99</v>
      </c>
      <c r="Y905" s="5">
        <f t="shared" si="89"/>
        <v>1908.9759999999999</v>
      </c>
    </row>
    <row r="906" spans="1:25" x14ac:dyDescent="0.2">
      <c r="A906" t="s">
        <v>1752</v>
      </c>
      <c r="B906" s="1">
        <v>42606</v>
      </c>
      <c r="C906" s="2" t="str">
        <f t="shared" si="84"/>
        <v>2016</v>
      </c>
      <c r="D906" s="2" t="s">
        <v>320</v>
      </c>
      <c r="E906" s="2" t="s">
        <v>254</v>
      </c>
      <c r="F906" s="2" t="s">
        <v>19</v>
      </c>
      <c r="G906" s="2" t="s">
        <v>20</v>
      </c>
      <c r="H906" s="2" t="s">
        <v>42</v>
      </c>
      <c r="I906" s="2" t="s">
        <v>92</v>
      </c>
      <c r="J906" s="2" t="s">
        <v>52</v>
      </c>
      <c r="K906" s="2" t="s">
        <v>47</v>
      </c>
      <c r="L906" s="2" t="s">
        <v>32</v>
      </c>
      <c r="M906" s="2" t="s">
        <v>26</v>
      </c>
      <c r="N906" s="2" t="s">
        <v>27</v>
      </c>
      <c r="O906" s="1">
        <v>42609</v>
      </c>
      <c r="P906" s="3">
        <v>1.59</v>
      </c>
      <c r="Q906" s="3">
        <v>2.61</v>
      </c>
      <c r="R906" s="3">
        <f t="shared" si="85"/>
        <v>1.0199999999999998</v>
      </c>
      <c r="S906" s="2">
        <v>34</v>
      </c>
      <c r="T906" s="3">
        <f t="shared" si="86"/>
        <v>88.74</v>
      </c>
      <c r="U906" s="4">
        <v>0</v>
      </c>
      <c r="V906" s="6">
        <f t="shared" si="87"/>
        <v>0</v>
      </c>
      <c r="W906" s="6">
        <f t="shared" si="88"/>
        <v>88.74</v>
      </c>
      <c r="X906" s="3">
        <v>0.5</v>
      </c>
      <c r="Y906" s="5">
        <f t="shared" si="89"/>
        <v>89.24</v>
      </c>
    </row>
    <row r="907" spans="1:25" x14ac:dyDescent="0.2">
      <c r="A907" t="s">
        <v>935</v>
      </c>
      <c r="B907" s="1">
        <v>42606</v>
      </c>
      <c r="C907" s="2" t="str">
        <f t="shared" si="84"/>
        <v>2016</v>
      </c>
      <c r="D907" s="2" t="s">
        <v>321</v>
      </c>
      <c r="E907" s="2" t="s">
        <v>1894</v>
      </c>
      <c r="F907" s="2" t="s">
        <v>1881</v>
      </c>
      <c r="G907" s="2" t="s">
        <v>1882</v>
      </c>
      <c r="H907" s="2" t="s">
        <v>21</v>
      </c>
      <c r="I907" s="2" t="s">
        <v>124</v>
      </c>
      <c r="J907" s="2" t="s">
        <v>23</v>
      </c>
      <c r="K907" s="2" t="s">
        <v>322</v>
      </c>
      <c r="L907" s="2" t="s">
        <v>25</v>
      </c>
      <c r="M907" s="2" t="s">
        <v>261</v>
      </c>
      <c r="N907" s="2" t="s">
        <v>27</v>
      </c>
      <c r="O907" s="1">
        <v>42615</v>
      </c>
      <c r="P907" s="3">
        <v>377.99</v>
      </c>
      <c r="Q907" s="3">
        <v>599.99</v>
      </c>
      <c r="R907" s="3">
        <f t="shared" si="85"/>
        <v>222</v>
      </c>
      <c r="S907" s="2">
        <v>16</v>
      </c>
      <c r="T907" s="3">
        <f t="shared" si="86"/>
        <v>9599.84</v>
      </c>
      <c r="U907" s="4">
        <v>0</v>
      </c>
      <c r="V907" s="6">
        <f t="shared" si="87"/>
        <v>0</v>
      </c>
      <c r="W907" s="6">
        <f t="shared" si="88"/>
        <v>9599.84</v>
      </c>
      <c r="X907" s="3">
        <v>24.49</v>
      </c>
      <c r="Y907" s="5">
        <f t="shared" si="89"/>
        <v>9624.33</v>
      </c>
    </row>
    <row r="908" spans="1:25" x14ac:dyDescent="0.2">
      <c r="A908" t="s">
        <v>936</v>
      </c>
      <c r="B908" s="1">
        <v>42606</v>
      </c>
      <c r="C908" s="2" t="str">
        <f t="shared" si="84"/>
        <v>2016</v>
      </c>
      <c r="D908" s="2" t="s">
        <v>321</v>
      </c>
      <c r="E908" s="2" t="s">
        <v>1894</v>
      </c>
      <c r="F908" s="2" t="s">
        <v>1881</v>
      </c>
      <c r="G908" s="2" t="s">
        <v>1882</v>
      </c>
      <c r="H908" s="2" t="s">
        <v>21</v>
      </c>
      <c r="I908" s="2" t="s">
        <v>124</v>
      </c>
      <c r="J908" s="2" t="s">
        <v>23</v>
      </c>
      <c r="K908" s="2" t="s">
        <v>323</v>
      </c>
      <c r="L908" s="2" t="s">
        <v>32</v>
      </c>
      <c r="M908" s="2" t="s">
        <v>33</v>
      </c>
      <c r="N908" s="2" t="s">
        <v>27</v>
      </c>
      <c r="O908" s="1">
        <v>42615</v>
      </c>
      <c r="P908" s="3">
        <v>11.11</v>
      </c>
      <c r="Q908" s="3">
        <v>19.84</v>
      </c>
      <c r="R908" s="3">
        <f t="shared" si="85"/>
        <v>8.73</v>
      </c>
      <c r="S908" s="2">
        <v>39</v>
      </c>
      <c r="T908" s="3">
        <f t="shared" si="86"/>
        <v>773.76</v>
      </c>
      <c r="U908" s="4">
        <v>0.01</v>
      </c>
      <c r="V908" s="6">
        <f t="shared" si="87"/>
        <v>7.7376000000000005</v>
      </c>
      <c r="W908" s="6">
        <f t="shared" si="88"/>
        <v>766.02239999999995</v>
      </c>
      <c r="X908" s="3">
        <v>4.0999999999999996</v>
      </c>
      <c r="Y908" s="5">
        <f t="shared" si="89"/>
        <v>770.12239999999997</v>
      </c>
    </row>
    <row r="909" spans="1:25" x14ac:dyDescent="0.2">
      <c r="A909" t="s">
        <v>1753</v>
      </c>
      <c r="B909" s="1">
        <v>42606</v>
      </c>
      <c r="C909" s="2" t="str">
        <f t="shared" si="84"/>
        <v>2016</v>
      </c>
      <c r="D909" s="2" t="s">
        <v>324</v>
      </c>
      <c r="E909" s="2" t="s">
        <v>325</v>
      </c>
      <c r="F909" s="2" t="s">
        <v>36</v>
      </c>
      <c r="G909" s="2" t="s">
        <v>37</v>
      </c>
      <c r="H909" s="2" t="s">
        <v>42</v>
      </c>
      <c r="I909" s="2" t="s">
        <v>96</v>
      </c>
      <c r="J909" s="2" t="s">
        <v>30</v>
      </c>
      <c r="K909" s="2" t="s">
        <v>125</v>
      </c>
      <c r="L909" s="2" t="s">
        <v>32</v>
      </c>
      <c r="M909" s="2" t="s">
        <v>33</v>
      </c>
      <c r="N909" s="2" t="s">
        <v>27</v>
      </c>
      <c r="O909" s="1">
        <v>42606</v>
      </c>
      <c r="P909" s="3">
        <v>1.53</v>
      </c>
      <c r="Q909" s="3">
        <v>2.78</v>
      </c>
      <c r="R909" s="3">
        <f t="shared" si="85"/>
        <v>1.2499999999999998</v>
      </c>
      <c r="S909" s="2">
        <v>23</v>
      </c>
      <c r="T909" s="3">
        <f t="shared" si="86"/>
        <v>63.94</v>
      </c>
      <c r="U909" s="4">
        <v>0.01</v>
      </c>
      <c r="V909" s="6">
        <f t="shared" si="87"/>
        <v>0.63939999999999997</v>
      </c>
      <c r="W909" s="6">
        <f t="shared" si="88"/>
        <v>63.300599999999996</v>
      </c>
      <c r="X909" s="3">
        <v>1.34</v>
      </c>
      <c r="Y909" s="5">
        <f t="shared" si="89"/>
        <v>64.640599999999992</v>
      </c>
    </row>
    <row r="910" spans="1:25" x14ac:dyDescent="0.2">
      <c r="A910" s="12" t="s">
        <v>1949</v>
      </c>
      <c r="B910" s="1">
        <v>42606</v>
      </c>
      <c r="C910" s="2" t="str">
        <f t="shared" si="84"/>
        <v>2016</v>
      </c>
      <c r="D910" s="2" t="s">
        <v>326</v>
      </c>
      <c r="E910" s="2" t="s">
        <v>199</v>
      </c>
      <c r="F910" s="2" t="s">
        <v>19</v>
      </c>
      <c r="G910" s="2" t="s">
        <v>20</v>
      </c>
      <c r="H910" s="2" t="s">
        <v>50</v>
      </c>
      <c r="I910" s="2" t="s">
        <v>92</v>
      </c>
      <c r="J910" s="2" t="s">
        <v>30</v>
      </c>
      <c r="K910" s="2" t="s">
        <v>274</v>
      </c>
      <c r="L910" s="2" t="s">
        <v>32</v>
      </c>
      <c r="M910" s="2" t="s">
        <v>26</v>
      </c>
      <c r="N910" s="2" t="s">
        <v>27</v>
      </c>
      <c r="O910" s="1">
        <v>42607</v>
      </c>
      <c r="P910" s="3">
        <v>16.850000000000001</v>
      </c>
      <c r="Q910" s="3">
        <v>27.18</v>
      </c>
      <c r="R910" s="3">
        <f t="shared" si="85"/>
        <v>10.329999999999998</v>
      </c>
      <c r="S910" s="2">
        <v>50</v>
      </c>
      <c r="T910" s="3">
        <f t="shared" si="86"/>
        <v>1359</v>
      </c>
      <c r="U910" s="4">
        <v>0.02</v>
      </c>
      <c r="V910" s="6">
        <f t="shared" si="87"/>
        <v>27.18</v>
      </c>
      <c r="W910" s="6">
        <f t="shared" si="88"/>
        <v>1331.82</v>
      </c>
      <c r="X910" s="3">
        <v>8.23</v>
      </c>
      <c r="Y910" s="5">
        <f t="shared" si="89"/>
        <v>1340.05</v>
      </c>
    </row>
    <row r="911" spans="1:25" x14ac:dyDescent="0.2">
      <c r="A911" t="s">
        <v>1754</v>
      </c>
      <c r="B911" s="1">
        <v>42609</v>
      </c>
      <c r="C911" s="2" t="str">
        <f t="shared" si="84"/>
        <v>2016</v>
      </c>
      <c r="D911" s="2" t="s">
        <v>511</v>
      </c>
      <c r="E911" s="2" t="s">
        <v>182</v>
      </c>
      <c r="F911" s="2" t="s">
        <v>36</v>
      </c>
      <c r="G911" s="2" t="s">
        <v>37</v>
      </c>
      <c r="H911" s="2" t="s">
        <v>50</v>
      </c>
      <c r="I911" s="2" t="s">
        <v>96</v>
      </c>
      <c r="J911" s="2" t="s">
        <v>44</v>
      </c>
      <c r="K911" s="2" t="s">
        <v>88</v>
      </c>
      <c r="L911" s="2" t="s">
        <v>32</v>
      </c>
      <c r="M911" s="2" t="s">
        <v>58</v>
      </c>
      <c r="N911" s="2" t="s">
        <v>89</v>
      </c>
      <c r="O911" s="1">
        <v>42610</v>
      </c>
      <c r="P911" s="3">
        <v>5.19</v>
      </c>
      <c r="Q911" s="3">
        <v>12.98</v>
      </c>
      <c r="R911" s="3">
        <f t="shared" si="85"/>
        <v>7.79</v>
      </c>
      <c r="S911" s="2">
        <v>42</v>
      </c>
      <c r="T911" s="3">
        <f t="shared" si="86"/>
        <v>545.16</v>
      </c>
      <c r="U911" s="4">
        <v>0.05</v>
      </c>
      <c r="V911" s="6">
        <f t="shared" si="87"/>
        <v>27.257999999999999</v>
      </c>
      <c r="W911" s="6">
        <f t="shared" si="88"/>
        <v>517.90199999999993</v>
      </c>
      <c r="X911" s="3">
        <v>3.14</v>
      </c>
      <c r="Y911" s="5">
        <f t="shared" si="89"/>
        <v>521.04199999999992</v>
      </c>
    </row>
    <row r="912" spans="1:25" x14ac:dyDescent="0.2">
      <c r="A912" t="s">
        <v>1755</v>
      </c>
      <c r="B912" s="1">
        <v>42613</v>
      </c>
      <c r="C912" s="2" t="str">
        <f t="shared" si="84"/>
        <v>2016</v>
      </c>
      <c r="D912" s="2" t="s">
        <v>315</v>
      </c>
      <c r="E912" s="2" t="s">
        <v>141</v>
      </c>
      <c r="F912" s="2" t="s">
        <v>36</v>
      </c>
      <c r="G912" s="2" t="s">
        <v>37</v>
      </c>
      <c r="H912" s="2" t="s">
        <v>29</v>
      </c>
      <c r="I912" s="2" t="s">
        <v>142</v>
      </c>
      <c r="J912" s="2" t="s">
        <v>66</v>
      </c>
      <c r="K912" s="2" t="s">
        <v>316</v>
      </c>
      <c r="L912" s="2" t="s">
        <v>32</v>
      </c>
      <c r="M912" s="2" t="s">
        <v>33</v>
      </c>
      <c r="N912" s="2" t="s">
        <v>27</v>
      </c>
      <c r="O912" s="1">
        <v>42615</v>
      </c>
      <c r="P912" s="3">
        <v>3.32</v>
      </c>
      <c r="Q912" s="3">
        <v>5.18</v>
      </c>
      <c r="R912" s="3">
        <f t="shared" si="85"/>
        <v>1.8599999999999999</v>
      </c>
      <c r="S912" s="2">
        <v>32</v>
      </c>
      <c r="T912" s="3">
        <f t="shared" si="86"/>
        <v>165.76</v>
      </c>
      <c r="U912" s="4">
        <v>0.06</v>
      </c>
      <c r="V912" s="6">
        <f t="shared" si="87"/>
        <v>9.9455999999999989</v>
      </c>
      <c r="W912" s="6">
        <f t="shared" si="88"/>
        <v>155.81439999999998</v>
      </c>
      <c r="X912" s="3">
        <v>2.04</v>
      </c>
      <c r="Y912" s="5">
        <f t="shared" si="89"/>
        <v>157.85439999999997</v>
      </c>
    </row>
    <row r="913" spans="1:25" x14ac:dyDescent="0.2">
      <c r="A913" t="s">
        <v>1756</v>
      </c>
      <c r="B913" s="1">
        <v>42616</v>
      </c>
      <c r="C913" s="2" t="str">
        <f t="shared" si="84"/>
        <v>2016</v>
      </c>
      <c r="D913" s="2" t="s">
        <v>314</v>
      </c>
      <c r="E913" s="2" t="s">
        <v>204</v>
      </c>
      <c r="F913" s="2" t="s">
        <v>36</v>
      </c>
      <c r="G913" s="2" t="s">
        <v>37</v>
      </c>
      <c r="H913" s="2" t="s">
        <v>50</v>
      </c>
      <c r="I913" s="2" t="s">
        <v>142</v>
      </c>
      <c r="J913" s="2" t="s">
        <v>52</v>
      </c>
      <c r="K913" s="2" t="s">
        <v>128</v>
      </c>
      <c r="L913" s="2" t="s">
        <v>25</v>
      </c>
      <c r="M913" s="2" t="s">
        <v>26</v>
      </c>
      <c r="N913" s="2" t="s">
        <v>27</v>
      </c>
      <c r="O913" s="1">
        <v>42618</v>
      </c>
      <c r="P913" s="3">
        <v>10.07</v>
      </c>
      <c r="Q913" s="3">
        <v>15.98</v>
      </c>
      <c r="R913" s="3">
        <f t="shared" si="85"/>
        <v>5.91</v>
      </c>
      <c r="S913" s="2">
        <v>30</v>
      </c>
      <c r="T913" s="3">
        <f t="shared" si="86"/>
        <v>479.40000000000003</v>
      </c>
      <c r="U913" s="4">
        <v>0.08</v>
      </c>
      <c r="V913" s="6">
        <f t="shared" si="87"/>
        <v>38.352000000000004</v>
      </c>
      <c r="W913" s="6">
        <f t="shared" si="88"/>
        <v>441.048</v>
      </c>
      <c r="X913" s="3">
        <v>4</v>
      </c>
      <c r="Y913" s="5">
        <f t="shared" si="89"/>
        <v>445.048</v>
      </c>
    </row>
    <row r="914" spans="1:25" x14ac:dyDescent="0.2">
      <c r="A914" t="s">
        <v>1757</v>
      </c>
      <c r="B914" s="1">
        <v>42617</v>
      </c>
      <c r="C914" s="2" t="str">
        <f t="shared" si="84"/>
        <v>2016</v>
      </c>
      <c r="D914" s="2" t="s">
        <v>547</v>
      </c>
      <c r="E914" s="2" t="s">
        <v>244</v>
      </c>
      <c r="F914" s="2" t="s">
        <v>36</v>
      </c>
      <c r="G914" s="2" t="s">
        <v>37</v>
      </c>
      <c r="H914" s="2" t="s">
        <v>42</v>
      </c>
      <c r="I914" s="2" t="s">
        <v>75</v>
      </c>
      <c r="J914" s="2" t="s">
        <v>30</v>
      </c>
      <c r="K914" s="2" t="s">
        <v>227</v>
      </c>
      <c r="L914" s="2" t="s">
        <v>32</v>
      </c>
      <c r="M914" s="2" t="s">
        <v>26</v>
      </c>
      <c r="N914" s="2" t="s">
        <v>27</v>
      </c>
      <c r="O914" s="1">
        <v>42620</v>
      </c>
      <c r="P914" s="3">
        <v>3.84</v>
      </c>
      <c r="Q914" s="3">
        <v>6.3</v>
      </c>
      <c r="R914" s="3">
        <f t="shared" si="85"/>
        <v>2.46</v>
      </c>
      <c r="S914" s="2">
        <v>40</v>
      </c>
      <c r="T914" s="3">
        <f t="shared" si="86"/>
        <v>252</v>
      </c>
      <c r="U914" s="4">
        <v>0.04</v>
      </c>
      <c r="V914" s="6">
        <f t="shared" si="87"/>
        <v>10.08</v>
      </c>
      <c r="W914" s="6">
        <f t="shared" si="88"/>
        <v>241.92</v>
      </c>
      <c r="X914" s="3">
        <v>0.5</v>
      </c>
      <c r="Y914" s="5">
        <f t="shared" si="89"/>
        <v>242.42</v>
      </c>
    </row>
    <row r="915" spans="1:25" x14ac:dyDescent="0.2">
      <c r="A915" t="s">
        <v>1758</v>
      </c>
      <c r="B915" s="1">
        <v>42618</v>
      </c>
      <c r="C915" s="2" t="str">
        <f t="shared" si="84"/>
        <v>2016</v>
      </c>
      <c r="D915" s="2" t="s">
        <v>312</v>
      </c>
      <c r="E915" s="2" t="s">
        <v>313</v>
      </c>
      <c r="F915" s="2" t="s">
        <v>36</v>
      </c>
      <c r="G915" s="2" t="s">
        <v>37</v>
      </c>
      <c r="H915" s="2" t="s">
        <v>29</v>
      </c>
      <c r="I915" s="2" t="s">
        <v>75</v>
      </c>
      <c r="J915" s="2" t="s">
        <v>30</v>
      </c>
      <c r="K915" s="2" t="s">
        <v>278</v>
      </c>
      <c r="L915" s="2" t="s">
        <v>32</v>
      </c>
      <c r="M915" s="2" t="s">
        <v>33</v>
      </c>
      <c r="N915" s="2" t="s">
        <v>27</v>
      </c>
      <c r="O915" s="1">
        <v>42620</v>
      </c>
      <c r="P915" s="3">
        <v>2.31</v>
      </c>
      <c r="Q915" s="3">
        <v>3.78</v>
      </c>
      <c r="R915" s="3">
        <f t="shared" si="85"/>
        <v>1.4699999999999998</v>
      </c>
      <c r="S915" s="2">
        <v>38</v>
      </c>
      <c r="T915" s="3">
        <f t="shared" si="86"/>
        <v>143.63999999999999</v>
      </c>
      <c r="U915" s="4">
        <v>0.03</v>
      </c>
      <c r="V915" s="6">
        <f t="shared" si="87"/>
        <v>4.3091999999999997</v>
      </c>
      <c r="W915" s="6">
        <f t="shared" si="88"/>
        <v>139.33079999999998</v>
      </c>
      <c r="X915" s="3">
        <v>0.71</v>
      </c>
      <c r="Y915" s="5">
        <f t="shared" si="89"/>
        <v>140.04079999999999</v>
      </c>
    </row>
    <row r="916" spans="1:25" x14ac:dyDescent="0.2">
      <c r="A916" t="s">
        <v>1759</v>
      </c>
      <c r="B916" s="1">
        <v>42619</v>
      </c>
      <c r="C916" s="2" t="str">
        <f t="shared" si="84"/>
        <v>2016</v>
      </c>
      <c r="D916" s="2" t="s">
        <v>309</v>
      </c>
      <c r="E916" s="2" t="s">
        <v>49</v>
      </c>
      <c r="F916" s="2" t="s">
        <v>36</v>
      </c>
      <c r="G916" s="2" t="s">
        <v>37</v>
      </c>
      <c r="H916" s="2" t="s">
        <v>21</v>
      </c>
      <c r="I916" s="2" t="s">
        <v>51</v>
      </c>
      <c r="J916" s="2" t="s">
        <v>30</v>
      </c>
      <c r="K916" s="2" t="s">
        <v>183</v>
      </c>
      <c r="L916" s="2" t="s">
        <v>25</v>
      </c>
      <c r="M916" s="2" t="s">
        <v>26</v>
      </c>
      <c r="N916" s="2" t="s">
        <v>89</v>
      </c>
      <c r="O916" s="1">
        <v>42621</v>
      </c>
      <c r="P916" s="3">
        <v>62.4</v>
      </c>
      <c r="Q916" s="3">
        <v>155.99</v>
      </c>
      <c r="R916" s="3">
        <f t="shared" si="85"/>
        <v>93.59</v>
      </c>
      <c r="S916" s="2">
        <v>22</v>
      </c>
      <c r="T916" s="3">
        <f t="shared" si="86"/>
        <v>3431.78</v>
      </c>
      <c r="U916" s="4">
        <v>0.02</v>
      </c>
      <c r="V916" s="6">
        <f t="shared" si="87"/>
        <v>68.635600000000011</v>
      </c>
      <c r="W916" s="6">
        <f t="shared" si="88"/>
        <v>3363.1444000000001</v>
      </c>
      <c r="X916" s="3">
        <v>8.08</v>
      </c>
      <c r="Y916" s="5">
        <f t="shared" si="89"/>
        <v>3371.2244000000001</v>
      </c>
    </row>
    <row r="917" spans="1:25" x14ac:dyDescent="0.2">
      <c r="A917" s="12" t="s">
        <v>1950</v>
      </c>
      <c r="B917" s="1">
        <v>42619</v>
      </c>
      <c r="C917" s="2" t="str">
        <f t="shared" si="84"/>
        <v>2016</v>
      </c>
      <c r="D917" s="2" t="s">
        <v>310</v>
      </c>
      <c r="E917" s="2" t="s">
        <v>138</v>
      </c>
      <c r="F917" s="2" t="s">
        <v>36</v>
      </c>
      <c r="G917" s="2" t="s">
        <v>37</v>
      </c>
      <c r="H917" s="2" t="s">
        <v>42</v>
      </c>
      <c r="I917" s="2" t="s">
        <v>51</v>
      </c>
      <c r="J917" s="2" t="s">
        <v>44</v>
      </c>
      <c r="K917" s="2" t="s">
        <v>311</v>
      </c>
      <c r="L917" s="2" t="s">
        <v>32</v>
      </c>
      <c r="M917" s="2" t="s">
        <v>33</v>
      </c>
      <c r="N917" s="2" t="s">
        <v>27</v>
      </c>
      <c r="O917" s="1">
        <v>42621</v>
      </c>
      <c r="P917" s="3">
        <v>1.92</v>
      </c>
      <c r="Q917" s="3">
        <v>3.26</v>
      </c>
      <c r="R917" s="3">
        <f t="shared" si="85"/>
        <v>1.3399999999999999</v>
      </c>
      <c r="S917" s="2">
        <v>38</v>
      </c>
      <c r="T917" s="3">
        <f t="shared" si="86"/>
        <v>123.88</v>
      </c>
      <c r="U917" s="4">
        <v>0.02</v>
      </c>
      <c r="V917" s="6">
        <f t="shared" si="87"/>
        <v>2.4775999999999998</v>
      </c>
      <c r="W917" s="6">
        <f t="shared" si="88"/>
        <v>121.4024</v>
      </c>
      <c r="X917" s="3">
        <v>1.86</v>
      </c>
      <c r="Y917" s="5">
        <f t="shared" si="89"/>
        <v>123.2624</v>
      </c>
    </row>
    <row r="918" spans="1:25" x14ac:dyDescent="0.2">
      <c r="A918" t="s">
        <v>1760</v>
      </c>
      <c r="B918" s="1">
        <v>42626</v>
      </c>
      <c r="C918" s="2" t="str">
        <f t="shared" si="84"/>
        <v>2016</v>
      </c>
      <c r="D918" s="2" t="s">
        <v>307</v>
      </c>
      <c r="E918" s="2" t="s">
        <v>138</v>
      </c>
      <c r="F918" s="2" t="s">
        <v>36</v>
      </c>
      <c r="G918" s="2" t="s">
        <v>37</v>
      </c>
      <c r="H918" s="2" t="s">
        <v>42</v>
      </c>
      <c r="I918" s="2" t="s">
        <v>51</v>
      </c>
      <c r="J918" s="2" t="s">
        <v>23</v>
      </c>
      <c r="K918" s="2" t="s">
        <v>308</v>
      </c>
      <c r="L918" s="2" t="s">
        <v>32</v>
      </c>
      <c r="M918" s="2" t="s">
        <v>26</v>
      </c>
      <c r="N918" s="2" t="s">
        <v>89</v>
      </c>
      <c r="O918" s="1">
        <v>42633</v>
      </c>
      <c r="P918" s="3">
        <v>4.03</v>
      </c>
      <c r="Q918" s="3">
        <v>9.3800000000000008</v>
      </c>
      <c r="R918" s="3">
        <f t="shared" si="85"/>
        <v>5.3500000000000005</v>
      </c>
      <c r="S918" s="2">
        <v>46</v>
      </c>
      <c r="T918" s="3">
        <f t="shared" si="86"/>
        <v>431.48</v>
      </c>
      <c r="U918" s="4">
        <v>0.09</v>
      </c>
      <c r="V918" s="6">
        <f t="shared" si="87"/>
        <v>38.833199999999998</v>
      </c>
      <c r="W918" s="6">
        <f t="shared" si="88"/>
        <v>392.64680000000004</v>
      </c>
      <c r="X918" s="3">
        <v>7.28</v>
      </c>
      <c r="Y918" s="5">
        <f t="shared" si="89"/>
        <v>399.92680000000001</v>
      </c>
    </row>
    <row r="919" spans="1:25" x14ac:dyDescent="0.2">
      <c r="A919" t="s">
        <v>1761</v>
      </c>
      <c r="B919" s="1">
        <v>42627</v>
      </c>
      <c r="C919" s="2" t="str">
        <f t="shared" si="84"/>
        <v>2016</v>
      </c>
      <c r="D919" s="2" t="s">
        <v>305</v>
      </c>
      <c r="E919" s="2" t="s">
        <v>251</v>
      </c>
      <c r="F919" s="2" t="s">
        <v>19</v>
      </c>
      <c r="G919" s="2" t="s">
        <v>20</v>
      </c>
      <c r="H919" s="2" t="s">
        <v>21</v>
      </c>
      <c r="I919" s="2" t="s">
        <v>92</v>
      </c>
      <c r="J919" s="2" t="s">
        <v>44</v>
      </c>
      <c r="K919" s="2" t="s">
        <v>306</v>
      </c>
      <c r="L919" s="2" t="s">
        <v>32</v>
      </c>
      <c r="M919" s="2" t="s">
        <v>33</v>
      </c>
      <c r="N919" s="2" t="s">
        <v>27</v>
      </c>
      <c r="O919" s="1">
        <v>42629</v>
      </c>
      <c r="P919" s="3">
        <v>1.76</v>
      </c>
      <c r="Q919" s="3">
        <v>2.94</v>
      </c>
      <c r="R919" s="3">
        <f t="shared" si="85"/>
        <v>1.18</v>
      </c>
      <c r="S919" s="2">
        <v>26</v>
      </c>
      <c r="T919" s="3">
        <f t="shared" si="86"/>
        <v>76.44</v>
      </c>
      <c r="U919" s="4">
        <v>0.03</v>
      </c>
      <c r="V919" s="6">
        <f t="shared" si="87"/>
        <v>2.2931999999999997</v>
      </c>
      <c r="W919" s="6">
        <f t="shared" si="88"/>
        <v>74.146799999999999</v>
      </c>
      <c r="X919" s="3">
        <v>0.81</v>
      </c>
      <c r="Y919" s="5">
        <f t="shared" si="89"/>
        <v>74.956800000000001</v>
      </c>
    </row>
    <row r="920" spans="1:25" x14ac:dyDescent="0.2">
      <c r="A920" t="s">
        <v>1762</v>
      </c>
      <c r="B920" s="1">
        <v>42628</v>
      </c>
      <c r="C920" s="2" t="str">
        <f t="shared" si="84"/>
        <v>2016</v>
      </c>
      <c r="D920" s="2" t="s">
        <v>303</v>
      </c>
      <c r="E920" s="2" t="s">
        <v>101</v>
      </c>
      <c r="F920" s="2" t="s">
        <v>36</v>
      </c>
      <c r="G920" s="2" t="s">
        <v>37</v>
      </c>
      <c r="H920" s="2" t="s">
        <v>42</v>
      </c>
      <c r="I920" s="2" t="s">
        <v>102</v>
      </c>
      <c r="J920" s="2" t="s">
        <v>44</v>
      </c>
      <c r="K920" s="2" t="s">
        <v>304</v>
      </c>
      <c r="L920" s="2" t="s">
        <v>25</v>
      </c>
      <c r="M920" s="2" t="s">
        <v>62</v>
      </c>
      <c r="N920" s="2" t="s">
        <v>63</v>
      </c>
      <c r="O920" s="1">
        <v>42629</v>
      </c>
      <c r="P920" s="3">
        <v>219.61</v>
      </c>
      <c r="Q920" s="3">
        <v>535.64</v>
      </c>
      <c r="R920" s="3">
        <f t="shared" si="85"/>
        <v>316.02999999999997</v>
      </c>
      <c r="S920" s="2">
        <v>44</v>
      </c>
      <c r="T920" s="3">
        <f t="shared" si="86"/>
        <v>23568.16</v>
      </c>
      <c r="U920" s="4">
        <v>0.03</v>
      </c>
      <c r="V920" s="6">
        <f t="shared" si="87"/>
        <v>707.04480000000001</v>
      </c>
      <c r="W920" s="6">
        <f t="shared" si="88"/>
        <v>22861.1152</v>
      </c>
      <c r="X920" s="3">
        <v>14.7</v>
      </c>
      <c r="Y920" s="5">
        <f t="shared" si="89"/>
        <v>22875.815200000001</v>
      </c>
    </row>
    <row r="921" spans="1:25" x14ac:dyDescent="0.2">
      <c r="A921" t="s">
        <v>1763</v>
      </c>
      <c r="B921" s="1">
        <v>42630</v>
      </c>
      <c r="C921" s="2" t="str">
        <f t="shared" si="84"/>
        <v>2016</v>
      </c>
      <c r="D921" s="2" t="s">
        <v>302</v>
      </c>
      <c r="E921" s="2" t="s">
        <v>115</v>
      </c>
      <c r="F921" s="2" t="s">
        <v>36</v>
      </c>
      <c r="G921" s="2" t="s">
        <v>37</v>
      </c>
      <c r="H921" s="2" t="s">
        <v>21</v>
      </c>
      <c r="I921" s="2" t="s">
        <v>51</v>
      </c>
      <c r="J921" s="2" t="s">
        <v>23</v>
      </c>
      <c r="K921" s="2" t="s">
        <v>24</v>
      </c>
      <c r="L921" s="2" t="s">
        <v>25</v>
      </c>
      <c r="M921" s="2" t="s">
        <v>26</v>
      </c>
      <c r="N921" s="2" t="s">
        <v>27</v>
      </c>
      <c r="O921" s="1">
        <v>42632</v>
      </c>
      <c r="P921" s="3">
        <v>6.39</v>
      </c>
      <c r="Q921" s="3">
        <v>19.98</v>
      </c>
      <c r="R921" s="3">
        <f t="shared" si="85"/>
        <v>13.59</v>
      </c>
      <c r="S921" s="2">
        <v>44</v>
      </c>
      <c r="T921" s="3">
        <f t="shared" si="86"/>
        <v>879.12</v>
      </c>
      <c r="U921" s="4">
        <v>0.03</v>
      </c>
      <c r="V921" s="6">
        <f t="shared" si="87"/>
        <v>26.3736</v>
      </c>
      <c r="W921" s="6">
        <f t="shared" si="88"/>
        <v>852.74639999999999</v>
      </c>
      <c r="X921" s="3">
        <v>4</v>
      </c>
      <c r="Y921" s="5">
        <f t="shared" si="89"/>
        <v>856.74639999999999</v>
      </c>
    </row>
    <row r="922" spans="1:25" x14ac:dyDescent="0.2">
      <c r="A922" t="s">
        <v>1764</v>
      </c>
      <c r="B922" s="1">
        <v>42631</v>
      </c>
      <c r="C922" s="2" t="str">
        <f t="shared" si="84"/>
        <v>2016</v>
      </c>
      <c r="D922" s="2" t="s">
        <v>298</v>
      </c>
      <c r="E922" s="2" t="s">
        <v>87</v>
      </c>
      <c r="F922" s="2" t="s">
        <v>36</v>
      </c>
      <c r="G922" s="2" t="s">
        <v>37</v>
      </c>
      <c r="H922" s="2" t="s">
        <v>29</v>
      </c>
      <c r="I922" s="2" t="s">
        <v>43</v>
      </c>
      <c r="J922" s="2" t="s">
        <v>23</v>
      </c>
      <c r="K922" s="2" t="s">
        <v>299</v>
      </c>
      <c r="L922" s="2" t="s">
        <v>32</v>
      </c>
      <c r="M922" s="2" t="s">
        <v>26</v>
      </c>
      <c r="N922" s="2" t="s">
        <v>27</v>
      </c>
      <c r="O922" s="1">
        <v>42631</v>
      </c>
      <c r="P922" s="3">
        <v>3.14</v>
      </c>
      <c r="Q922" s="3">
        <v>4.91</v>
      </c>
      <c r="R922" s="3">
        <f t="shared" si="85"/>
        <v>1.77</v>
      </c>
      <c r="S922" s="2">
        <v>13</v>
      </c>
      <c r="T922" s="3">
        <f t="shared" si="86"/>
        <v>63.83</v>
      </c>
      <c r="U922" s="4">
        <v>0.01</v>
      </c>
      <c r="V922" s="6">
        <f t="shared" si="87"/>
        <v>0.63829999999999998</v>
      </c>
      <c r="W922" s="6">
        <f t="shared" si="88"/>
        <v>63.191699999999997</v>
      </c>
      <c r="X922" s="3">
        <v>0.5</v>
      </c>
      <c r="Y922" s="5">
        <f t="shared" si="89"/>
        <v>63.691699999999997</v>
      </c>
    </row>
    <row r="923" spans="1:25" x14ac:dyDescent="0.2">
      <c r="A923" t="s">
        <v>937</v>
      </c>
      <c r="B923" s="1">
        <v>42631</v>
      </c>
      <c r="C923" s="2" t="str">
        <f t="shared" si="84"/>
        <v>2016</v>
      </c>
      <c r="D923" s="2" t="s">
        <v>140</v>
      </c>
      <c r="E923" s="2" t="s">
        <v>141</v>
      </c>
      <c r="F923" s="2" t="s">
        <v>36</v>
      </c>
      <c r="G923" s="2" t="s">
        <v>37</v>
      </c>
      <c r="H923" s="2" t="s">
        <v>42</v>
      </c>
      <c r="I923" s="2" t="s">
        <v>142</v>
      </c>
      <c r="J923" s="2" t="s">
        <v>30</v>
      </c>
      <c r="K923" s="2" t="s">
        <v>300</v>
      </c>
      <c r="L923" s="2" t="s">
        <v>32</v>
      </c>
      <c r="M923" s="2" t="s">
        <v>26</v>
      </c>
      <c r="N923" s="2" t="s">
        <v>27</v>
      </c>
      <c r="O923" s="1">
        <v>42633</v>
      </c>
      <c r="P923" s="3">
        <v>5.33</v>
      </c>
      <c r="Q923" s="3">
        <v>8.6</v>
      </c>
      <c r="R923" s="3">
        <f t="shared" si="85"/>
        <v>3.2699999999999996</v>
      </c>
      <c r="S923" s="2">
        <v>2</v>
      </c>
      <c r="T923" s="3">
        <f t="shared" si="86"/>
        <v>17.2</v>
      </c>
      <c r="U923" s="4">
        <v>0.03</v>
      </c>
      <c r="V923" s="6">
        <f t="shared" si="87"/>
        <v>0.51600000000000001</v>
      </c>
      <c r="W923" s="6">
        <f t="shared" si="88"/>
        <v>16.683999999999997</v>
      </c>
      <c r="X923" s="3">
        <v>6.19</v>
      </c>
      <c r="Y923" s="5">
        <f t="shared" si="89"/>
        <v>22.873999999999999</v>
      </c>
    </row>
    <row r="924" spans="1:25" x14ac:dyDescent="0.2">
      <c r="A924" t="s">
        <v>938</v>
      </c>
      <c r="B924" s="1">
        <v>42631</v>
      </c>
      <c r="C924" s="2" t="str">
        <f t="shared" si="84"/>
        <v>2016</v>
      </c>
      <c r="D924" s="2" t="s">
        <v>140</v>
      </c>
      <c r="E924" s="2" t="s">
        <v>141</v>
      </c>
      <c r="F924" s="2" t="s">
        <v>36</v>
      </c>
      <c r="G924" s="2" t="s">
        <v>37</v>
      </c>
      <c r="H924" s="2" t="s">
        <v>42</v>
      </c>
      <c r="I924" s="2" t="s">
        <v>142</v>
      </c>
      <c r="J924" s="2" t="s">
        <v>30</v>
      </c>
      <c r="K924" s="2" t="s">
        <v>301</v>
      </c>
      <c r="L924" s="2" t="s">
        <v>32</v>
      </c>
      <c r="M924" s="2" t="s">
        <v>26</v>
      </c>
      <c r="N924" s="2" t="s">
        <v>27</v>
      </c>
      <c r="O924" s="1">
        <v>42632</v>
      </c>
      <c r="P924" s="3">
        <v>67.73</v>
      </c>
      <c r="Q924" s="3">
        <v>165.2</v>
      </c>
      <c r="R924" s="3">
        <f t="shared" si="85"/>
        <v>97.469999999999985</v>
      </c>
      <c r="S924" s="2">
        <v>10</v>
      </c>
      <c r="T924" s="3">
        <f t="shared" si="86"/>
        <v>1652</v>
      </c>
      <c r="U924" s="4">
        <v>0.08</v>
      </c>
      <c r="V924" s="6">
        <f t="shared" si="87"/>
        <v>132.16</v>
      </c>
      <c r="W924" s="6">
        <f t="shared" si="88"/>
        <v>1519.84</v>
      </c>
      <c r="X924" s="3">
        <v>19.989999999999998</v>
      </c>
      <c r="Y924" s="5">
        <f t="shared" si="89"/>
        <v>1539.83</v>
      </c>
    </row>
    <row r="925" spans="1:25" x14ac:dyDescent="0.2">
      <c r="A925" t="s">
        <v>1765</v>
      </c>
      <c r="B925" s="1">
        <v>42633</v>
      </c>
      <c r="C925" s="2" t="str">
        <f t="shared" si="84"/>
        <v>2016</v>
      </c>
      <c r="D925" s="2" t="s">
        <v>294</v>
      </c>
      <c r="E925" s="2" t="s">
        <v>1922</v>
      </c>
      <c r="F925" s="2" t="s">
        <v>19</v>
      </c>
      <c r="G925" s="2" t="s">
        <v>20</v>
      </c>
      <c r="H925" s="2" t="s">
        <v>42</v>
      </c>
      <c r="I925" s="2" t="s">
        <v>22</v>
      </c>
      <c r="J925" s="2" t="s">
        <v>23</v>
      </c>
      <c r="K925" s="2" t="s">
        <v>295</v>
      </c>
      <c r="L925" s="2" t="s">
        <v>32</v>
      </c>
      <c r="M925" s="2" t="s">
        <v>58</v>
      </c>
      <c r="N925" s="2" t="s">
        <v>27</v>
      </c>
      <c r="O925" s="1">
        <v>42633</v>
      </c>
      <c r="P925" s="3">
        <v>4.79</v>
      </c>
      <c r="Q925" s="3">
        <v>11.97</v>
      </c>
      <c r="R925" s="3">
        <f t="shared" si="85"/>
        <v>7.1800000000000006</v>
      </c>
      <c r="S925" s="2">
        <v>38</v>
      </c>
      <c r="T925" s="3">
        <f t="shared" si="86"/>
        <v>454.86</v>
      </c>
      <c r="U925" s="4">
        <v>0.02</v>
      </c>
      <c r="V925" s="6">
        <f t="shared" si="87"/>
        <v>9.0972000000000008</v>
      </c>
      <c r="W925" s="6">
        <f t="shared" si="88"/>
        <v>445.76280000000003</v>
      </c>
      <c r="X925" s="3">
        <v>5.81</v>
      </c>
      <c r="Y925" s="5">
        <f t="shared" si="89"/>
        <v>451.57280000000003</v>
      </c>
    </row>
    <row r="926" spans="1:25" x14ac:dyDescent="0.2">
      <c r="A926" t="s">
        <v>1766</v>
      </c>
      <c r="B926" s="1">
        <v>42633</v>
      </c>
      <c r="C926" s="2" t="str">
        <f t="shared" si="84"/>
        <v>2016</v>
      </c>
      <c r="D926" s="2" t="s">
        <v>296</v>
      </c>
      <c r="E926" s="2" t="s">
        <v>60</v>
      </c>
      <c r="F926" s="2" t="s">
        <v>36</v>
      </c>
      <c r="G926" s="2" t="s">
        <v>37</v>
      </c>
      <c r="H926" s="2" t="s">
        <v>29</v>
      </c>
      <c r="I926" s="2" t="s">
        <v>56</v>
      </c>
      <c r="J926" s="2" t="s">
        <v>23</v>
      </c>
      <c r="K926" s="2" t="s">
        <v>297</v>
      </c>
      <c r="L926" s="2" t="s">
        <v>32</v>
      </c>
      <c r="M926" s="2" t="s">
        <v>33</v>
      </c>
      <c r="N926" s="2" t="s">
        <v>27</v>
      </c>
      <c r="O926" s="1">
        <v>42633</v>
      </c>
      <c r="P926" s="3">
        <v>3.48</v>
      </c>
      <c r="Q926" s="3">
        <v>5.43</v>
      </c>
      <c r="R926" s="3">
        <f t="shared" si="85"/>
        <v>1.9499999999999997</v>
      </c>
      <c r="S926" s="2">
        <v>12</v>
      </c>
      <c r="T926" s="3">
        <f t="shared" si="86"/>
        <v>65.16</v>
      </c>
      <c r="U926" s="4">
        <v>0.01</v>
      </c>
      <c r="V926" s="6">
        <f t="shared" si="87"/>
        <v>0.65159999999999996</v>
      </c>
      <c r="W926" s="6">
        <f t="shared" si="88"/>
        <v>64.508399999999995</v>
      </c>
      <c r="X926" s="3">
        <v>0.95</v>
      </c>
      <c r="Y926" s="5">
        <f t="shared" si="89"/>
        <v>65.458399999999997</v>
      </c>
    </row>
    <row r="927" spans="1:25" x14ac:dyDescent="0.2">
      <c r="A927" t="s">
        <v>1767</v>
      </c>
      <c r="B927" s="1">
        <v>42634</v>
      </c>
      <c r="C927" s="2" t="str">
        <f t="shared" si="84"/>
        <v>2016</v>
      </c>
      <c r="D927" s="2" t="s">
        <v>212</v>
      </c>
      <c r="E927" s="2" t="s">
        <v>213</v>
      </c>
      <c r="F927" s="2" t="s">
        <v>36</v>
      </c>
      <c r="G927" s="2" t="s">
        <v>37</v>
      </c>
      <c r="H927" s="2" t="s">
        <v>50</v>
      </c>
      <c r="I927" s="2" t="s">
        <v>79</v>
      </c>
      <c r="J927" s="2" t="s">
        <v>30</v>
      </c>
      <c r="K927" s="2" t="s">
        <v>134</v>
      </c>
      <c r="L927" s="2" t="s">
        <v>32</v>
      </c>
      <c r="M927" s="2" t="s">
        <v>26</v>
      </c>
      <c r="N927" s="2" t="s">
        <v>27</v>
      </c>
      <c r="O927" s="1">
        <v>42634</v>
      </c>
      <c r="P927" s="3">
        <v>2.4500000000000002</v>
      </c>
      <c r="Q927" s="3">
        <v>3.89</v>
      </c>
      <c r="R927" s="3">
        <f t="shared" si="85"/>
        <v>1.44</v>
      </c>
      <c r="S927" s="2">
        <v>50</v>
      </c>
      <c r="T927" s="3">
        <f t="shared" si="86"/>
        <v>194.5</v>
      </c>
      <c r="U927" s="4">
        <v>0.08</v>
      </c>
      <c r="V927" s="6">
        <f t="shared" si="87"/>
        <v>15.56</v>
      </c>
      <c r="W927" s="6">
        <f t="shared" si="88"/>
        <v>178.94</v>
      </c>
      <c r="X927" s="3">
        <v>7.01</v>
      </c>
      <c r="Y927" s="5">
        <f t="shared" si="89"/>
        <v>185.95</v>
      </c>
    </row>
    <row r="928" spans="1:25" x14ac:dyDescent="0.2">
      <c r="A928" t="s">
        <v>1768</v>
      </c>
      <c r="B928" s="1">
        <v>42635</v>
      </c>
      <c r="C928" s="2" t="str">
        <f t="shared" si="84"/>
        <v>2016</v>
      </c>
      <c r="D928" s="2" t="s">
        <v>293</v>
      </c>
      <c r="E928" s="2" t="s">
        <v>69</v>
      </c>
      <c r="F928" s="2" t="s">
        <v>19</v>
      </c>
      <c r="G928" s="2" t="s">
        <v>20</v>
      </c>
      <c r="H928" s="2" t="s">
        <v>42</v>
      </c>
      <c r="I928" s="2" t="s">
        <v>22</v>
      </c>
      <c r="J928" s="2" t="s">
        <v>30</v>
      </c>
      <c r="K928" s="2" t="s">
        <v>146</v>
      </c>
      <c r="L928" s="2" t="s">
        <v>32</v>
      </c>
      <c r="M928" s="2" t="s">
        <v>33</v>
      </c>
      <c r="N928" s="2" t="s">
        <v>27</v>
      </c>
      <c r="O928" s="1">
        <v>42636</v>
      </c>
      <c r="P928" s="3">
        <v>2.52</v>
      </c>
      <c r="Q928" s="3">
        <v>4</v>
      </c>
      <c r="R928" s="3">
        <f t="shared" si="85"/>
        <v>1.48</v>
      </c>
      <c r="S928" s="2">
        <v>22</v>
      </c>
      <c r="T928" s="3">
        <f t="shared" si="86"/>
        <v>88</v>
      </c>
      <c r="U928" s="4">
        <v>0.09</v>
      </c>
      <c r="V928" s="6">
        <f t="shared" si="87"/>
        <v>7.92</v>
      </c>
      <c r="W928" s="6">
        <f t="shared" si="88"/>
        <v>80.08</v>
      </c>
      <c r="X928" s="3">
        <v>1.3</v>
      </c>
      <c r="Y928" s="5">
        <f t="shared" si="89"/>
        <v>81.38</v>
      </c>
    </row>
    <row r="929" spans="1:25" x14ac:dyDescent="0.2">
      <c r="A929" t="s">
        <v>1769</v>
      </c>
      <c r="B929" s="1">
        <v>42636</v>
      </c>
      <c r="C929" s="2" t="str">
        <f t="shared" si="84"/>
        <v>2016</v>
      </c>
      <c r="D929" s="2" t="s">
        <v>292</v>
      </c>
      <c r="E929" s="2" t="s">
        <v>176</v>
      </c>
      <c r="F929" s="2" t="s">
        <v>36</v>
      </c>
      <c r="G929" s="2" t="s">
        <v>37</v>
      </c>
      <c r="H929" s="2" t="s">
        <v>42</v>
      </c>
      <c r="I929" s="2" t="s">
        <v>102</v>
      </c>
      <c r="J929" s="2" t="s">
        <v>30</v>
      </c>
      <c r="K929" s="2" t="s">
        <v>189</v>
      </c>
      <c r="L929" s="2" t="s">
        <v>32</v>
      </c>
      <c r="M929" s="2" t="s">
        <v>26</v>
      </c>
      <c r="N929" s="2" t="s">
        <v>27</v>
      </c>
      <c r="O929" s="1">
        <v>42639</v>
      </c>
      <c r="P929" s="3">
        <v>3.4</v>
      </c>
      <c r="Q929" s="3">
        <v>5.4</v>
      </c>
      <c r="R929" s="3">
        <f t="shared" si="85"/>
        <v>2.0000000000000004</v>
      </c>
      <c r="S929" s="2">
        <v>38</v>
      </c>
      <c r="T929" s="3">
        <f t="shared" si="86"/>
        <v>205.20000000000002</v>
      </c>
      <c r="U929" s="4">
        <v>0.03</v>
      </c>
      <c r="V929" s="6">
        <f t="shared" si="87"/>
        <v>6.1560000000000006</v>
      </c>
      <c r="W929" s="6">
        <f t="shared" si="88"/>
        <v>199.04400000000001</v>
      </c>
      <c r="X929" s="3">
        <v>7.78</v>
      </c>
      <c r="Y929" s="5">
        <f t="shared" si="89"/>
        <v>206.82400000000001</v>
      </c>
    </row>
    <row r="930" spans="1:25" x14ac:dyDescent="0.2">
      <c r="A930" t="s">
        <v>1770</v>
      </c>
      <c r="B930" s="1">
        <v>42638</v>
      </c>
      <c r="C930" s="2" t="str">
        <f t="shared" si="84"/>
        <v>2016</v>
      </c>
      <c r="D930" s="2" t="s">
        <v>291</v>
      </c>
      <c r="E930" s="2" t="s">
        <v>1890</v>
      </c>
      <c r="F930" s="2" t="s">
        <v>1881</v>
      </c>
      <c r="G930" s="2" t="s">
        <v>1882</v>
      </c>
      <c r="H930" s="2" t="s">
        <v>50</v>
      </c>
      <c r="I930" s="2" t="s">
        <v>51</v>
      </c>
      <c r="J930" s="2" t="s">
        <v>66</v>
      </c>
      <c r="K930" s="2" t="s">
        <v>247</v>
      </c>
      <c r="L930" s="2" t="s">
        <v>32</v>
      </c>
      <c r="M930" s="2" t="s">
        <v>26</v>
      </c>
      <c r="N930" s="2" t="s">
        <v>27</v>
      </c>
      <c r="O930" s="1">
        <v>42639</v>
      </c>
      <c r="P930" s="3">
        <v>4.46</v>
      </c>
      <c r="Q930" s="3">
        <v>10.89</v>
      </c>
      <c r="R930" s="3">
        <f t="shared" si="85"/>
        <v>6.4300000000000006</v>
      </c>
      <c r="S930" s="2">
        <v>19</v>
      </c>
      <c r="T930" s="3">
        <f t="shared" si="86"/>
        <v>206.91000000000003</v>
      </c>
      <c r="U930" s="4">
        <v>7.0000000000000007E-2</v>
      </c>
      <c r="V930" s="6">
        <f t="shared" si="87"/>
        <v>14.483700000000002</v>
      </c>
      <c r="W930" s="6">
        <f t="shared" si="88"/>
        <v>192.42630000000003</v>
      </c>
      <c r="X930" s="3">
        <v>4.5</v>
      </c>
      <c r="Y930" s="5">
        <f t="shared" si="89"/>
        <v>196.92630000000003</v>
      </c>
    </row>
    <row r="931" spans="1:25" x14ac:dyDescent="0.2">
      <c r="A931" t="s">
        <v>939</v>
      </c>
      <c r="B931" s="1">
        <v>42639</v>
      </c>
      <c r="C931" s="2" t="str">
        <f t="shared" si="84"/>
        <v>2016</v>
      </c>
      <c r="D931" s="2" t="s">
        <v>143</v>
      </c>
      <c r="E931" s="2" t="s">
        <v>1884</v>
      </c>
      <c r="F931" s="2" t="s">
        <v>1881</v>
      </c>
      <c r="G931" s="2" t="s">
        <v>1882</v>
      </c>
      <c r="H931" s="2" t="s">
        <v>42</v>
      </c>
      <c r="I931" s="2" t="s">
        <v>51</v>
      </c>
      <c r="J931" s="2" t="s">
        <v>30</v>
      </c>
      <c r="K931" s="2" t="s">
        <v>287</v>
      </c>
      <c r="L931" s="2" t="s">
        <v>32</v>
      </c>
      <c r="M931" s="2" t="s">
        <v>26</v>
      </c>
      <c r="N931" s="2" t="s">
        <v>27</v>
      </c>
      <c r="O931" s="1">
        <v>42641</v>
      </c>
      <c r="P931" s="3">
        <v>13.88</v>
      </c>
      <c r="Q931" s="3">
        <v>22.38</v>
      </c>
      <c r="R931" s="3">
        <f t="shared" si="85"/>
        <v>8.4999999999999982</v>
      </c>
      <c r="S931" s="2">
        <v>34</v>
      </c>
      <c r="T931" s="3">
        <f t="shared" si="86"/>
        <v>760.92</v>
      </c>
      <c r="U931" s="4">
        <v>7.0000000000000007E-2</v>
      </c>
      <c r="V931" s="6">
        <f t="shared" si="87"/>
        <v>53.264400000000002</v>
      </c>
      <c r="W931" s="6">
        <f t="shared" si="88"/>
        <v>707.65559999999994</v>
      </c>
      <c r="X931" s="3">
        <v>15.1</v>
      </c>
      <c r="Y931" s="5">
        <f t="shared" si="89"/>
        <v>722.75559999999996</v>
      </c>
    </row>
    <row r="932" spans="1:25" x14ac:dyDescent="0.2">
      <c r="A932" t="s">
        <v>940</v>
      </c>
      <c r="B932" s="1">
        <v>42639</v>
      </c>
      <c r="C932" s="2" t="str">
        <f t="shared" si="84"/>
        <v>2016</v>
      </c>
      <c r="D932" s="2" t="s">
        <v>143</v>
      </c>
      <c r="E932" s="2" t="s">
        <v>1885</v>
      </c>
      <c r="F932" s="2" t="s">
        <v>1881</v>
      </c>
      <c r="G932" s="2" t="s">
        <v>1882</v>
      </c>
      <c r="H932" s="2" t="s">
        <v>42</v>
      </c>
      <c r="I932" s="2" t="s">
        <v>51</v>
      </c>
      <c r="J932" s="2" t="s">
        <v>30</v>
      </c>
      <c r="K932" s="2" t="s">
        <v>290</v>
      </c>
      <c r="L932" s="2" t="s">
        <v>25</v>
      </c>
      <c r="M932" s="2" t="s">
        <v>26</v>
      </c>
      <c r="N932" s="2" t="s">
        <v>89</v>
      </c>
      <c r="O932" s="1">
        <v>42640</v>
      </c>
      <c r="P932" s="3">
        <v>14.7</v>
      </c>
      <c r="Q932" s="3">
        <v>29.99</v>
      </c>
      <c r="R932" s="3">
        <f t="shared" si="85"/>
        <v>15.29</v>
      </c>
      <c r="S932" s="2">
        <v>36</v>
      </c>
      <c r="T932" s="3">
        <f t="shared" si="86"/>
        <v>1079.6399999999999</v>
      </c>
      <c r="U932" s="4">
        <v>0.03</v>
      </c>
      <c r="V932" s="6">
        <f t="shared" si="87"/>
        <v>32.389199999999995</v>
      </c>
      <c r="W932" s="6">
        <f t="shared" si="88"/>
        <v>1047.2507999999998</v>
      </c>
      <c r="X932" s="3">
        <v>5.5</v>
      </c>
      <c r="Y932" s="5">
        <f t="shared" si="89"/>
        <v>1052.7507999999998</v>
      </c>
    </row>
    <row r="933" spans="1:25" x14ac:dyDescent="0.2">
      <c r="A933" t="s">
        <v>1771</v>
      </c>
      <c r="B933" s="1">
        <v>42639</v>
      </c>
      <c r="C933" s="2" t="str">
        <f t="shared" si="84"/>
        <v>2016</v>
      </c>
      <c r="D933" s="2" t="s">
        <v>288</v>
      </c>
      <c r="E933" s="2" t="s">
        <v>46</v>
      </c>
      <c r="F933" s="2" t="s">
        <v>19</v>
      </c>
      <c r="G933" s="2" t="s">
        <v>20</v>
      </c>
      <c r="H933" s="2" t="s">
        <v>50</v>
      </c>
      <c r="I933" s="2" t="s">
        <v>22</v>
      </c>
      <c r="J933" s="2" t="s">
        <v>23</v>
      </c>
      <c r="K933" s="2" t="s">
        <v>289</v>
      </c>
      <c r="L933" s="2" t="s">
        <v>32</v>
      </c>
      <c r="M933" s="2" t="s">
        <v>26</v>
      </c>
      <c r="N933" s="2" t="s">
        <v>27</v>
      </c>
      <c r="O933" s="1">
        <v>42648</v>
      </c>
      <c r="P933" s="3">
        <v>21.97</v>
      </c>
      <c r="Q933" s="3">
        <v>35.44</v>
      </c>
      <c r="R933" s="3">
        <f t="shared" si="85"/>
        <v>13.469999999999999</v>
      </c>
      <c r="S933" s="2">
        <v>44</v>
      </c>
      <c r="T933" s="3">
        <f t="shared" si="86"/>
        <v>1559.36</v>
      </c>
      <c r="U933" s="4">
        <v>0.01</v>
      </c>
      <c r="V933" s="6">
        <f t="shared" si="87"/>
        <v>15.593599999999999</v>
      </c>
      <c r="W933" s="6">
        <f t="shared" si="88"/>
        <v>1543.7664</v>
      </c>
      <c r="X933" s="3">
        <v>4.92</v>
      </c>
      <c r="Y933" s="5">
        <f t="shared" si="89"/>
        <v>1548.6864</v>
      </c>
    </row>
    <row r="934" spans="1:25" x14ac:dyDescent="0.2">
      <c r="A934" t="s">
        <v>1772</v>
      </c>
      <c r="B934" s="1">
        <v>42641</v>
      </c>
      <c r="C934" s="2" t="str">
        <f t="shared" si="84"/>
        <v>2016</v>
      </c>
      <c r="D934" s="2" t="s">
        <v>285</v>
      </c>
      <c r="E934" s="2" t="s">
        <v>286</v>
      </c>
      <c r="F934" s="2" t="s">
        <v>36</v>
      </c>
      <c r="G934" s="2" t="s">
        <v>37</v>
      </c>
      <c r="H934" s="2" t="s">
        <v>42</v>
      </c>
      <c r="I934" s="2" t="s">
        <v>102</v>
      </c>
      <c r="J934" s="2" t="s">
        <v>44</v>
      </c>
      <c r="K934" s="2" t="s">
        <v>93</v>
      </c>
      <c r="L934" s="2" t="s">
        <v>32</v>
      </c>
      <c r="M934" s="2" t="s">
        <v>26</v>
      </c>
      <c r="N934" s="2" t="s">
        <v>27</v>
      </c>
      <c r="O934" s="1">
        <v>42643</v>
      </c>
      <c r="P934" s="3">
        <v>19.829999999999998</v>
      </c>
      <c r="Q934" s="3">
        <v>30.98</v>
      </c>
      <c r="R934" s="3">
        <f t="shared" si="85"/>
        <v>11.150000000000002</v>
      </c>
      <c r="S934" s="2">
        <v>30</v>
      </c>
      <c r="T934" s="3">
        <f t="shared" si="86"/>
        <v>929.4</v>
      </c>
      <c r="U934" s="4">
        <v>0.03</v>
      </c>
      <c r="V934" s="6">
        <f t="shared" si="87"/>
        <v>27.881999999999998</v>
      </c>
      <c r="W934" s="6">
        <f t="shared" si="88"/>
        <v>901.51800000000003</v>
      </c>
      <c r="X934" s="3">
        <v>19.510000000000002</v>
      </c>
      <c r="Y934" s="5">
        <f t="shared" si="89"/>
        <v>921.02800000000002</v>
      </c>
    </row>
    <row r="935" spans="1:25" x14ac:dyDescent="0.2">
      <c r="A935" t="s">
        <v>1773</v>
      </c>
      <c r="B935" s="1">
        <v>42643</v>
      </c>
      <c r="C935" s="2" t="str">
        <f t="shared" si="84"/>
        <v>2016</v>
      </c>
      <c r="D935" s="2" t="s">
        <v>284</v>
      </c>
      <c r="E935" s="2" t="s">
        <v>18</v>
      </c>
      <c r="F935" s="2" t="s">
        <v>19</v>
      </c>
      <c r="G935" s="2" t="s">
        <v>20</v>
      </c>
      <c r="H935" s="2" t="s">
        <v>42</v>
      </c>
      <c r="I935" s="2" t="s">
        <v>22</v>
      </c>
      <c r="J935" s="2" t="s">
        <v>44</v>
      </c>
      <c r="K935" s="2" t="s">
        <v>80</v>
      </c>
      <c r="L935" s="2" t="s">
        <v>32</v>
      </c>
      <c r="M935" s="2" t="s">
        <v>26</v>
      </c>
      <c r="N935" s="2" t="s">
        <v>27</v>
      </c>
      <c r="O935" s="1">
        <v>42645</v>
      </c>
      <c r="P935" s="3">
        <v>4.59</v>
      </c>
      <c r="Q935" s="3">
        <v>7.28</v>
      </c>
      <c r="R935" s="3">
        <f t="shared" si="85"/>
        <v>2.6900000000000004</v>
      </c>
      <c r="S935" s="2">
        <v>50</v>
      </c>
      <c r="T935" s="3">
        <f t="shared" si="86"/>
        <v>364</v>
      </c>
      <c r="U935" s="4">
        <v>0.01</v>
      </c>
      <c r="V935" s="6">
        <f t="shared" si="87"/>
        <v>3.64</v>
      </c>
      <c r="W935" s="6">
        <f t="shared" si="88"/>
        <v>360.36</v>
      </c>
      <c r="X935" s="3">
        <v>11.15</v>
      </c>
      <c r="Y935" s="5">
        <f t="shared" si="89"/>
        <v>371.51</v>
      </c>
    </row>
    <row r="936" spans="1:25" x14ac:dyDescent="0.2">
      <c r="A936" t="s">
        <v>1774</v>
      </c>
      <c r="B936" s="1">
        <v>42644</v>
      </c>
      <c r="C936" s="2" t="str">
        <f t="shared" si="84"/>
        <v>2016</v>
      </c>
      <c r="D936" s="2" t="s">
        <v>282</v>
      </c>
      <c r="E936" s="2" t="s">
        <v>60</v>
      </c>
      <c r="F936" s="2" t="s">
        <v>36</v>
      </c>
      <c r="G936" s="2" t="s">
        <v>37</v>
      </c>
      <c r="H936" s="2" t="s">
        <v>42</v>
      </c>
      <c r="I936" s="2" t="s">
        <v>56</v>
      </c>
      <c r="J936" s="2" t="s">
        <v>30</v>
      </c>
      <c r="K936" s="2" t="s">
        <v>93</v>
      </c>
      <c r="L936" s="2" t="s">
        <v>32</v>
      </c>
      <c r="M936" s="2" t="s">
        <v>26</v>
      </c>
      <c r="N936" s="2" t="s">
        <v>27</v>
      </c>
      <c r="O936" s="1">
        <v>42645</v>
      </c>
      <c r="P936" s="3">
        <v>19.829999999999998</v>
      </c>
      <c r="Q936" s="3">
        <v>30.98</v>
      </c>
      <c r="R936" s="3">
        <f t="shared" si="85"/>
        <v>11.150000000000002</v>
      </c>
      <c r="S936" s="2">
        <v>37</v>
      </c>
      <c r="T936" s="3">
        <f t="shared" si="86"/>
        <v>1146.26</v>
      </c>
      <c r="U936" s="4">
        <v>0.01</v>
      </c>
      <c r="V936" s="6">
        <f t="shared" si="87"/>
        <v>11.4626</v>
      </c>
      <c r="W936" s="6">
        <f t="shared" si="88"/>
        <v>1134.7973999999999</v>
      </c>
      <c r="X936" s="3">
        <v>19.510000000000002</v>
      </c>
      <c r="Y936" s="5">
        <f t="shared" si="89"/>
        <v>1154.3073999999999</v>
      </c>
    </row>
    <row r="937" spans="1:25" x14ac:dyDescent="0.2">
      <c r="A937" t="s">
        <v>1775</v>
      </c>
      <c r="B937" s="1">
        <v>42644</v>
      </c>
      <c r="C937" s="2" t="str">
        <f t="shared" si="84"/>
        <v>2016</v>
      </c>
      <c r="D937" s="2" t="s">
        <v>283</v>
      </c>
      <c r="E937" s="2" t="s">
        <v>105</v>
      </c>
      <c r="F937" s="2" t="s">
        <v>36</v>
      </c>
      <c r="G937" s="2" t="s">
        <v>37</v>
      </c>
      <c r="H937" s="2" t="s">
        <v>21</v>
      </c>
      <c r="I937" s="2" t="s">
        <v>56</v>
      </c>
      <c r="J937" s="2" t="s">
        <v>30</v>
      </c>
      <c r="K937" s="2" t="s">
        <v>236</v>
      </c>
      <c r="L937" s="2" t="s">
        <v>32</v>
      </c>
      <c r="M937" s="2" t="s">
        <v>33</v>
      </c>
      <c r="N937" s="2" t="s">
        <v>27</v>
      </c>
      <c r="O937" s="1">
        <v>42645</v>
      </c>
      <c r="P937" s="3">
        <v>1.3</v>
      </c>
      <c r="Q937" s="3">
        <v>2.88</v>
      </c>
      <c r="R937" s="3">
        <f t="shared" si="85"/>
        <v>1.5799999999999998</v>
      </c>
      <c r="S937" s="2">
        <v>46</v>
      </c>
      <c r="T937" s="3">
        <f t="shared" si="86"/>
        <v>132.47999999999999</v>
      </c>
      <c r="U937" s="4">
        <v>0.05</v>
      </c>
      <c r="V937" s="6">
        <f t="shared" si="87"/>
        <v>6.6239999999999997</v>
      </c>
      <c r="W937" s="6">
        <f t="shared" si="88"/>
        <v>125.85599999999999</v>
      </c>
      <c r="X937" s="3">
        <v>1.01</v>
      </c>
      <c r="Y937" s="5">
        <f t="shared" si="89"/>
        <v>126.866</v>
      </c>
    </row>
    <row r="938" spans="1:25" x14ac:dyDescent="0.2">
      <c r="A938" t="s">
        <v>1776</v>
      </c>
      <c r="B938" s="1">
        <v>42649</v>
      </c>
      <c r="C938" s="2" t="str">
        <f t="shared" si="84"/>
        <v>2016</v>
      </c>
      <c r="D938" s="2" t="s">
        <v>280</v>
      </c>
      <c r="E938" s="2" t="s">
        <v>281</v>
      </c>
      <c r="F938" s="2" t="s">
        <v>36</v>
      </c>
      <c r="G938" s="2" t="s">
        <v>37</v>
      </c>
      <c r="H938" s="2" t="s">
        <v>50</v>
      </c>
      <c r="I938" s="2" t="s">
        <v>96</v>
      </c>
      <c r="J938" s="2" t="s">
        <v>44</v>
      </c>
      <c r="K938" s="2" t="s">
        <v>197</v>
      </c>
      <c r="L938" s="2" t="s">
        <v>32</v>
      </c>
      <c r="M938" s="2" t="s">
        <v>26</v>
      </c>
      <c r="N938" s="2" t="s">
        <v>27</v>
      </c>
      <c r="O938" s="1">
        <v>42651</v>
      </c>
      <c r="P938" s="3">
        <v>3.52</v>
      </c>
      <c r="Q938" s="3">
        <v>5.68</v>
      </c>
      <c r="R938" s="3">
        <f t="shared" si="85"/>
        <v>2.1599999999999997</v>
      </c>
      <c r="S938" s="2">
        <v>23</v>
      </c>
      <c r="T938" s="3">
        <f t="shared" si="86"/>
        <v>130.63999999999999</v>
      </c>
      <c r="U938" s="4">
        <v>0.02</v>
      </c>
      <c r="V938" s="6">
        <f t="shared" si="87"/>
        <v>2.6127999999999996</v>
      </c>
      <c r="W938" s="6">
        <f t="shared" si="88"/>
        <v>128.02719999999999</v>
      </c>
      <c r="X938" s="3">
        <v>1.39</v>
      </c>
      <c r="Y938" s="5">
        <f t="shared" si="89"/>
        <v>129.41719999999998</v>
      </c>
    </row>
    <row r="939" spans="1:25" x14ac:dyDescent="0.2">
      <c r="A939" t="s">
        <v>1777</v>
      </c>
      <c r="B939" s="1">
        <v>42651</v>
      </c>
      <c r="C939" s="2" t="str">
        <f t="shared" si="84"/>
        <v>2016</v>
      </c>
      <c r="D939" s="2" t="s">
        <v>279</v>
      </c>
      <c r="E939" s="2" t="s">
        <v>1892</v>
      </c>
      <c r="F939" s="2" t="s">
        <v>1881</v>
      </c>
      <c r="G939" s="2" t="s">
        <v>1882</v>
      </c>
      <c r="H939" s="2" t="s">
        <v>50</v>
      </c>
      <c r="I939" s="2" t="s">
        <v>51</v>
      </c>
      <c r="J939" s="2" t="s">
        <v>44</v>
      </c>
      <c r="K939" s="2" t="s">
        <v>205</v>
      </c>
      <c r="L939" s="2" t="s">
        <v>32</v>
      </c>
      <c r="M939" s="2" t="s">
        <v>26</v>
      </c>
      <c r="N939" s="2" t="s">
        <v>27</v>
      </c>
      <c r="O939" s="1">
        <v>42651</v>
      </c>
      <c r="P939" s="3">
        <v>11.04</v>
      </c>
      <c r="Q939" s="3">
        <v>16.98</v>
      </c>
      <c r="R939" s="3">
        <f t="shared" si="85"/>
        <v>5.9400000000000013</v>
      </c>
      <c r="S939" s="2">
        <v>43</v>
      </c>
      <c r="T939" s="3">
        <f t="shared" si="86"/>
        <v>730.14</v>
      </c>
      <c r="U939" s="4">
        <v>0.09</v>
      </c>
      <c r="V939" s="6">
        <f t="shared" si="87"/>
        <v>65.712599999999995</v>
      </c>
      <c r="W939" s="6">
        <f t="shared" si="88"/>
        <v>664.42740000000003</v>
      </c>
      <c r="X939" s="3">
        <v>12.39</v>
      </c>
      <c r="Y939" s="5">
        <f t="shared" si="89"/>
        <v>676.81740000000002</v>
      </c>
    </row>
    <row r="940" spans="1:25" x14ac:dyDescent="0.2">
      <c r="A940" t="s">
        <v>1778</v>
      </c>
      <c r="B940" s="1">
        <v>42654</v>
      </c>
      <c r="C940" s="2" t="str">
        <f t="shared" si="84"/>
        <v>2016</v>
      </c>
      <c r="D940" s="2" t="s">
        <v>198</v>
      </c>
      <c r="E940" s="2" t="s">
        <v>199</v>
      </c>
      <c r="F940" s="2" t="s">
        <v>19</v>
      </c>
      <c r="G940" s="2" t="s">
        <v>20</v>
      </c>
      <c r="H940" s="2" t="s">
        <v>42</v>
      </c>
      <c r="I940" s="2" t="s">
        <v>92</v>
      </c>
      <c r="J940" s="2" t="s">
        <v>23</v>
      </c>
      <c r="K940" s="2" t="s">
        <v>278</v>
      </c>
      <c r="L940" s="2" t="s">
        <v>32</v>
      </c>
      <c r="M940" s="2" t="s">
        <v>33</v>
      </c>
      <c r="N940" s="2" t="s">
        <v>27</v>
      </c>
      <c r="O940" s="1">
        <v>42658</v>
      </c>
      <c r="P940" s="3">
        <v>2.31</v>
      </c>
      <c r="Q940" s="3">
        <v>3.78</v>
      </c>
      <c r="R940" s="3">
        <f t="shared" si="85"/>
        <v>1.4699999999999998</v>
      </c>
      <c r="S940" s="2">
        <v>22</v>
      </c>
      <c r="T940" s="3">
        <f t="shared" si="86"/>
        <v>83.16</v>
      </c>
      <c r="U940" s="4">
        <v>0.1</v>
      </c>
      <c r="V940" s="6">
        <f t="shared" si="87"/>
        <v>8.3160000000000007</v>
      </c>
      <c r="W940" s="6">
        <f t="shared" si="88"/>
        <v>74.843999999999994</v>
      </c>
      <c r="X940" s="3">
        <v>0.71</v>
      </c>
      <c r="Y940" s="5">
        <f t="shared" si="89"/>
        <v>75.553999999999988</v>
      </c>
    </row>
    <row r="941" spans="1:25" x14ac:dyDescent="0.2">
      <c r="A941" t="s">
        <v>1779</v>
      </c>
      <c r="B941" s="1">
        <v>42655</v>
      </c>
      <c r="C941" s="2" t="str">
        <f t="shared" si="84"/>
        <v>2016</v>
      </c>
      <c r="D941" s="2" t="s">
        <v>275</v>
      </c>
      <c r="E941" s="2" t="s">
        <v>276</v>
      </c>
      <c r="F941" s="2" t="s">
        <v>19</v>
      </c>
      <c r="G941" s="2" t="s">
        <v>20</v>
      </c>
      <c r="H941" s="2" t="s">
        <v>21</v>
      </c>
      <c r="I941" s="2" t="s">
        <v>22</v>
      </c>
      <c r="J941" s="2" t="s">
        <v>52</v>
      </c>
      <c r="K941" s="2" t="s">
        <v>277</v>
      </c>
      <c r="L941" s="2" t="s">
        <v>32</v>
      </c>
      <c r="M941" s="2" t="s">
        <v>26</v>
      </c>
      <c r="N941" s="2" t="s">
        <v>27</v>
      </c>
      <c r="O941" s="1">
        <v>42657</v>
      </c>
      <c r="P941" s="3">
        <v>54.29</v>
      </c>
      <c r="Q941" s="3">
        <v>90.48</v>
      </c>
      <c r="R941" s="3">
        <f t="shared" si="85"/>
        <v>36.190000000000005</v>
      </c>
      <c r="S941" s="2">
        <v>25</v>
      </c>
      <c r="T941" s="3">
        <f t="shared" si="86"/>
        <v>2262</v>
      </c>
      <c r="U941" s="4">
        <v>0.02</v>
      </c>
      <c r="V941" s="6">
        <f t="shared" si="87"/>
        <v>45.24</v>
      </c>
      <c r="W941" s="6">
        <f t="shared" si="88"/>
        <v>2216.7600000000002</v>
      </c>
      <c r="X941" s="3">
        <v>19.989999999999998</v>
      </c>
      <c r="Y941" s="5">
        <f t="shared" si="89"/>
        <v>2236.75</v>
      </c>
    </row>
    <row r="942" spans="1:25" x14ac:dyDescent="0.2">
      <c r="A942" t="s">
        <v>1780</v>
      </c>
      <c r="B942" s="1">
        <v>42656</v>
      </c>
      <c r="C942" s="2" t="str">
        <f t="shared" si="84"/>
        <v>2016</v>
      </c>
      <c r="D942" s="2" t="s">
        <v>273</v>
      </c>
      <c r="E942" s="2" t="s">
        <v>231</v>
      </c>
      <c r="F942" s="2" t="s">
        <v>36</v>
      </c>
      <c r="G942" s="2" t="s">
        <v>37</v>
      </c>
      <c r="H942" s="2" t="s">
        <v>50</v>
      </c>
      <c r="I942" s="2" t="s">
        <v>79</v>
      </c>
      <c r="J942" s="2" t="s">
        <v>23</v>
      </c>
      <c r="K942" s="2" t="s">
        <v>274</v>
      </c>
      <c r="L942" s="2" t="s">
        <v>32</v>
      </c>
      <c r="M942" s="2" t="s">
        <v>26</v>
      </c>
      <c r="N942" s="2" t="s">
        <v>27</v>
      </c>
      <c r="O942" s="1">
        <v>42661</v>
      </c>
      <c r="P942" s="3">
        <v>16.850000000000001</v>
      </c>
      <c r="Q942" s="3">
        <v>27.18</v>
      </c>
      <c r="R942" s="3">
        <f t="shared" si="85"/>
        <v>10.329999999999998</v>
      </c>
      <c r="S942" s="2">
        <v>38</v>
      </c>
      <c r="T942" s="3">
        <f t="shared" si="86"/>
        <v>1032.8399999999999</v>
      </c>
      <c r="U942" s="4">
        <v>0.01</v>
      </c>
      <c r="V942" s="6">
        <f t="shared" si="87"/>
        <v>10.3284</v>
      </c>
      <c r="W942" s="6">
        <f t="shared" si="88"/>
        <v>1022.5115999999999</v>
      </c>
      <c r="X942" s="3">
        <v>8.23</v>
      </c>
      <c r="Y942" s="5">
        <f t="shared" si="89"/>
        <v>1030.7415999999998</v>
      </c>
    </row>
    <row r="943" spans="1:25" x14ac:dyDescent="0.2">
      <c r="A943" t="s">
        <v>1781</v>
      </c>
      <c r="B943" s="1">
        <v>42657</v>
      </c>
      <c r="C943" s="2" t="str">
        <f t="shared" si="84"/>
        <v>2016</v>
      </c>
      <c r="D943" s="2" t="s">
        <v>114</v>
      </c>
      <c r="E943" s="2" t="s">
        <v>115</v>
      </c>
      <c r="F943" s="2" t="s">
        <v>36</v>
      </c>
      <c r="G943" s="2" t="s">
        <v>37</v>
      </c>
      <c r="H943" s="2" t="s">
        <v>42</v>
      </c>
      <c r="I943" s="2" t="s">
        <v>51</v>
      </c>
      <c r="J943" s="2" t="s">
        <v>30</v>
      </c>
      <c r="K943" s="2" t="s">
        <v>24</v>
      </c>
      <c r="L943" s="2" t="s">
        <v>25</v>
      </c>
      <c r="M943" s="2" t="s">
        <v>26</v>
      </c>
      <c r="N943" s="2" t="s">
        <v>27</v>
      </c>
      <c r="O943" s="1">
        <v>42660</v>
      </c>
      <c r="P943" s="3">
        <v>6.39</v>
      </c>
      <c r="Q943" s="3">
        <v>19.98</v>
      </c>
      <c r="R943" s="3">
        <f t="shared" si="85"/>
        <v>13.59</v>
      </c>
      <c r="S943" s="2">
        <v>9</v>
      </c>
      <c r="T943" s="3">
        <f t="shared" si="86"/>
        <v>179.82</v>
      </c>
      <c r="U943" s="4">
        <v>0.06</v>
      </c>
      <c r="V943" s="6">
        <f t="shared" si="87"/>
        <v>10.789199999999999</v>
      </c>
      <c r="W943" s="6">
        <f t="shared" si="88"/>
        <v>169.0308</v>
      </c>
      <c r="X943" s="3">
        <v>4</v>
      </c>
      <c r="Y943" s="5">
        <f t="shared" si="89"/>
        <v>173.0308</v>
      </c>
    </row>
    <row r="944" spans="1:25" x14ac:dyDescent="0.2">
      <c r="A944" t="s">
        <v>1782</v>
      </c>
      <c r="B944" s="1">
        <v>42658</v>
      </c>
      <c r="C944" s="2" t="str">
        <f t="shared" si="84"/>
        <v>2016</v>
      </c>
      <c r="D944" s="2" t="s">
        <v>272</v>
      </c>
      <c r="E944" s="2" t="s">
        <v>1924</v>
      </c>
      <c r="F944" s="2" t="s">
        <v>19</v>
      </c>
      <c r="G944" s="2" t="s">
        <v>20</v>
      </c>
      <c r="H944" s="2" t="s">
        <v>50</v>
      </c>
      <c r="I944" s="2" t="s">
        <v>92</v>
      </c>
      <c r="J944" s="2" t="s">
        <v>52</v>
      </c>
      <c r="K944" s="2" t="s">
        <v>260</v>
      </c>
      <c r="L944" s="2" t="s">
        <v>150</v>
      </c>
      <c r="M944" s="2" t="s">
        <v>261</v>
      </c>
      <c r="N944" s="2" t="s">
        <v>27</v>
      </c>
      <c r="O944" s="1">
        <v>42658</v>
      </c>
      <c r="P944" s="3">
        <v>56.16</v>
      </c>
      <c r="Q944" s="3">
        <v>136.97999999999999</v>
      </c>
      <c r="R944" s="3">
        <f t="shared" si="85"/>
        <v>80.819999999999993</v>
      </c>
      <c r="S944" s="2">
        <v>27</v>
      </c>
      <c r="T944" s="3">
        <f t="shared" si="86"/>
        <v>3698.4599999999996</v>
      </c>
      <c r="U944" s="4">
        <v>0.09</v>
      </c>
      <c r="V944" s="6">
        <f t="shared" si="87"/>
        <v>332.86139999999995</v>
      </c>
      <c r="W944" s="6">
        <f t="shared" si="88"/>
        <v>3365.5985999999998</v>
      </c>
      <c r="X944" s="3">
        <v>24.49</v>
      </c>
      <c r="Y944" s="5">
        <f t="shared" si="89"/>
        <v>3390.0885999999996</v>
      </c>
    </row>
    <row r="945" spans="1:25" x14ac:dyDescent="0.2">
      <c r="A945" s="12" t="s">
        <v>1951</v>
      </c>
      <c r="B945" s="1">
        <v>42658</v>
      </c>
      <c r="C945" s="2" t="str">
        <f t="shared" si="84"/>
        <v>2016</v>
      </c>
      <c r="D945" s="2" t="s">
        <v>531</v>
      </c>
      <c r="E945" s="2" t="s">
        <v>110</v>
      </c>
      <c r="F945" s="2" t="s">
        <v>36</v>
      </c>
      <c r="G945" s="2" t="s">
        <v>37</v>
      </c>
      <c r="H945" s="2" t="s">
        <v>29</v>
      </c>
      <c r="I945" s="2" t="s">
        <v>75</v>
      </c>
      <c r="J945" s="2" t="s">
        <v>23</v>
      </c>
      <c r="K945" s="2" t="s">
        <v>532</v>
      </c>
      <c r="L945" s="2" t="s">
        <v>32</v>
      </c>
      <c r="M945" s="2" t="s">
        <v>33</v>
      </c>
      <c r="N945" s="2" t="s">
        <v>89</v>
      </c>
      <c r="O945" s="1">
        <v>42658</v>
      </c>
      <c r="P945" s="3">
        <v>1.53</v>
      </c>
      <c r="Q945" s="3">
        <v>2.4700000000000002</v>
      </c>
      <c r="R945" s="3">
        <f t="shared" si="85"/>
        <v>0.94000000000000017</v>
      </c>
      <c r="S945" s="2">
        <v>45</v>
      </c>
      <c r="T945" s="3">
        <f t="shared" si="86"/>
        <v>111.15</v>
      </c>
      <c r="U945" s="4">
        <v>7.0000000000000007E-2</v>
      </c>
      <c r="V945" s="6">
        <f t="shared" si="87"/>
        <v>7.7805000000000009</v>
      </c>
      <c r="W945" s="6">
        <f t="shared" si="88"/>
        <v>103.3695</v>
      </c>
      <c r="X945" s="3">
        <v>1.02</v>
      </c>
      <c r="Y945" s="5">
        <f t="shared" si="89"/>
        <v>104.3895</v>
      </c>
    </row>
    <row r="946" spans="1:25" x14ac:dyDescent="0.2">
      <c r="A946" s="12" t="s">
        <v>1952</v>
      </c>
      <c r="B946" s="1">
        <v>42658</v>
      </c>
      <c r="C946" s="2" t="str">
        <f t="shared" si="84"/>
        <v>2016</v>
      </c>
      <c r="D946" s="2" t="s">
        <v>531</v>
      </c>
      <c r="E946" s="2" t="s">
        <v>110</v>
      </c>
      <c r="F946" s="2" t="s">
        <v>36</v>
      </c>
      <c r="G946" s="2" t="s">
        <v>37</v>
      </c>
      <c r="H946" s="2" t="s">
        <v>29</v>
      </c>
      <c r="I946" s="2" t="s">
        <v>75</v>
      </c>
      <c r="J946" s="2" t="s">
        <v>23</v>
      </c>
      <c r="K946" s="2" t="s">
        <v>297</v>
      </c>
      <c r="L946" s="2" t="s">
        <v>32</v>
      </c>
      <c r="M946" s="2" t="s">
        <v>33</v>
      </c>
      <c r="N946" s="2" t="s">
        <v>27</v>
      </c>
      <c r="O946" s="1">
        <v>42662</v>
      </c>
      <c r="P946" s="3">
        <v>3.48</v>
      </c>
      <c r="Q946" s="3">
        <v>5.43</v>
      </c>
      <c r="R946" s="3">
        <f t="shared" si="85"/>
        <v>1.9499999999999997</v>
      </c>
      <c r="S946" s="2">
        <v>11</v>
      </c>
      <c r="T946" s="3">
        <f t="shared" si="86"/>
        <v>59.73</v>
      </c>
      <c r="U946" s="4">
        <v>0</v>
      </c>
      <c r="V946" s="6">
        <f t="shared" si="87"/>
        <v>0</v>
      </c>
      <c r="W946" s="6">
        <f t="shared" si="88"/>
        <v>59.73</v>
      </c>
      <c r="X946" s="3">
        <v>0.95</v>
      </c>
      <c r="Y946" s="5">
        <f t="shared" si="89"/>
        <v>60.68</v>
      </c>
    </row>
    <row r="947" spans="1:25" x14ac:dyDescent="0.2">
      <c r="A947" t="s">
        <v>1783</v>
      </c>
      <c r="B947" s="1">
        <v>42659</v>
      </c>
      <c r="C947" s="2" t="str">
        <f t="shared" si="84"/>
        <v>2016</v>
      </c>
      <c r="D947" s="2" t="s">
        <v>270</v>
      </c>
      <c r="E947" s="2" t="s">
        <v>271</v>
      </c>
      <c r="F947" s="2" t="s">
        <v>36</v>
      </c>
      <c r="G947" s="2" t="s">
        <v>37</v>
      </c>
      <c r="H947" s="2" t="s">
        <v>42</v>
      </c>
      <c r="I947" s="2" t="s">
        <v>102</v>
      </c>
      <c r="J947" s="2" t="s">
        <v>30</v>
      </c>
      <c r="K947" s="2" t="s">
        <v>163</v>
      </c>
      <c r="L947" s="2" t="s">
        <v>32</v>
      </c>
      <c r="M947" s="2" t="s">
        <v>33</v>
      </c>
      <c r="N947" s="2" t="s">
        <v>27</v>
      </c>
      <c r="O947" s="1">
        <v>42661</v>
      </c>
      <c r="P947" s="3">
        <v>1.0900000000000001</v>
      </c>
      <c r="Q947" s="3">
        <v>2.6</v>
      </c>
      <c r="R947" s="3">
        <f t="shared" si="85"/>
        <v>1.51</v>
      </c>
      <c r="S947" s="2">
        <v>12</v>
      </c>
      <c r="T947" s="3">
        <f t="shared" si="86"/>
        <v>31.200000000000003</v>
      </c>
      <c r="U947" s="4">
        <v>0.05</v>
      </c>
      <c r="V947" s="6">
        <f t="shared" si="87"/>
        <v>1.5600000000000003</v>
      </c>
      <c r="W947" s="6">
        <f t="shared" si="88"/>
        <v>29.640000000000004</v>
      </c>
      <c r="X947" s="3">
        <v>2.4</v>
      </c>
      <c r="Y947" s="5">
        <f t="shared" si="89"/>
        <v>32.040000000000006</v>
      </c>
    </row>
    <row r="948" spans="1:25" x14ac:dyDescent="0.2">
      <c r="A948" t="s">
        <v>1784</v>
      </c>
      <c r="B948" s="1">
        <v>42661</v>
      </c>
      <c r="C948" s="2" t="str">
        <f t="shared" si="84"/>
        <v>2016</v>
      </c>
      <c r="D948" s="2" t="s">
        <v>268</v>
      </c>
      <c r="E948" s="2" t="s">
        <v>269</v>
      </c>
      <c r="F948" s="2" t="s">
        <v>36</v>
      </c>
      <c r="G948" s="2" t="s">
        <v>37</v>
      </c>
      <c r="H948" s="2" t="s">
        <v>21</v>
      </c>
      <c r="I948" s="2" t="s">
        <v>43</v>
      </c>
      <c r="J948" s="2" t="s">
        <v>30</v>
      </c>
      <c r="K948" s="2" t="s">
        <v>260</v>
      </c>
      <c r="L948" s="2" t="s">
        <v>150</v>
      </c>
      <c r="M948" s="2" t="s">
        <v>261</v>
      </c>
      <c r="N948" s="2" t="s">
        <v>27</v>
      </c>
      <c r="O948" s="1">
        <v>42664</v>
      </c>
      <c r="P948" s="3">
        <v>56.16</v>
      </c>
      <c r="Q948" s="3">
        <v>136.97999999999999</v>
      </c>
      <c r="R948" s="3">
        <f t="shared" si="85"/>
        <v>80.819999999999993</v>
      </c>
      <c r="S948" s="2">
        <v>21</v>
      </c>
      <c r="T948" s="3">
        <f t="shared" si="86"/>
        <v>2876.58</v>
      </c>
      <c r="U948" s="4">
        <v>0.05</v>
      </c>
      <c r="V948" s="6">
        <f t="shared" si="87"/>
        <v>143.82900000000001</v>
      </c>
      <c r="W948" s="6">
        <f t="shared" si="88"/>
        <v>2732.7509999999997</v>
      </c>
      <c r="X948" s="3">
        <v>24.49</v>
      </c>
      <c r="Y948" s="5">
        <f t="shared" si="89"/>
        <v>2757.2409999999995</v>
      </c>
    </row>
    <row r="949" spans="1:25" x14ac:dyDescent="0.2">
      <c r="A949" t="s">
        <v>1785</v>
      </c>
      <c r="B949" s="1">
        <v>42662</v>
      </c>
      <c r="C949" s="2" t="str">
        <f t="shared" si="84"/>
        <v>2016</v>
      </c>
      <c r="D949" s="2" t="s">
        <v>267</v>
      </c>
      <c r="E949" s="2" t="s">
        <v>1892</v>
      </c>
      <c r="F949" s="2" t="s">
        <v>1881</v>
      </c>
      <c r="G949" s="2" t="s">
        <v>1882</v>
      </c>
      <c r="H949" s="2" t="s">
        <v>50</v>
      </c>
      <c r="I949" s="2" t="s">
        <v>51</v>
      </c>
      <c r="J949" s="2" t="s">
        <v>66</v>
      </c>
      <c r="K949" s="2" t="s">
        <v>88</v>
      </c>
      <c r="L949" s="2" t="s">
        <v>32</v>
      </c>
      <c r="M949" s="2" t="s">
        <v>58</v>
      </c>
      <c r="N949" s="2" t="s">
        <v>27</v>
      </c>
      <c r="O949" s="1">
        <v>42664</v>
      </c>
      <c r="P949" s="3">
        <v>5.19</v>
      </c>
      <c r="Q949" s="3">
        <v>12.98</v>
      </c>
      <c r="R949" s="3">
        <f t="shared" si="85"/>
        <v>7.79</v>
      </c>
      <c r="S949" s="2">
        <v>49</v>
      </c>
      <c r="T949" s="3">
        <f t="shared" si="86"/>
        <v>636.02</v>
      </c>
      <c r="U949" s="4">
        <v>0.09</v>
      </c>
      <c r="V949" s="6">
        <f t="shared" si="87"/>
        <v>57.241799999999998</v>
      </c>
      <c r="W949" s="6">
        <f t="shared" si="88"/>
        <v>578.77819999999997</v>
      </c>
      <c r="X949" s="3">
        <v>3.14</v>
      </c>
      <c r="Y949" s="5">
        <f t="shared" si="89"/>
        <v>581.91819999999996</v>
      </c>
    </row>
    <row r="950" spans="1:25" x14ac:dyDescent="0.2">
      <c r="A950" t="s">
        <v>1786</v>
      </c>
      <c r="B950" s="1">
        <v>42663</v>
      </c>
      <c r="C950" s="2" t="str">
        <f t="shared" si="84"/>
        <v>2016</v>
      </c>
      <c r="D950" s="2" t="s">
        <v>265</v>
      </c>
      <c r="E950" s="2" t="s">
        <v>266</v>
      </c>
      <c r="F950" s="2" t="s">
        <v>36</v>
      </c>
      <c r="G950" s="2" t="s">
        <v>37</v>
      </c>
      <c r="H950" s="2" t="s">
        <v>21</v>
      </c>
      <c r="I950" s="2" t="s">
        <v>153</v>
      </c>
      <c r="J950" s="2" t="s">
        <v>52</v>
      </c>
      <c r="K950" s="2" t="s">
        <v>103</v>
      </c>
      <c r="L950" s="2" t="s">
        <v>32</v>
      </c>
      <c r="M950" s="2" t="s">
        <v>26</v>
      </c>
      <c r="N950" s="2" t="s">
        <v>27</v>
      </c>
      <c r="O950" s="1">
        <v>42663</v>
      </c>
      <c r="P950" s="3">
        <v>2.2599999999999998</v>
      </c>
      <c r="Q950" s="3">
        <v>3.58</v>
      </c>
      <c r="R950" s="3">
        <f t="shared" si="85"/>
        <v>1.3200000000000003</v>
      </c>
      <c r="S950" s="2">
        <v>34</v>
      </c>
      <c r="T950" s="3">
        <f t="shared" si="86"/>
        <v>121.72</v>
      </c>
      <c r="U950" s="4">
        <v>7.0000000000000007E-2</v>
      </c>
      <c r="V950" s="6">
        <f t="shared" si="87"/>
        <v>8.5204000000000004</v>
      </c>
      <c r="W950" s="6">
        <f t="shared" si="88"/>
        <v>113.1996</v>
      </c>
      <c r="X950" s="3">
        <v>5.47</v>
      </c>
      <c r="Y950" s="5">
        <f t="shared" si="89"/>
        <v>118.6696</v>
      </c>
    </row>
    <row r="951" spans="1:25" x14ac:dyDescent="0.2">
      <c r="A951" t="s">
        <v>1787</v>
      </c>
      <c r="B951" s="1">
        <v>42665</v>
      </c>
      <c r="C951" s="2" t="str">
        <f t="shared" si="84"/>
        <v>2016</v>
      </c>
      <c r="D951" s="2" t="s">
        <v>264</v>
      </c>
      <c r="E951" s="2" t="s">
        <v>204</v>
      </c>
      <c r="F951" s="2" t="s">
        <v>36</v>
      </c>
      <c r="G951" s="2" t="s">
        <v>37</v>
      </c>
      <c r="H951" s="2" t="s">
        <v>42</v>
      </c>
      <c r="I951" s="2" t="s">
        <v>142</v>
      </c>
      <c r="J951" s="2" t="s">
        <v>52</v>
      </c>
      <c r="K951" s="2" t="s">
        <v>47</v>
      </c>
      <c r="L951" s="2" t="s">
        <v>32</v>
      </c>
      <c r="M951" s="2" t="s">
        <v>26</v>
      </c>
      <c r="N951" s="2" t="s">
        <v>27</v>
      </c>
      <c r="O951" s="1">
        <v>42667</v>
      </c>
      <c r="P951" s="3">
        <v>1.59</v>
      </c>
      <c r="Q951" s="3">
        <v>2.61</v>
      </c>
      <c r="R951" s="3">
        <f t="shared" si="85"/>
        <v>1.0199999999999998</v>
      </c>
      <c r="S951" s="2">
        <v>44</v>
      </c>
      <c r="T951" s="3">
        <f t="shared" si="86"/>
        <v>114.83999999999999</v>
      </c>
      <c r="U951" s="4">
        <v>7.0000000000000007E-2</v>
      </c>
      <c r="V951" s="6">
        <f t="shared" si="87"/>
        <v>8.0388000000000002</v>
      </c>
      <c r="W951" s="6">
        <f t="shared" si="88"/>
        <v>106.80119999999999</v>
      </c>
      <c r="X951" s="3">
        <v>0.5</v>
      </c>
      <c r="Y951" s="5">
        <f t="shared" si="89"/>
        <v>107.30119999999999</v>
      </c>
    </row>
    <row r="952" spans="1:25" x14ac:dyDescent="0.2">
      <c r="A952" t="s">
        <v>1788</v>
      </c>
      <c r="B952" s="1">
        <v>42666</v>
      </c>
      <c r="C952" s="2" t="str">
        <f t="shared" si="84"/>
        <v>2016</v>
      </c>
      <c r="D952" s="2" t="s">
        <v>257</v>
      </c>
      <c r="E952" s="2" t="s">
        <v>258</v>
      </c>
      <c r="F952" s="2" t="s">
        <v>36</v>
      </c>
      <c r="G952" s="2" t="s">
        <v>37</v>
      </c>
      <c r="H952" s="2" t="s">
        <v>29</v>
      </c>
      <c r="I952" s="2" t="s">
        <v>102</v>
      </c>
      <c r="J952" s="2" t="s">
        <v>66</v>
      </c>
      <c r="K952" s="2" t="s">
        <v>84</v>
      </c>
      <c r="L952" s="2" t="s">
        <v>25</v>
      </c>
      <c r="M952" s="2" t="s">
        <v>85</v>
      </c>
      <c r="N952" s="2" t="s">
        <v>27</v>
      </c>
      <c r="O952" s="1">
        <v>42668</v>
      </c>
      <c r="P952" s="3">
        <v>8.82</v>
      </c>
      <c r="Q952" s="3">
        <v>20.99</v>
      </c>
      <c r="R952" s="3">
        <f t="shared" si="85"/>
        <v>12.169999999999998</v>
      </c>
      <c r="S952" s="2">
        <v>17</v>
      </c>
      <c r="T952" s="3">
        <f t="shared" si="86"/>
        <v>356.83</v>
      </c>
      <c r="U952" s="4">
        <v>0</v>
      </c>
      <c r="V952" s="6">
        <f t="shared" si="87"/>
        <v>0</v>
      </c>
      <c r="W952" s="6">
        <f t="shared" si="88"/>
        <v>356.83</v>
      </c>
      <c r="X952" s="3">
        <v>4.8099999999999996</v>
      </c>
      <c r="Y952" s="5">
        <f t="shared" si="89"/>
        <v>361.64</v>
      </c>
    </row>
    <row r="953" spans="1:25" x14ac:dyDescent="0.2">
      <c r="A953" t="s">
        <v>1789</v>
      </c>
      <c r="B953" s="1">
        <v>42666</v>
      </c>
      <c r="C953" s="2" t="str">
        <f t="shared" si="84"/>
        <v>2016</v>
      </c>
      <c r="D953" s="2" t="s">
        <v>259</v>
      </c>
      <c r="E953" s="2" t="s">
        <v>222</v>
      </c>
      <c r="F953" s="2" t="s">
        <v>19</v>
      </c>
      <c r="G953" s="2" t="s">
        <v>20</v>
      </c>
      <c r="H953" s="2" t="s">
        <v>50</v>
      </c>
      <c r="I953" s="2" t="s">
        <v>92</v>
      </c>
      <c r="J953" s="2" t="s">
        <v>23</v>
      </c>
      <c r="K953" s="2" t="s">
        <v>260</v>
      </c>
      <c r="L953" s="2" t="s">
        <v>150</v>
      </c>
      <c r="M953" s="2" t="s">
        <v>261</v>
      </c>
      <c r="N953" s="2" t="s">
        <v>27</v>
      </c>
      <c r="O953" s="1">
        <v>42673</v>
      </c>
      <c r="P953" s="3">
        <v>56.16</v>
      </c>
      <c r="Q953" s="3">
        <v>136.97999999999999</v>
      </c>
      <c r="R953" s="3">
        <f t="shared" si="85"/>
        <v>80.819999999999993</v>
      </c>
      <c r="S953" s="2">
        <v>3</v>
      </c>
      <c r="T953" s="3">
        <f t="shared" si="86"/>
        <v>410.93999999999994</v>
      </c>
      <c r="U953" s="4">
        <v>0.1</v>
      </c>
      <c r="V953" s="6">
        <f t="shared" si="87"/>
        <v>41.093999999999994</v>
      </c>
      <c r="W953" s="6">
        <f t="shared" si="88"/>
        <v>369.84599999999995</v>
      </c>
      <c r="X953" s="3">
        <v>24.49</v>
      </c>
      <c r="Y953" s="5">
        <f t="shared" si="89"/>
        <v>394.33599999999996</v>
      </c>
    </row>
    <row r="954" spans="1:25" x14ac:dyDescent="0.2">
      <c r="A954" t="s">
        <v>1790</v>
      </c>
      <c r="B954" s="1">
        <v>42666</v>
      </c>
      <c r="C954" s="2" t="str">
        <f t="shared" si="84"/>
        <v>2016</v>
      </c>
      <c r="D954" s="2" t="s">
        <v>262</v>
      </c>
      <c r="E954" s="2" t="s">
        <v>263</v>
      </c>
      <c r="F954" s="2" t="s">
        <v>36</v>
      </c>
      <c r="G954" s="2" t="s">
        <v>37</v>
      </c>
      <c r="H954" s="2" t="s">
        <v>29</v>
      </c>
      <c r="I954" s="2" t="s">
        <v>142</v>
      </c>
      <c r="J954" s="2" t="s">
        <v>30</v>
      </c>
      <c r="K954" s="2" t="s">
        <v>173</v>
      </c>
      <c r="L954" s="2" t="s">
        <v>32</v>
      </c>
      <c r="M954" s="2" t="s">
        <v>26</v>
      </c>
      <c r="N954" s="2" t="s">
        <v>27</v>
      </c>
      <c r="O954" s="1">
        <v>42668</v>
      </c>
      <c r="P954" s="3">
        <v>1.84</v>
      </c>
      <c r="Q954" s="3">
        <v>2.88</v>
      </c>
      <c r="R954" s="3">
        <f t="shared" si="85"/>
        <v>1.0399999999999998</v>
      </c>
      <c r="S954" s="2">
        <v>32</v>
      </c>
      <c r="T954" s="3">
        <f t="shared" si="86"/>
        <v>92.16</v>
      </c>
      <c r="U954" s="4">
        <v>0.01</v>
      </c>
      <c r="V954" s="6">
        <f t="shared" si="87"/>
        <v>0.92159999999999997</v>
      </c>
      <c r="W954" s="6">
        <f t="shared" si="88"/>
        <v>91.238399999999999</v>
      </c>
      <c r="X954" s="3">
        <v>1.49</v>
      </c>
      <c r="Y954" s="5">
        <f t="shared" si="89"/>
        <v>92.728399999999993</v>
      </c>
    </row>
    <row r="955" spans="1:25" x14ac:dyDescent="0.2">
      <c r="A955" t="s">
        <v>1791</v>
      </c>
      <c r="B955" s="1">
        <v>42668</v>
      </c>
      <c r="C955" s="2" t="str">
        <f t="shared" si="84"/>
        <v>2016</v>
      </c>
      <c r="D955" s="2" t="s">
        <v>253</v>
      </c>
      <c r="E955" s="2" t="s">
        <v>254</v>
      </c>
      <c r="F955" s="2" t="s">
        <v>19</v>
      </c>
      <c r="G955" s="2" t="s">
        <v>20</v>
      </c>
      <c r="H955" s="2" t="s">
        <v>50</v>
      </c>
      <c r="I955" s="2" t="s">
        <v>92</v>
      </c>
      <c r="J955" s="2" t="s">
        <v>66</v>
      </c>
      <c r="K955" s="2" t="s">
        <v>47</v>
      </c>
      <c r="L955" s="2" t="s">
        <v>32</v>
      </c>
      <c r="M955" s="2" t="s">
        <v>26</v>
      </c>
      <c r="N955" s="2" t="s">
        <v>89</v>
      </c>
      <c r="O955" s="1">
        <v>42670</v>
      </c>
      <c r="P955" s="3">
        <v>1.59</v>
      </c>
      <c r="Q955" s="3">
        <v>2.61</v>
      </c>
      <c r="R955" s="3">
        <f t="shared" si="85"/>
        <v>1.0199999999999998</v>
      </c>
      <c r="S955" s="2">
        <v>25</v>
      </c>
      <c r="T955" s="3">
        <f t="shared" si="86"/>
        <v>65.25</v>
      </c>
      <c r="U955" s="4">
        <v>0.04</v>
      </c>
      <c r="V955" s="6">
        <f t="shared" si="87"/>
        <v>2.61</v>
      </c>
      <c r="W955" s="6">
        <f t="shared" si="88"/>
        <v>62.64</v>
      </c>
      <c r="X955" s="3">
        <v>0.5</v>
      </c>
      <c r="Y955" s="5">
        <f t="shared" si="89"/>
        <v>63.14</v>
      </c>
    </row>
    <row r="956" spans="1:25" x14ac:dyDescent="0.2">
      <c r="A956" t="s">
        <v>1792</v>
      </c>
      <c r="B956" s="1">
        <v>42668</v>
      </c>
      <c r="C956" s="2" t="str">
        <f t="shared" si="84"/>
        <v>2016</v>
      </c>
      <c r="D956" s="2" t="s">
        <v>255</v>
      </c>
      <c r="E956" s="2" t="s">
        <v>256</v>
      </c>
      <c r="F956" s="2" t="s">
        <v>36</v>
      </c>
      <c r="G956" s="2" t="s">
        <v>37</v>
      </c>
      <c r="H956" s="2" t="s">
        <v>50</v>
      </c>
      <c r="I956" s="2" t="s">
        <v>153</v>
      </c>
      <c r="J956" s="2" t="s">
        <v>44</v>
      </c>
      <c r="K956" s="2" t="s">
        <v>223</v>
      </c>
      <c r="L956" s="2" t="s">
        <v>32</v>
      </c>
      <c r="M956" s="2" t="s">
        <v>33</v>
      </c>
      <c r="N956" s="2" t="s">
        <v>27</v>
      </c>
      <c r="O956" s="1">
        <v>42670</v>
      </c>
      <c r="P956" s="3">
        <v>0.9</v>
      </c>
      <c r="Q956" s="3">
        <v>2.1</v>
      </c>
      <c r="R956" s="3">
        <f t="shared" si="85"/>
        <v>1.2000000000000002</v>
      </c>
      <c r="S956" s="2">
        <v>33</v>
      </c>
      <c r="T956" s="3">
        <f t="shared" si="86"/>
        <v>69.3</v>
      </c>
      <c r="U956" s="4">
        <v>0.05</v>
      </c>
      <c r="V956" s="6">
        <f t="shared" si="87"/>
        <v>3.4649999999999999</v>
      </c>
      <c r="W956" s="6">
        <f t="shared" si="88"/>
        <v>65.834999999999994</v>
      </c>
      <c r="X956" s="3">
        <v>0.7</v>
      </c>
      <c r="Y956" s="5">
        <f t="shared" si="89"/>
        <v>66.534999999999997</v>
      </c>
    </row>
    <row r="957" spans="1:25" x14ac:dyDescent="0.2">
      <c r="A957" t="s">
        <v>941</v>
      </c>
      <c r="B957" s="1">
        <v>42670</v>
      </c>
      <c r="C957" s="2" t="str">
        <f t="shared" si="84"/>
        <v>2016</v>
      </c>
      <c r="D957" s="2" t="s">
        <v>250</v>
      </c>
      <c r="E957" s="2" t="s">
        <v>251</v>
      </c>
      <c r="F957" s="2" t="s">
        <v>19</v>
      </c>
      <c r="G957" s="2" t="s">
        <v>20</v>
      </c>
      <c r="H957" s="2" t="s">
        <v>21</v>
      </c>
      <c r="I957" s="2" t="s">
        <v>92</v>
      </c>
      <c r="J957" s="2" t="s">
        <v>30</v>
      </c>
      <c r="K957" s="2" t="s">
        <v>174</v>
      </c>
      <c r="L957" s="2" t="s">
        <v>25</v>
      </c>
      <c r="M957" s="2" t="s">
        <v>26</v>
      </c>
      <c r="N957" s="2" t="s">
        <v>27</v>
      </c>
      <c r="O957" s="1">
        <v>42671</v>
      </c>
      <c r="P957" s="3">
        <v>54.52</v>
      </c>
      <c r="Q957" s="3">
        <v>100.97</v>
      </c>
      <c r="R957" s="3">
        <f t="shared" si="85"/>
        <v>46.449999999999996</v>
      </c>
      <c r="S957" s="2">
        <v>29</v>
      </c>
      <c r="T957" s="3">
        <f t="shared" si="86"/>
        <v>2928.13</v>
      </c>
      <c r="U957" s="4">
        <v>0.05</v>
      </c>
      <c r="V957" s="6">
        <f t="shared" si="87"/>
        <v>146.40650000000002</v>
      </c>
      <c r="W957" s="6">
        <f t="shared" si="88"/>
        <v>2781.7235000000001</v>
      </c>
      <c r="X957" s="3">
        <v>7.18</v>
      </c>
      <c r="Y957" s="5">
        <f t="shared" si="89"/>
        <v>2788.9034999999999</v>
      </c>
    </row>
    <row r="958" spans="1:25" x14ac:dyDescent="0.2">
      <c r="A958" t="s">
        <v>942</v>
      </c>
      <c r="B958" s="1">
        <v>42670</v>
      </c>
      <c r="C958" s="2" t="str">
        <f t="shared" si="84"/>
        <v>2016</v>
      </c>
      <c r="D958" s="2" t="s">
        <v>250</v>
      </c>
      <c r="E958" s="2" t="s">
        <v>251</v>
      </c>
      <c r="F958" s="2" t="s">
        <v>19</v>
      </c>
      <c r="G958" s="2" t="s">
        <v>20</v>
      </c>
      <c r="H958" s="2" t="s">
        <v>21</v>
      </c>
      <c r="I958" s="2" t="s">
        <v>92</v>
      </c>
      <c r="J958" s="2" t="s">
        <v>30</v>
      </c>
      <c r="K958" s="2" t="s">
        <v>252</v>
      </c>
      <c r="L958" s="2" t="s">
        <v>32</v>
      </c>
      <c r="M958" s="2" t="s">
        <v>33</v>
      </c>
      <c r="N958" s="2" t="s">
        <v>27</v>
      </c>
      <c r="O958" s="1">
        <v>42670</v>
      </c>
      <c r="P958" s="3">
        <v>2.59</v>
      </c>
      <c r="Q958" s="3">
        <v>3.98</v>
      </c>
      <c r="R958" s="3">
        <f t="shared" si="85"/>
        <v>1.3900000000000001</v>
      </c>
      <c r="S958" s="2">
        <v>4</v>
      </c>
      <c r="T958" s="3">
        <f t="shared" si="86"/>
        <v>15.92</v>
      </c>
      <c r="U958" s="4">
        <v>0.09</v>
      </c>
      <c r="V958" s="6">
        <f t="shared" si="87"/>
        <v>1.4327999999999999</v>
      </c>
      <c r="W958" s="6">
        <f t="shared" si="88"/>
        <v>14.4872</v>
      </c>
      <c r="X958" s="3">
        <v>2.97</v>
      </c>
      <c r="Y958" s="5">
        <f t="shared" si="89"/>
        <v>17.4572</v>
      </c>
    </row>
    <row r="959" spans="1:25" x14ac:dyDescent="0.2">
      <c r="A959" t="s">
        <v>1793</v>
      </c>
      <c r="B959" s="1">
        <v>42671</v>
      </c>
      <c r="C959" s="2" t="str">
        <f t="shared" si="84"/>
        <v>2016</v>
      </c>
      <c r="D959" s="2" t="s">
        <v>245</v>
      </c>
      <c r="E959" s="2" t="s">
        <v>246</v>
      </c>
      <c r="F959" s="2" t="s">
        <v>19</v>
      </c>
      <c r="G959" s="2" t="s">
        <v>20</v>
      </c>
      <c r="H959" s="2" t="s">
        <v>21</v>
      </c>
      <c r="I959" s="2" t="s">
        <v>22</v>
      </c>
      <c r="J959" s="2" t="s">
        <v>23</v>
      </c>
      <c r="K959" s="2" t="s">
        <v>247</v>
      </c>
      <c r="L959" s="2" t="s">
        <v>32</v>
      </c>
      <c r="M959" s="2" t="s">
        <v>26</v>
      </c>
      <c r="N959" s="2" t="s">
        <v>89</v>
      </c>
      <c r="O959" s="1">
        <v>42680</v>
      </c>
      <c r="P959" s="3">
        <v>4.46</v>
      </c>
      <c r="Q959" s="3">
        <v>10.89</v>
      </c>
      <c r="R959" s="3">
        <f t="shared" si="85"/>
        <v>6.4300000000000006</v>
      </c>
      <c r="S959" s="2">
        <v>30</v>
      </c>
      <c r="T959" s="3">
        <f t="shared" si="86"/>
        <v>326.70000000000005</v>
      </c>
      <c r="U959" s="4">
        <v>0.08</v>
      </c>
      <c r="V959" s="6">
        <f t="shared" si="87"/>
        <v>26.136000000000003</v>
      </c>
      <c r="W959" s="6">
        <f t="shared" si="88"/>
        <v>300.56400000000002</v>
      </c>
      <c r="X959" s="3">
        <v>4.5</v>
      </c>
      <c r="Y959" s="5">
        <f t="shared" si="89"/>
        <v>305.06400000000002</v>
      </c>
    </row>
    <row r="960" spans="1:25" x14ac:dyDescent="0.2">
      <c r="A960" t="s">
        <v>1794</v>
      </c>
      <c r="B960" s="1">
        <v>42671</v>
      </c>
      <c r="C960" s="2" t="str">
        <f t="shared" si="84"/>
        <v>2016</v>
      </c>
      <c r="D960" s="2" t="s">
        <v>248</v>
      </c>
      <c r="E960" s="2" t="s">
        <v>249</v>
      </c>
      <c r="F960" s="2" t="s">
        <v>19</v>
      </c>
      <c r="G960" s="2" t="s">
        <v>20</v>
      </c>
      <c r="H960" s="2" t="s">
        <v>50</v>
      </c>
      <c r="I960" s="2" t="s">
        <v>92</v>
      </c>
      <c r="J960" s="2" t="s">
        <v>66</v>
      </c>
      <c r="K960" s="2" t="s">
        <v>211</v>
      </c>
      <c r="L960" s="2" t="s">
        <v>32</v>
      </c>
      <c r="M960" s="2" t="s">
        <v>26</v>
      </c>
      <c r="N960" s="2" t="s">
        <v>27</v>
      </c>
      <c r="O960" s="1">
        <v>42673</v>
      </c>
      <c r="P960" s="3">
        <v>1.98</v>
      </c>
      <c r="Q960" s="3">
        <v>3.15</v>
      </c>
      <c r="R960" s="3">
        <f t="shared" si="85"/>
        <v>1.17</v>
      </c>
      <c r="S960" s="2">
        <v>24</v>
      </c>
      <c r="T960" s="3">
        <f t="shared" si="86"/>
        <v>75.599999999999994</v>
      </c>
      <c r="U960" s="4">
        <v>0.02</v>
      </c>
      <c r="V960" s="6">
        <f t="shared" si="87"/>
        <v>1.512</v>
      </c>
      <c r="W960" s="6">
        <f t="shared" si="88"/>
        <v>74.087999999999994</v>
      </c>
      <c r="X960" s="3">
        <v>0.49</v>
      </c>
      <c r="Y960" s="5">
        <f t="shared" si="89"/>
        <v>74.577999999999989</v>
      </c>
    </row>
    <row r="961" spans="1:25" x14ac:dyDescent="0.2">
      <c r="A961" t="s">
        <v>1795</v>
      </c>
      <c r="B961" s="1">
        <v>42672</v>
      </c>
      <c r="C961" s="2" t="str">
        <f t="shared" si="84"/>
        <v>2016</v>
      </c>
      <c r="D961" s="2" t="s">
        <v>243</v>
      </c>
      <c r="E961" s="2" t="s">
        <v>244</v>
      </c>
      <c r="F961" s="2" t="s">
        <v>36</v>
      </c>
      <c r="G961" s="2" t="s">
        <v>37</v>
      </c>
      <c r="H961" s="2" t="s">
        <v>21</v>
      </c>
      <c r="I961" s="2" t="s">
        <v>75</v>
      </c>
      <c r="J961" s="2" t="s">
        <v>66</v>
      </c>
      <c r="K961" s="2" t="s">
        <v>24</v>
      </c>
      <c r="L961" s="2" t="s">
        <v>25</v>
      </c>
      <c r="M961" s="2" t="s">
        <v>26</v>
      </c>
      <c r="N961" s="2" t="s">
        <v>27</v>
      </c>
      <c r="O961" s="1">
        <v>42673</v>
      </c>
      <c r="P961" s="3">
        <v>6.39</v>
      </c>
      <c r="Q961" s="3">
        <v>19.98</v>
      </c>
      <c r="R961" s="3">
        <f t="shared" si="85"/>
        <v>13.59</v>
      </c>
      <c r="S961" s="2">
        <v>9</v>
      </c>
      <c r="T961" s="3">
        <f t="shared" si="86"/>
        <v>179.82</v>
      </c>
      <c r="U961" s="4">
        <v>0.09</v>
      </c>
      <c r="V961" s="6">
        <f t="shared" si="87"/>
        <v>16.183799999999998</v>
      </c>
      <c r="W961" s="6">
        <f t="shared" si="88"/>
        <v>163.6362</v>
      </c>
      <c r="X961" s="3">
        <v>4</v>
      </c>
      <c r="Y961" s="5">
        <f t="shared" si="89"/>
        <v>167.6362</v>
      </c>
    </row>
    <row r="962" spans="1:25" x14ac:dyDescent="0.2">
      <c r="A962" t="s">
        <v>1796</v>
      </c>
      <c r="B962" s="1">
        <v>42674</v>
      </c>
      <c r="C962" s="2" t="str">
        <f t="shared" si="84"/>
        <v>2016</v>
      </c>
      <c r="D962" s="2" t="s">
        <v>237</v>
      </c>
      <c r="E962" s="2" t="s">
        <v>238</v>
      </c>
      <c r="F962" s="2" t="s">
        <v>36</v>
      </c>
      <c r="G962" s="2" t="s">
        <v>37</v>
      </c>
      <c r="H962" s="2" t="s">
        <v>50</v>
      </c>
      <c r="I962" s="2" t="s">
        <v>96</v>
      </c>
      <c r="J962" s="2" t="s">
        <v>30</v>
      </c>
      <c r="K962" s="2" t="s">
        <v>239</v>
      </c>
      <c r="L962" s="2" t="s">
        <v>25</v>
      </c>
      <c r="M962" s="2" t="s">
        <v>85</v>
      </c>
      <c r="N962" s="2" t="s">
        <v>27</v>
      </c>
      <c r="O962" s="1">
        <v>42674</v>
      </c>
      <c r="P962" s="3">
        <v>9.91</v>
      </c>
      <c r="Q962" s="3">
        <v>15.99</v>
      </c>
      <c r="R962" s="3">
        <f t="shared" si="85"/>
        <v>6.08</v>
      </c>
      <c r="S962" s="2">
        <v>33</v>
      </c>
      <c r="T962" s="3">
        <f t="shared" si="86"/>
        <v>527.66999999999996</v>
      </c>
      <c r="U962" s="4">
        <v>0.01</v>
      </c>
      <c r="V962" s="6">
        <f t="shared" si="87"/>
        <v>5.2766999999999999</v>
      </c>
      <c r="W962" s="6">
        <f t="shared" si="88"/>
        <v>522.39329999999995</v>
      </c>
      <c r="X962" s="3">
        <v>11.28</v>
      </c>
      <c r="Y962" s="5">
        <f t="shared" si="89"/>
        <v>533.67329999999993</v>
      </c>
    </row>
    <row r="963" spans="1:25" x14ac:dyDescent="0.2">
      <c r="A963" t="s">
        <v>1797</v>
      </c>
      <c r="B963" s="1">
        <v>42674</v>
      </c>
      <c r="C963" s="2" t="str">
        <f t="shared" si="84"/>
        <v>2016</v>
      </c>
      <c r="D963" s="2" t="s">
        <v>240</v>
      </c>
      <c r="E963" s="2" t="s">
        <v>202</v>
      </c>
      <c r="F963" s="2" t="s">
        <v>19</v>
      </c>
      <c r="G963" s="2" t="s">
        <v>20</v>
      </c>
      <c r="H963" s="2" t="s">
        <v>50</v>
      </c>
      <c r="I963" s="2" t="s">
        <v>22</v>
      </c>
      <c r="J963" s="2" t="s">
        <v>30</v>
      </c>
      <c r="K963" s="2" t="s">
        <v>241</v>
      </c>
      <c r="L963" s="2" t="s">
        <v>32</v>
      </c>
      <c r="M963" s="2" t="s">
        <v>26</v>
      </c>
      <c r="N963" s="2" t="s">
        <v>27</v>
      </c>
      <c r="O963" s="1">
        <v>42675</v>
      </c>
      <c r="P963" s="3">
        <v>3.65</v>
      </c>
      <c r="Q963" s="3">
        <v>5.98</v>
      </c>
      <c r="R963" s="3">
        <f t="shared" si="85"/>
        <v>2.3300000000000005</v>
      </c>
      <c r="S963" s="2">
        <v>23</v>
      </c>
      <c r="T963" s="3">
        <f t="shared" si="86"/>
        <v>137.54000000000002</v>
      </c>
      <c r="U963" s="4">
        <v>0.01</v>
      </c>
      <c r="V963" s="6">
        <f t="shared" si="87"/>
        <v>1.3754000000000002</v>
      </c>
      <c r="W963" s="6">
        <f t="shared" si="88"/>
        <v>136.16460000000001</v>
      </c>
      <c r="X963" s="3">
        <v>1.49</v>
      </c>
      <c r="Y963" s="5">
        <f t="shared" si="89"/>
        <v>137.65460000000002</v>
      </c>
    </row>
    <row r="964" spans="1:25" x14ac:dyDescent="0.2">
      <c r="A964" t="s">
        <v>1798</v>
      </c>
      <c r="B964" s="1">
        <v>42674</v>
      </c>
      <c r="C964" s="2" t="str">
        <f t="shared" si="84"/>
        <v>2016</v>
      </c>
      <c r="D964" s="2" t="s">
        <v>242</v>
      </c>
      <c r="E964" s="2" t="s">
        <v>238</v>
      </c>
      <c r="F964" s="2" t="s">
        <v>36</v>
      </c>
      <c r="G964" s="2" t="s">
        <v>37</v>
      </c>
      <c r="H964" s="2" t="s">
        <v>21</v>
      </c>
      <c r="I964" s="2" t="s">
        <v>96</v>
      </c>
      <c r="J964" s="2" t="s">
        <v>52</v>
      </c>
      <c r="K964" s="2" t="s">
        <v>72</v>
      </c>
      <c r="L964" s="2" t="s">
        <v>32</v>
      </c>
      <c r="M964" s="2" t="s">
        <v>26</v>
      </c>
      <c r="N964" s="2" t="s">
        <v>27</v>
      </c>
      <c r="O964" s="1">
        <v>42677</v>
      </c>
      <c r="P964" s="3">
        <v>3.5</v>
      </c>
      <c r="Q964" s="3">
        <v>5.74</v>
      </c>
      <c r="R964" s="3">
        <f t="shared" si="85"/>
        <v>2.2400000000000002</v>
      </c>
      <c r="S964" s="2">
        <v>48</v>
      </c>
      <c r="T964" s="3">
        <f t="shared" si="86"/>
        <v>275.52</v>
      </c>
      <c r="U964" s="4">
        <v>0.05</v>
      </c>
      <c r="V964" s="6">
        <f t="shared" si="87"/>
        <v>13.776</v>
      </c>
      <c r="W964" s="6">
        <f t="shared" si="88"/>
        <v>261.74399999999997</v>
      </c>
      <c r="X964" s="3">
        <v>5.01</v>
      </c>
      <c r="Y964" s="5">
        <f t="shared" si="89"/>
        <v>266.75399999999996</v>
      </c>
    </row>
    <row r="965" spans="1:25" x14ac:dyDescent="0.2">
      <c r="A965" t="s">
        <v>1799</v>
      </c>
      <c r="B965" s="1">
        <v>42676</v>
      </c>
      <c r="C965" s="2" t="str">
        <f t="shared" si="84"/>
        <v>2016</v>
      </c>
      <c r="D965" s="2" t="s">
        <v>228</v>
      </c>
      <c r="E965" s="2" t="s">
        <v>229</v>
      </c>
      <c r="F965" s="2" t="s">
        <v>36</v>
      </c>
      <c r="G965" s="2" t="s">
        <v>37</v>
      </c>
      <c r="H965" s="2" t="s">
        <v>50</v>
      </c>
      <c r="I965" s="2" t="s">
        <v>153</v>
      </c>
      <c r="J965" s="2" t="s">
        <v>66</v>
      </c>
      <c r="K965" s="2" t="s">
        <v>117</v>
      </c>
      <c r="L965" s="2" t="s">
        <v>25</v>
      </c>
      <c r="M965" s="2" t="s">
        <v>26</v>
      </c>
      <c r="N965" s="2" t="s">
        <v>27</v>
      </c>
      <c r="O965" s="1">
        <v>42677</v>
      </c>
      <c r="P965" s="3">
        <v>39.64</v>
      </c>
      <c r="Q965" s="3">
        <v>152.47999999999999</v>
      </c>
      <c r="R965" s="3">
        <f t="shared" si="85"/>
        <v>112.83999999999999</v>
      </c>
      <c r="S965" s="2">
        <v>44</v>
      </c>
      <c r="T965" s="3">
        <f t="shared" si="86"/>
        <v>6709.12</v>
      </c>
      <c r="U965" s="4">
        <v>0.03</v>
      </c>
      <c r="V965" s="6">
        <f t="shared" si="87"/>
        <v>201.27359999999999</v>
      </c>
      <c r="W965" s="6">
        <f t="shared" si="88"/>
        <v>6507.8464000000004</v>
      </c>
      <c r="X965" s="3">
        <v>6.5</v>
      </c>
      <c r="Y965" s="5">
        <f t="shared" si="89"/>
        <v>6514.3464000000004</v>
      </c>
    </row>
    <row r="966" spans="1:25" x14ac:dyDescent="0.2">
      <c r="A966" t="s">
        <v>1800</v>
      </c>
      <c r="B966" s="1">
        <v>42676</v>
      </c>
      <c r="C966" s="2" t="str">
        <f t="shared" ref="C966:C1029" si="90">TEXT(B966,"yyyy")</f>
        <v>2016</v>
      </c>
      <c r="D966" s="2" t="s">
        <v>230</v>
      </c>
      <c r="E966" s="2" t="s">
        <v>231</v>
      </c>
      <c r="F966" s="2" t="s">
        <v>36</v>
      </c>
      <c r="G966" s="2" t="s">
        <v>37</v>
      </c>
      <c r="H966" s="2" t="s">
        <v>21</v>
      </c>
      <c r="I966" s="2" t="s">
        <v>79</v>
      </c>
      <c r="J966" s="2" t="s">
        <v>52</v>
      </c>
      <c r="K966" s="2" t="s">
        <v>232</v>
      </c>
      <c r="L966" s="2" t="s">
        <v>32</v>
      </c>
      <c r="M966" s="2" t="s">
        <v>58</v>
      </c>
      <c r="N966" s="2" t="s">
        <v>27</v>
      </c>
      <c r="O966" s="1">
        <v>42677</v>
      </c>
      <c r="P966" s="3">
        <v>2.5</v>
      </c>
      <c r="Q966" s="3">
        <v>5.68</v>
      </c>
      <c r="R966" s="3">
        <f t="shared" ref="R966:R1029" si="91">Q966-P966</f>
        <v>3.1799999999999997</v>
      </c>
      <c r="S966" s="2">
        <v>34</v>
      </c>
      <c r="T966" s="3">
        <f t="shared" ref="T966:T1029" si="92">Q966*S966</f>
        <v>193.12</v>
      </c>
      <c r="U966" s="4">
        <v>0</v>
      </c>
      <c r="V966" s="6">
        <f t="shared" ref="V966:V1029" si="93">T966*U966</f>
        <v>0</v>
      </c>
      <c r="W966" s="6">
        <f t="shared" ref="W966:W1029" si="94">T966-V966</f>
        <v>193.12</v>
      </c>
      <c r="X966" s="3">
        <v>3.6</v>
      </c>
      <c r="Y966" s="5">
        <f t="shared" ref="Y966:Y1029" si="95">W966+X966</f>
        <v>196.72</v>
      </c>
    </row>
    <row r="967" spans="1:25" x14ac:dyDescent="0.2">
      <c r="A967" t="s">
        <v>1801</v>
      </c>
      <c r="B967" s="1">
        <v>42676</v>
      </c>
      <c r="C967" s="2" t="str">
        <f t="shared" si="90"/>
        <v>2016</v>
      </c>
      <c r="D967" s="2" t="s">
        <v>233</v>
      </c>
      <c r="E967" s="2" t="s">
        <v>1900</v>
      </c>
      <c r="F967" s="2" t="s">
        <v>1881</v>
      </c>
      <c r="G967" s="2" t="s">
        <v>1882</v>
      </c>
      <c r="H967" s="2" t="s">
        <v>21</v>
      </c>
      <c r="I967" s="2" t="s">
        <v>43</v>
      </c>
      <c r="J967" s="2" t="s">
        <v>52</v>
      </c>
      <c r="K967" s="2" t="s">
        <v>234</v>
      </c>
      <c r="L967" s="2" t="s">
        <v>32</v>
      </c>
      <c r="M967" s="2" t="s">
        <v>58</v>
      </c>
      <c r="N967" s="2" t="s">
        <v>27</v>
      </c>
      <c r="O967" s="1">
        <v>42678</v>
      </c>
      <c r="P967" s="3">
        <v>16.8</v>
      </c>
      <c r="Q967" s="3">
        <v>40.97</v>
      </c>
      <c r="R967" s="3">
        <f t="shared" si="91"/>
        <v>24.169999999999998</v>
      </c>
      <c r="S967" s="2">
        <v>26</v>
      </c>
      <c r="T967" s="3">
        <f t="shared" si="92"/>
        <v>1065.22</v>
      </c>
      <c r="U967" s="4">
        <v>0.06</v>
      </c>
      <c r="V967" s="6">
        <f t="shared" si="93"/>
        <v>63.913199999999996</v>
      </c>
      <c r="W967" s="6">
        <f t="shared" si="94"/>
        <v>1001.3068000000001</v>
      </c>
      <c r="X967" s="3">
        <v>8.99</v>
      </c>
      <c r="Y967" s="5">
        <f t="shared" si="95"/>
        <v>1010.2968000000001</v>
      </c>
    </row>
    <row r="968" spans="1:25" x14ac:dyDescent="0.2">
      <c r="A968" t="s">
        <v>1802</v>
      </c>
      <c r="B968" s="1">
        <v>42676</v>
      </c>
      <c r="C968" s="2" t="str">
        <f t="shared" si="90"/>
        <v>2016</v>
      </c>
      <c r="D968" s="2" t="s">
        <v>235</v>
      </c>
      <c r="E968" s="2" t="s">
        <v>105</v>
      </c>
      <c r="F968" s="2" t="s">
        <v>36</v>
      </c>
      <c r="G968" s="2" t="s">
        <v>37</v>
      </c>
      <c r="H968" s="2" t="s">
        <v>21</v>
      </c>
      <c r="I968" s="2" t="s">
        <v>56</v>
      </c>
      <c r="J968" s="2" t="s">
        <v>23</v>
      </c>
      <c r="K968" s="2" t="s">
        <v>236</v>
      </c>
      <c r="L968" s="2" t="s">
        <v>32</v>
      </c>
      <c r="M968" s="2" t="s">
        <v>33</v>
      </c>
      <c r="N968" s="2" t="s">
        <v>27</v>
      </c>
      <c r="O968" s="1">
        <v>42680</v>
      </c>
      <c r="P968" s="3">
        <v>1.3</v>
      </c>
      <c r="Q968" s="3">
        <v>2.88</v>
      </c>
      <c r="R968" s="3">
        <f t="shared" si="91"/>
        <v>1.5799999999999998</v>
      </c>
      <c r="S968" s="2">
        <v>41</v>
      </c>
      <c r="T968" s="3">
        <f t="shared" si="92"/>
        <v>118.08</v>
      </c>
      <c r="U968" s="4">
        <v>0.1</v>
      </c>
      <c r="V968" s="6">
        <f t="shared" si="93"/>
        <v>11.808</v>
      </c>
      <c r="W968" s="6">
        <f t="shared" si="94"/>
        <v>106.27199999999999</v>
      </c>
      <c r="X968" s="3">
        <v>1.01</v>
      </c>
      <c r="Y968" s="5">
        <f t="shared" si="95"/>
        <v>107.282</v>
      </c>
    </row>
    <row r="969" spans="1:25" x14ac:dyDescent="0.2">
      <c r="A969" t="s">
        <v>1803</v>
      </c>
      <c r="B969" s="1">
        <v>42677</v>
      </c>
      <c r="C969" s="2" t="str">
        <f t="shared" si="90"/>
        <v>2016</v>
      </c>
      <c r="D969" s="2" t="s">
        <v>226</v>
      </c>
      <c r="E969" s="2" t="s">
        <v>161</v>
      </c>
      <c r="F969" s="2" t="s">
        <v>36</v>
      </c>
      <c r="G969" s="2" t="s">
        <v>37</v>
      </c>
      <c r="H969" s="2" t="s">
        <v>50</v>
      </c>
      <c r="I969" s="2" t="s">
        <v>51</v>
      </c>
      <c r="J969" s="2" t="s">
        <v>52</v>
      </c>
      <c r="K969" s="2" t="s">
        <v>227</v>
      </c>
      <c r="L969" s="2" t="s">
        <v>32</v>
      </c>
      <c r="M969" s="2" t="s">
        <v>26</v>
      </c>
      <c r="N969" s="2" t="s">
        <v>27</v>
      </c>
      <c r="O969" s="1">
        <v>42678</v>
      </c>
      <c r="P969" s="3">
        <v>3.84</v>
      </c>
      <c r="Q969" s="3">
        <v>6.3</v>
      </c>
      <c r="R969" s="3">
        <f t="shared" si="91"/>
        <v>2.46</v>
      </c>
      <c r="S969" s="2">
        <v>35</v>
      </c>
      <c r="T969" s="3">
        <f t="shared" si="92"/>
        <v>220.5</v>
      </c>
      <c r="U969" s="4">
        <v>0.03</v>
      </c>
      <c r="V969" s="6">
        <f t="shared" si="93"/>
        <v>6.6149999999999993</v>
      </c>
      <c r="W969" s="6">
        <f t="shared" si="94"/>
        <v>213.88499999999999</v>
      </c>
      <c r="X969" s="3">
        <v>0.5</v>
      </c>
      <c r="Y969" s="5">
        <f t="shared" si="95"/>
        <v>214.38499999999999</v>
      </c>
    </row>
    <row r="970" spans="1:25" x14ac:dyDescent="0.2">
      <c r="A970" t="s">
        <v>1804</v>
      </c>
      <c r="B970" s="1">
        <v>42679</v>
      </c>
      <c r="C970" s="2" t="str">
        <f t="shared" si="90"/>
        <v>2016</v>
      </c>
      <c r="D970" s="2" t="s">
        <v>224</v>
      </c>
      <c r="E970" s="2" t="s">
        <v>1932</v>
      </c>
      <c r="F970" s="2" t="s">
        <v>36</v>
      </c>
      <c r="G970" s="2" t="s">
        <v>37</v>
      </c>
      <c r="H970" s="2" t="s">
        <v>42</v>
      </c>
      <c r="I970" s="2" t="s">
        <v>43</v>
      </c>
      <c r="J970" s="2" t="s">
        <v>23</v>
      </c>
      <c r="K970" s="2" t="s">
        <v>72</v>
      </c>
      <c r="L970" s="2" t="s">
        <v>32</v>
      </c>
      <c r="M970" s="2" t="s">
        <v>26</v>
      </c>
      <c r="N970" s="2" t="s">
        <v>27</v>
      </c>
      <c r="O970" s="1">
        <v>42686</v>
      </c>
      <c r="P970" s="3">
        <v>3.5</v>
      </c>
      <c r="Q970" s="3">
        <v>5.74</v>
      </c>
      <c r="R970" s="3">
        <f t="shared" si="91"/>
        <v>2.2400000000000002</v>
      </c>
      <c r="S970" s="2">
        <v>5</v>
      </c>
      <c r="T970" s="3">
        <f t="shared" si="92"/>
        <v>28.700000000000003</v>
      </c>
      <c r="U970" s="4">
        <v>7.0000000000000007E-2</v>
      </c>
      <c r="V970" s="6">
        <f t="shared" si="93"/>
        <v>2.0090000000000003</v>
      </c>
      <c r="W970" s="6">
        <f t="shared" si="94"/>
        <v>26.691000000000003</v>
      </c>
      <c r="X970" s="3">
        <v>5.01</v>
      </c>
      <c r="Y970" s="5">
        <f t="shared" si="95"/>
        <v>31.701000000000001</v>
      </c>
    </row>
    <row r="971" spans="1:25" x14ac:dyDescent="0.2">
      <c r="A971" t="s">
        <v>1805</v>
      </c>
      <c r="B971" s="1">
        <v>42682</v>
      </c>
      <c r="C971" s="2" t="str">
        <f t="shared" si="90"/>
        <v>2016</v>
      </c>
      <c r="D971" s="2" t="s">
        <v>218</v>
      </c>
      <c r="E971" s="2" t="s">
        <v>65</v>
      </c>
      <c r="F971" s="2" t="s">
        <v>36</v>
      </c>
      <c r="G971" s="2" t="s">
        <v>37</v>
      </c>
      <c r="H971" s="2" t="s">
        <v>29</v>
      </c>
      <c r="I971" s="2" t="s">
        <v>43</v>
      </c>
      <c r="J971" s="2" t="s">
        <v>23</v>
      </c>
      <c r="K971" s="2" t="s">
        <v>154</v>
      </c>
      <c r="L971" s="2" t="s">
        <v>32</v>
      </c>
      <c r="M971" s="2" t="s">
        <v>26</v>
      </c>
      <c r="N971" s="2" t="s">
        <v>27</v>
      </c>
      <c r="O971" s="1">
        <v>42687</v>
      </c>
      <c r="P971" s="3">
        <v>8.92</v>
      </c>
      <c r="Q971" s="3">
        <v>29.74</v>
      </c>
      <c r="R971" s="3">
        <f t="shared" si="91"/>
        <v>20.82</v>
      </c>
      <c r="S971" s="2">
        <v>31</v>
      </c>
      <c r="T971" s="3">
        <f t="shared" si="92"/>
        <v>921.93999999999994</v>
      </c>
      <c r="U971" s="4">
        <v>0</v>
      </c>
      <c r="V971" s="6">
        <f t="shared" si="93"/>
        <v>0</v>
      </c>
      <c r="W971" s="6">
        <f t="shared" si="94"/>
        <v>921.93999999999994</v>
      </c>
      <c r="X971" s="3">
        <v>6.64</v>
      </c>
      <c r="Y971" s="5">
        <f t="shared" si="95"/>
        <v>928.57999999999993</v>
      </c>
    </row>
    <row r="972" spans="1:25" x14ac:dyDescent="0.2">
      <c r="A972" t="s">
        <v>1806</v>
      </c>
      <c r="B972" s="1">
        <v>42682</v>
      </c>
      <c r="C972" s="2" t="str">
        <f t="shared" si="90"/>
        <v>2016</v>
      </c>
      <c r="D972" s="2" t="s">
        <v>219</v>
      </c>
      <c r="E972" s="2" t="s">
        <v>1891</v>
      </c>
      <c r="F972" s="2" t="s">
        <v>1881</v>
      </c>
      <c r="G972" s="2" t="s">
        <v>1882</v>
      </c>
      <c r="H972" s="2" t="s">
        <v>21</v>
      </c>
      <c r="I972" s="2" t="s">
        <v>124</v>
      </c>
      <c r="J972" s="2" t="s">
        <v>23</v>
      </c>
      <c r="K972" s="2" t="s">
        <v>220</v>
      </c>
      <c r="L972" s="2" t="s">
        <v>32</v>
      </c>
      <c r="M972" s="2" t="s">
        <v>33</v>
      </c>
      <c r="N972" s="2" t="s">
        <v>27</v>
      </c>
      <c r="O972" s="1">
        <v>42684</v>
      </c>
      <c r="P972" s="3">
        <v>1.0900000000000001</v>
      </c>
      <c r="Q972" s="3">
        <v>1.82</v>
      </c>
      <c r="R972" s="3">
        <f t="shared" si="91"/>
        <v>0.73</v>
      </c>
      <c r="S972" s="2">
        <v>40</v>
      </c>
      <c r="T972" s="3">
        <f t="shared" si="92"/>
        <v>72.8</v>
      </c>
      <c r="U972" s="4">
        <v>0.05</v>
      </c>
      <c r="V972" s="6">
        <f t="shared" si="93"/>
        <v>3.64</v>
      </c>
      <c r="W972" s="6">
        <f t="shared" si="94"/>
        <v>69.16</v>
      </c>
      <c r="X972" s="3">
        <v>1</v>
      </c>
      <c r="Y972" s="5">
        <f t="shared" si="95"/>
        <v>70.16</v>
      </c>
    </row>
    <row r="973" spans="1:25" x14ac:dyDescent="0.2">
      <c r="A973" t="s">
        <v>1807</v>
      </c>
      <c r="B973" s="1">
        <v>42682</v>
      </c>
      <c r="C973" s="2" t="str">
        <f t="shared" si="90"/>
        <v>2016</v>
      </c>
      <c r="D973" s="2" t="s">
        <v>221</v>
      </c>
      <c r="E973" s="2" t="s">
        <v>222</v>
      </c>
      <c r="F973" s="2" t="s">
        <v>19</v>
      </c>
      <c r="G973" s="2" t="s">
        <v>20</v>
      </c>
      <c r="H973" s="2" t="s">
        <v>29</v>
      </c>
      <c r="I973" s="2" t="s">
        <v>92</v>
      </c>
      <c r="J973" s="2" t="s">
        <v>52</v>
      </c>
      <c r="K973" s="2" t="s">
        <v>223</v>
      </c>
      <c r="L973" s="2" t="s">
        <v>32</v>
      </c>
      <c r="M973" s="2" t="s">
        <v>33</v>
      </c>
      <c r="N973" s="2" t="s">
        <v>27</v>
      </c>
      <c r="O973" s="1">
        <v>42682</v>
      </c>
      <c r="P973" s="3">
        <v>0.9</v>
      </c>
      <c r="Q973" s="3">
        <v>2.1</v>
      </c>
      <c r="R973" s="3">
        <f t="shared" si="91"/>
        <v>1.2000000000000002</v>
      </c>
      <c r="S973" s="2">
        <v>27</v>
      </c>
      <c r="T973" s="3">
        <f t="shared" si="92"/>
        <v>56.7</v>
      </c>
      <c r="U973" s="4">
        <v>0.04</v>
      </c>
      <c r="V973" s="6">
        <f t="shared" si="93"/>
        <v>2.2680000000000002</v>
      </c>
      <c r="W973" s="6">
        <f t="shared" si="94"/>
        <v>54.432000000000002</v>
      </c>
      <c r="X973" s="3">
        <v>0.7</v>
      </c>
      <c r="Y973" s="5">
        <f t="shared" si="95"/>
        <v>55.132000000000005</v>
      </c>
    </row>
    <row r="974" spans="1:25" x14ac:dyDescent="0.2">
      <c r="A974" t="s">
        <v>1808</v>
      </c>
      <c r="B974" s="1">
        <v>42683</v>
      </c>
      <c r="C974" s="2" t="str">
        <f t="shared" si="90"/>
        <v>2016</v>
      </c>
      <c r="D974" s="2" t="s">
        <v>216</v>
      </c>
      <c r="E974" s="2" t="s">
        <v>217</v>
      </c>
      <c r="F974" s="2" t="s">
        <v>36</v>
      </c>
      <c r="G974" s="2" t="s">
        <v>37</v>
      </c>
      <c r="H974" s="2" t="s">
        <v>50</v>
      </c>
      <c r="I974" s="2" t="s">
        <v>56</v>
      </c>
      <c r="J974" s="2" t="s">
        <v>44</v>
      </c>
      <c r="K974" s="2" t="s">
        <v>139</v>
      </c>
      <c r="L974" s="2" t="s">
        <v>32</v>
      </c>
      <c r="M974" s="2" t="s">
        <v>58</v>
      </c>
      <c r="N974" s="2" t="s">
        <v>27</v>
      </c>
      <c r="O974" s="1">
        <v>42685</v>
      </c>
      <c r="P974" s="3">
        <v>0.94</v>
      </c>
      <c r="Q974" s="3">
        <v>2.08</v>
      </c>
      <c r="R974" s="3">
        <f t="shared" si="91"/>
        <v>1.1400000000000001</v>
      </c>
      <c r="S974" s="2">
        <v>39</v>
      </c>
      <c r="T974" s="3">
        <f t="shared" si="92"/>
        <v>81.12</v>
      </c>
      <c r="U974" s="4">
        <v>0.04</v>
      </c>
      <c r="V974" s="6">
        <f t="shared" si="93"/>
        <v>3.2448000000000001</v>
      </c>
      <c r="W974" s="6">
        <f t="shared" si="94"/>
        <v>77.875200000000007</v>
      </c>
      <c r="X974" s="3">
        <v>2.56</v>
      </c>
      <c r="Y974" s="5">
        <f t="shared" si="95"/>
        <v>80.435200000000009</v>
      </c>
    </row>
    <row r="975" spans="1:25" x14ac:dyDescent="0.2">
      <c r="A975" t="s">
        <v>1809</v>
      </c>
      <c r="B975" s="1">
        <v>42684</v>
      </c>
      <c r="C975" s="2" t="str">
        <f t="shared" si="90"/>
        <v>2016</v>
      </c>
      <c r="D975" s="2" t="s">
        <v>214</v>
      </c>
      <c r="E975" s="2" t="s">
        <v>105</v>
      </c>
      <c r="F975" s="2" t="s">
        <v>36</v>
      </c>
      <c r="G975" s="2" t="s">
        <v>37</v>
      </c>
      <c r="H975" s="2" t="s">
        <v>29</v>
      </c>
      <c r="I975" s="2" t="s">
        <v>56</v>
      </c>
      <c r="J975" s="2" t="s">
        <v>52</v>
      </c>
      <c r="K975" s="2" t="s">
        <v>215</v>
      </c>
      <c r="L975" s="2" t="s">
        <v>25</v>
      </c>
      <c r="M975" s="2" t="s">
        <v>58</v>
      </c>
      <c r="N975" s="2" t="s">
        <v>27</v>
      </c>
      <c r="O975" s="1">
        <v>42686</v>
      </c>
      <c r="P975" s="3">
        <v>20.18</v>
      </c>
      <c r="Q975" s="3">
        <v>35.409999999999997</v>
      </c>
      <c r="R975" s="3">
        <f t="shared" si="91"/>
        <v>15.229999999999997</v>
      </c>
      <c r="S975" s="2">
        <v>21</v>
      </c>
      <c r="T975" s="3">
        <f t="shared" si="92"/>
        <v>743.6099999999999</v>
      </c>
      <c r="U975" s="4">
        <v>0.09</v>
      </c>
      <c r="V975" s="6">
        <f t="shared" si="93"/>
        <v>66.924899999999994</v>
      </c>
      <c r="W975" s="6">
        <f t="shared" si="94"/>
        <v>676.68509999999992</v>
      </c>
      <c r="X975" s="3">
        <v>1.99</v>
      </c>
      <c r="Y975" s="5">
        <f t="shared" si="95"/>
        <v>678.67509999999993</v>
      </c>
    </row>
    <row r="976" spans="1:25" x14ac:dyDescent="0.2">
      <c r="A976" t="s">
        <v>1810</v>
      </c>
      <c r="B976" s="1">
        <v>42686</v>
      </c>
      <c r="C976" s="2" t="str">
        <f t="shared" si="90"/>
        <v>2016</v>
      </c>
      <c r="D976" s="2" t="s">
        <v>212</v>
      </c>
      <c r="E976" s="2" t="s">
        <v>213</v>
      </c>
      <c r="F976" s="2" t="s">
        <v>36</v>
      </c>
      <c r="G976" s="2" t="s">
        <v>37</v>
      </c>
      <c r="H976" s="2" t="s">
        <v>42</v>
      </c>
      <c r="I976" s="2" t="s">
        <v>79</v>
      </c>
      <c r="J976" s="2" t="s">
        <v>52</v>
      </c>
      <c r="K976" s="2" t="s">
        <v>93</v>
      </c>
      <c r="L976" s="2" t="s">
        <v>32</v>
      </c>
      <c r="M976" s="2" t="s">
        <v>26</v>
      </c>
      <c r="N976" s="2" t="s">
        <v>27</v>
      </c>
      <c r="O976" s="1">
        <v>42686</v>
      </c>
      <c r="P976" s="3">
        <v>19.829999999999998</v>
      </c>
      <c r="Q976" s="3">
        <v>30.98</v>
      </c>
      <c r="R976" s="3">
        <f t="shared" si="91"/>
        <v>11.150000000000002</v>
      </c>
      <c r="S976" s="2">
        <v>15</v>
      </c>
      <c r="T976" s="3">
        <f t="shared" si="92"/>
        <v>464.7</v>
      </c>
      <c r="U976" s="4">
        <v>0</v>
      </c>
      <c r="V976" s="6">
        <f t="shared" si="93"/>
        <v>0</v>
      </c>
      <c r="W976" s="6">
        <f t="shared" si="94"/>
        <v>464.7</v>
      </c>
      <c r="X976" s="3">
        <v>19.510000000000002</v>
      </c>
      <c r="Y976" s="5">
        <f t="shared" si="95"/>
        <v>484.21</v>
      </c>
    </row>
    <row r="977" spans="1:25" x14ac:dyDescent="0.2">
      <c r="A977" t="s">
        <v>1811</v>
      </c>
      <c r="B977" s="1">
        <v>42687</v>
      </c>
      <c r="C977" s="2" t="str">
        <f t="shared" si="90"/>
        <v>2016</v>
      </c>
      <c r="D977" s="2" t="s">
        <v>210</v>
      </c>
      <c r="E977" s="2" t="s">
        <v>110</v>
      </c>
      <c r="F977" s="2" t="s">
        <v>36</v>
      </c>
      <c r="G977" s="2" t="s">
        <v>37</v>
      </c>
      <c r="H977" s="2" t="s">
        <v>42</v>
      </c>
      <c r="I977" s="2" t="s">
        <v>75</v>
      </c>
      <c r="J977" s="2" t="s">
        <v>23</v>
      </c>
      <c r="K977" s="2" t="s">
        <v>211</v>
      </c>
      <c r="L977" s="2" t="s">
        <v>32</v>
      </c>
      <c r="M977" s="2" t="s">
        <v>26</v>
      </c>
      <c r="N977" s="2" t="s">
        <v>27</v>
      </c>
      <c r="O977" s="1">
        <v>42689</v>
      </c>
      <c r="P977" s="3">
        <v>1.98</v>
      </c>
      <c r="Q977" s="3">
        <v>3.15</v>
      </c>
      <c r="R977" s="3">
        <f t="shared" si="91"/>
        <v>1.17</v>
      </c>
      <c r="S977" s="2">
        <v>41</v>
      </c>
      <c r="T977" s="3">
        <f t="shared" si="92"/>
        <v>129.15</v>
      </c>
      <c r="U977" s="4">
        <v>0.06</v>
      </c>
      <c r="V977" s="6">
        <f t="shared" si="93"/>
        <v>7.7489999999999997</v>
      </c>
      <c r="W977" s="6">
        <f t="shared" si="94"/>
        <v>121.40100000000001</v>
      </c>
      <c r="X977" s="3">
        <v>0.49</v>
      </c>
      <c r="Y977" s="5">
        <f t="shared" si="95"/>
        <v>121.89100000000001</v>
      </c>
    </row>
    <row r="978" spans="1:25" x14ac:dyDescent="0.2">
      <c r="A978" t="s">
        <v>1812</v>
      </c>
      <c r="B978" s="1">
        <v>42688</v>
      </c>
      <c r="C978" s="2" t="str">
        <f t="shared" si="90"/>
        <v>2016</v>
      </c>
      <c r="D978" s="2" t="s">
        <v>208</v>
      </c>
      <c r="E978" s="2" t="s">
        <v>209</v>
      </c>
      <c r="F978" s="2" t="s">
        <v>36</v>
      </c>
      <c r="G978" s="2" t="s">
        <v>37</v>
      </c>
      <c r="H978" s="2" t="s">
        <v>50</v>
      </c>
      <c r="I978" s="2" t="s">
        <v>43</v>
      </c>
      <c r="J978" s="2" t="s">
        <v>30</v>
      </c>
      <c r="K978" s="2" t="s">
        <v>163</v>
      </c>
      <c r="L978" s="2" t="s">
        <v>32</v>
      </c>
      <c r="M978" s="2" t="s">
        <v>33</v>
      </c>
      <c r="N978" s="2" t="s">
        <v>27</v>
      </c>
      <c r="O978" s="1">
        <v>42689</v>
      </c>
      <c r="P978" s="3">
        <v>1.0900000000000001</v>
      </c>
      <c r="Q978" s="3">
        <v>2.6</v>
      </c>
      <c r="R978" s="3">
        <f t="shared" si="91"/>
        <v>1.51</v>
      </c>
      <c r="S978" s="2">
        <v>11</v>
      </c>
      <c r="T978" s="3">
        <f t="shared" si="92"/>
        <v>28.6</v>
      </c>
      <c r="U978" s="4">
        <v>0.09</v>
      </c>
      <c r="V978" s="6">
        <f t="shared" si="93"/>
        <v>2.5739999999999998</v>
      </c>
      <c r="W978" s="6">
        <f t="shared" si="94"/>
        <v>26.026000000000003</v>
      </c>
      <c r="X978" s="3">
        <v>2.4</v>
      </c>
      <c r="Y978" s="5">
        <f t="shared" si="95"/>
        <v>28.426000000000002</v>
      </c>
    </row>
    <row r="979" spans="1:25" x14ac:dyDescent="0.2">
      <c r="A979" t="s">
        <v>1813</v>
      </c>
      <c r="B979" s="1">
        <v>42690</v>
      </c>
      <c r="C979" s="2" t="str">
        <f t="shared" si="90"/>
        <v>2016</v>
      </c>
      <c r="D979" s="2" t="s">
        <v>206</v>
      </c>
      <c r="E979" s="2" t="s">
        <v>49</v>
      </c>
      <c r="F979" s="2" t="s">
        <v>36</v>
      </c>
      <c r="G979" s="2" t="s">
        <v>37</v>
      </c>
      <c r="H979" s="2" t="s">
        <v>50</v>
      </c>
      <c r="I979" s="2" t="s">
        <v>51</v>
      </c>
      <c r="J979" s="2" t="s">
        <v>44</v>
      </c>
      <c r="K979" s="2" t="s">
        <v>207</v>
      </c>
      <c r="L979" s="2" t="s">
        <v>32</v>
      </c>
      <c r="M979" s="2" t="s">
        <v>33</v>
      </c>
      <c r="N979" s="2" t="s">
        <v>27</v>
      </c>
      <c r="O979" s="1">
        <v>42690</v>
      </c>
      <c r="P979" s="3">
        <v>2.29</v>
      </c>
      <c r="Q979" s="3">
        <v>3.58</v>
      </c>
      <c r="R979" s="3">
        <f t="shared" si="91"/>
        <v>1.29</v>
      </c>
      <c r="S979" s="2">
        <v>32</v>
      </c>
      <c r="T979" s="3">
        <f t="shared" si="92"/>
        <v>114.56</v>
      </c>
      <c r="U979" s="4">
        <v>0.09</v>
      </c>
      <c r="V979" s="6">
        <f t="shared" si="93"/>
        <v>10.3104</v>
      </c>
      <c r="W979" s="6">
        <f t="shared" si="94"/>
        <v>104.2496</v>
      </c>
      <c r="X979" s="3">
        <v>1.63</v>
      </c>
      <c r="Y979" s="5">
        <f t="shared" si="95"/>
        <v>105.8796</v>
      </c>
    </row>
    <row r="980" spans="1:25" x14ac:dyDescent="0.2">
      <c r="A980" t="s">
        <v>1814</v>
      </c>
      <c r="B980" s="1">
        <v>42691</v>
      </c>
      <c r="C980" s="2" t="str">
        <f t="shared" si="90"/>
        <v>2016</v>
      </c>
      <c r="D980" s="2" t="s">
        <v>201</v>
      </c>
      <c r="E980" s="2" t="s">
        <v>202</v>
      </c>
      <c r="F980" s="2" t="s">
        <v>19</v>
      </c>
      <c r="G980" s="2" t="s">
        <v>20</v>
      </c>
      <c r="H980" s="2" t="s">
        <v>42</v>
      </c>
      <c r="I980" s="2" t="s">
        <v>22</v>
      </c>
      <c r="J980" s="2" t="s">
        <v>44</v>
      </c>
      <c r="K980" s="2" t="s">
        <v>39</v>
      </c>
      <c r="L980" s="2" t="s">
        <v>32</v>
      </c>
      <c r="M980" s="2" t="s">
        <v>26</v>
      </c>
      <c r="N980" s="2" t="s">
        <v>27</v>
      </c>
      <c r="O980" s="1">
        <v>42693</v>
      </c>
      <c r="P980" s="3">
        <v>13.64</v>
      </c>
      <c r="Q980" s="3">
        <v>20.98</v>
      </c>
      <c r="R980" s="3">
        <f t="shared" si="91"/>
        <v>7.34</v>
      </c>
      <c r="S980" s="2">
        <v>42</v>
      </c>
      <c r="T980" s="3">
        <f t="shared" si="92"/>
        <v>881.16</v>
      </c>
      <c r="U980" s="4">
        <v>0.1</v>
      </c>
      <c r="V980" s="6">
        <f t="shared" si="93"/>
        <v>88.116</v>
      </c>
      <c r="W980" s="6">
        <f t="shared" si="94"/>
        <v>793.04399999999998</v>
      </c>
      <c r="X980" s="3">
        <v>1.49</v>
      </c>
      <c r="Y980" s="5">
        <f t="shared" si="95"/>
        <v>794.53399999999999</v>
      </c>
    </row>
    <row r="981" spans="1:25" x14ac:dyDescent="0.2">
      <c r="A981" t="s">
        <v>1815</v>
      </c>
      <c r="B981" s="1">
        <v>42691</v>
      </c>
      <c r="C981" s="2" t="str">
        <f t="shared" si="90"/>
        <v>2016</v>
      </c>
      <c r="D981" s="2" t="s">
        <v>203</v>
      </c>
      <c r="E981" s="2" t="s">
        <v>204</v>
      </c>
      <c r="F981" s="2" t="s">
        <v>36</v>
      </c>
      <c r="G981" s="2" t="s">
        <v>37</v>
      </c>
      <c r="H981" s="2" t="s">
        <v>50</v>
      </c>
      <c r="I981" s="2" t="s">
        <v>142</v>
      </c>
      <c r="J981" s="2" t="s">
        <v>30</v>
      </c>
      <c r="K981" s="2" t="s">
        <v>205</v>
      </c>
      <c r="L981" s="2" t="s">
        <v>32</v>
      </c>
      <c r="M981" s="2" t="s">
        <v>26</v>
      </c>
      <c r="N981" s="2" t="s">
        <v>27</v>
      </c>
      <c r="O981" s="1">
        <v>42693</v>
      </c>
      <c r="P981" s="3">
        <v>11.04</v>
      </c>
      <c r="Q981" s="3">
        <v>16.98</v>
      </c>
      <c r="R981" s="3">
        <f t="shared" si="91"/>
        <v>5.9400000000000013</v>
      </c>
      <c r="S981" s="2">
        <v>46</v>
      </c>
      <c r="T981" s="3">
        <f t="shared" si="92"/>
        <v>781.08</v>
      </c>
      <c r="U981" s="4">
        <v>0.09</v>
      </c>
      <c r="V981" s="6">
        <f t="shared" si="93"/>
        <v>70.297200000000004</v>
      </c>
      <c r="W981" s="6">
        <f t="shared" si="94"/>
        <v>710.78280000000007</v>
      </c>
      <c r="X981" s="3">
        <v>12.39</v>
      </c>
      <c r="Y981" s="5">
        <f t="shared" si="95"/>
        <v>723.17280000000005</v>
      </c>
    </row>
    <row r="982" spans="1:25" x14ac:dyDescent="0.2">
      <c r="A982" t="s">
        <v>1816</v>
      </c>
      <c r="B982" s="1">
        <v>42694</v>
      </c>
      <c r="C982" s="2" t="str">
        <f t="shared" si="90"/>
        <v>2016</v>
      </c>
      <c r="D982" s="2" t="s">
        <v>198</v>
      </c>
      <c r="E982" s="2" t="s">
        <v>199</v>
      </c>
      <c r="F982" s="2" t="s">
        <v>19</v>
      </c>
      <c r="G982" s="2" t="s">
        <v>20</v>
      </c>
      <c r="H982" s="2" t="s">
        <v>21</v>
      </c>
      <c r="I982" s="2" t="s">
        <v>92</v>
      </c>
      <c r="J982" s="2" t="s">
        <v>66</v>
      </c>
      <c r="K982" s="2" t="s">
        <v>200</v>
      </c>
      <c r="L982" s="2" t="s">
        <v>32</v>
      </c>
      <c r="M982" s="2" t="s">
        <v>33</v>
      </c>
      <c r="N982" s="2" t="s">
        <v>27</v>
      </c>
      <c r="O982" s="1">
        <v>42695</v>
      </c>
      <c r="P982" s="3">
        <v>1.05</v>
      </c>
      <c r="Q982" s="3">
        <v>1.95</v>
      </c>
      <c r="R982" s="3">
        <f t="shared" si="91"/>
        <v>0.89999999999999991</v>
      </c>
      <c r="S982" s="2">
        <v>20</v>
      </c>
      <c r="T982" s="3">
        <f t="shared" si="92"/>
        <v>39</v>
      </c>
      <c r="U982" s="4">
        <v>0.06</v>
      </c>
      <c r="V982" s="6">
        <f t="shared" si="93"/>
        <v>2.34</v>
      </c>
      <c r="W982" s="6">
        <f t="shared" si="94"/>
        <v>36.659999999999997</v>
      </c>
      <c r="X982" s="3">
        <v>1.63</v>
      </c>
      <c r="Y982" s="5">
        <f t="shared" si="95"/>
        <v>38.29</v>
      </c>
    </row>
    <row r="983" spans="1:25" x14ac:dyDescent="0.2">
      <c r="A983" t="s">
        <v>1817</v>
      </c>
      <c r="B983" s="1">
        <v>42696</v>
      </c>
      <c r="C983" s="2" t="str">
        <f t="shared" si="90"/>
        <v>2016</v>
      </c>
      <c r="D983" s="2" t="s">
        <v>195</v>
      </c>
      <c r="E983" s="2" t="s">
        <v>1928</v>
      </c>
      <c r="F983" s="2" t="s">
        <v>36</v>
      </c>
      <c r="G983" s="2" t="s">
        <v>37</v>
      </c>
      <c r="H983" s="2" t="s">
        <v>50</v>
      </c>
      <c r="I983" s="2" t="s">
        <v>102</v>
      </c>
      <c r="J983" s="2" t="s">
        <v>23</v>
      </c>
      <c r="K983" s="2" t="s">
        <v>197</v>
      </c>
      <c r="L983" s="2" t="s">
        <v>32</v>
      </c>
      <c r="M983" s="2" t="s">
        <v>26</v>
      </c>
      <c r="N983" s="2" t="s">
        <v>27</v>
      </c>
      <c r="O983" s="1">
        <v>42701</v>
      </c>
      <c r="P983" s="3">
        <v>3.52</v>
      </c>
      <c r="Q983" s="3">
        <v>5.68</v>
      </c>
      <c r="R983" s="3">
        <f t="shared" si="91"/>
        <v>2.1599999999999997</v>
      </c>
      <c r="S983" s="2">
        <v>10</v>
      </c>
      <c r="T983" s="3">
        <f t="shared" si="92"/>
        <v>56.8</v>
      </c>
      <c r="U983" s="4">
        <v>0.09</v>
      </c>
      <c r="V983" s="6">
        <f t="shared" si="93"/>
        <v>5.1119999999999992</v>
      </c>
      <c r="W983" s="6">
        <f t="shared" si="94"/>
        <v>51.687999999999995</v>
      </c>
      <c r="X983" s="3">
        <v>1.39</v>
      </c>
      <c r="Y983" s="5">
        <f t="shared" si="95"/>
        <v>53.077999999999996</v>
      </c>
    </row>
    <row r="984" spans="1:25" x14ac:dyDescent="0.2">
      <c r="A984" t="s">
        <v>1818</v>
      </c>
      <c r="B984" s="1">
        <v>42697</v>
      </c>
      <c r="C984" s="2" t="str">
        <f t="shared" si="90"/>
        <v>2016</v>
      </c>
      <c r="D984" s="2" t="s">
        <v>193</v>
      </c>
      <c r="E984" s="2" t="s">
        <v>194</v>
      </c>
      <c r="F984" s="2" t="s">
        <v>36</v>
      </c>
      <c r="G984" s="2" t="s">
        <v>37</v>
      </c>
      <c r="H984" s="2" t="s">
        <v>50</v>
      </c>
      <c r="I984" s="2" t="s">
        <v>51</v>
      </c>
      <c r="J984" s="2" t="s">
        <v>66</v>
      </c>
      <c r="K984" s="2" t="s">
        <v>53</v>
      </c>
      <c r="L984" s="2" t="s">
        <v>32</v>
      </c>
      <c r="M984" s="2" t="s">
        <v>33</v>
      </c>
      <c r="N984" s="2" t="s">
        <v>27</v>
      </c>
      <c r="O984" s="1">
        <v>42699</v>
      </c>
      <c r="P984" s="3">
        <v>3.75</v>
      </c>
      <c r="Q984" s="3">
        <v>7.08</v>
      </c>
      <c r="R984" s="3">
        <f t="shared" si="91"/>
        <v>3.33</v>
      </c>
      <c r="S984" s="2">
        <v>29</v>
      </c>
      <c r="T984" s="3">
        <f t="shared" si="92"/>
        <v>205.32</v>
      </c>
      <c r="U984" s="4">
        <v>7.0000000000000007E-2</v>
      </c>
      <c r="V984" s="6">
        <f t="shared" si="93"/>
        <v>14.372400000000001</v>
      </c>
      <c r="W984" s="6">
        <f t="shared" si="94"/>
        <v>190.94759999999999</v>
      </c>
      <c r="X984" s="3">
        <v>2.35</v>
      </c>
      <c r="Y984" s="5">
        <f t="shared" si="95"/>
        <v>193.29759999999999</v>
      </c>
    </row>
    <row r="985" spans="1:25" x14ac:dyDescent="0.2">
      <c r="A985" t="s">
        <v>1819</v>
      </c>
      <c r="B985" s="1">
        <v>42700</v>
      </c>
      <c r="C985" s="2" t="str">
        <f t="shared" si="90"/>
        <v>2016</v>
      </c>
      <c r="D985" s="2" t="s">
        <v>187</v>
      </c>
      <c r="E985" s="2" t="s">
        <v>188</v>
      </c>
      <c r="F985" s="2" t="s">
        <v>36</v>
      </c>
      <c r="G985" s="2" t="s">
        <v>37</v>
      </c>
      <c r="H985" s="2" t="s">
        <v>42</v>
      </c>
      <c r="I985" s="2" t="s">
        <v>75</v>
      </c>
      <c r="J985" s="2" t="s">
        <v>30</v>
      </c>
      <c r="K985" s="2" t="s">
        <v>189</v>
      </c>
      <c r="L985" s="2" t="s">
        <v>32</v>
      </c>
      <c r="M985" s="2" t="s">
        <v>26</v>
      </c>
      <c r="N985" s="2" t="s">
        <v>27</v>
      </c>
      <c r="O985" s="1">
        <v>42702</v>
      </c>
      <c r="P985" s="3">
        <v>3.4</v>
      </c>
      <c r="Q985" s="3">
        <v>5.4</v>
      </c>
      <c r="R985" s="3">
        <f t="shared" si="91"/>
        <v>2.0000000000000004</v>
      </c>
      <c r="S985" s="2">
        <v>1</v>
      </c>
      <c r="T985" s="3">
        <f t="shared" si="92"/>
        <v>5.4</v>
      </c>
      <c r="U985" s="4">
        <v>0</v>
      </c>
      <c r="V985" s="6">
        <f t="shared" si="93"/>
        <v>0</v>
      </c>
      <c r="W985" s="6">
        <f t="shared" si="94"/>
        <v>5.4</v>
      </c>
      <c r="X985" s="3">
        <v>7.78</v>
      </c>
      <c r="Y985" s="5">
        <f t="shared" si="95"/>
        <v>13.18</v>
      </c>
    </row>
    <row r="986" spans="1:25" x14ac:dyDescent="0.2">
      <c r="A986" t="s">
        <v>1820</v>
      </c>
      <c r="B986" s="1">
        <v>42700</v>
      </c>
      <c r="C986" s="2" t="str">
        <f t="shared" si="90"/>
        <v>2016</v>
      </c>
      <c r="D986" s="2" t="s">
        <v>190</v>
      </c>
      <c r="E986" s="2" t="s">
        <v>107</v>
      </c>
      <c r="F986" s="2" t="s">
        <v>36</v>
      </c>
      <c r="G986" s="2" t="s">
        <v>37</v>
      </c>
      <c r="H986" s="2" t="s">
        <v>21</v>
      </c>
      <c r="I986" s="2" t="s">
        <v>83</v>
      </c>
      <c r="J986" s="2" t="s">
        <v>30</v>
      </c>
      <c r="K986" s="2" t="s">
        <v>108</v>
      </c>
      <c r="L986" s="2" t="s">
        <v>32</v>
      </c>
      <c r="M986" s="2" t="s">
        <v>26</v>
      </c>
      <c r="N986" s="2" t="s">
        <v>27</v>
      </c>
      <c r="O986" s="1">
        <v>42702</v>
      </c>
      <c r="P986" s="3">
        <v>1.84</v>
      </c>
      <c r="Q986" s="3">
        <v>2.88</v>
      </c>
      <c r="R986" s="3">
        <f t="shared" si="91"/>
        <v>1.0399999999999998</v>
      </c>
      <c r="S986" s="2">
        <v>6</v>
      </c>
      <c r="T986" s="3">
        <f t="shared" si="92"/>
        <v>17.28</v>
      </c>
      <c r="U986" s="4">
        <v>0.06</v>
      </c>
      <c r="V986" s="6">
        <f t="shared" si="93"/>
        <v>1.0367999999999999</v>
      </c>
      <c r="W986" s="6">
        <f t="shared" si="94"/>
        <v>16.243200000000002</v>
      </c>
      <c r="X986" s="3">
        <v>0.99</v>
      </c>
      <c r="Y986" s="5">
        <f t="shared" si="95"/>
        <v>17.2332</v>
      </c>
    </row>
    <row r="987" spans="1:25" x14ac:dyDescent="0.2">
      <c r="A987" t="s">
        <v>1821</v>
      </c>
      <c r="B987" s="1">
        <v>42700</v>
      </c>
      <c r="C987" s="2" t="str">
        <f t="shared" si="90"/>
        <v>2016</v>
      </c>
      <c r="D987" s="2" t="s">
        <v>191</v>
      </c>
      <c r="E987" s="2" t="s">
        <v>130</v>
      </c>
      <c r="F987" s="2" t="s">
        <v>36</v>
      </c>
      <c r="G987" s="2" t="s">
        <v>37</v>
      </c>
      <c r="H987" s="2" t="s">
        <v>29</v>
      </c>
      <c r="I987" s="2" t="s">
        <v>79</v>
      </c>
      <c r="J987" s="2" t="s">
        <v>23</v>
      </c>
      <c r="K987" s="2" t="s">
        <v>192</v>
      </c>
      <c r="L987" s="2" t="s">
        <v>32</v>
      </c>
      <c r="M987" s="2" t="s">
        <v>33</v>
      </c>
      <c r="N987" s="2" t="s">
        <v>27</v>
      </c>
      <c r="O987" s="1">
        <v>42704</v>
      </c>
      <c r="P987" s="3">
        <v>0.87</v>
      </c>
      <c r="Q987" s="3">
        <v>1.81</v>
      </c>
      <c r="R987" s="3">
        <f t="shared" si="91"/>
        <v>0.94000000000000006</v>
      </c>
      <c r="S987" s="2">
        <v>18</v>
      </c>
      <c r="T987" s="3">
        <f t="shared" si="92"/>
        <v>32.58</v>
      </c>
      <c r="U987" s="4">
        <v>0.06</v>
      </c>
      <c r="V987" s="6">
        <f t="shared" si="93"/>
        <v>1.9547999999999999</v>
      </c>
      <c r="W987" s="6">
        <f t="shared" si="94"/>
        <v>30.6252</v>
      </c>
      <c r="X987" s="3">
        <v>0.75</v>
      </c>
      <c r="Y987" s="5">
        <f t="shared" si="95"/>
        <v>31.3752</v>
      </c>
    </row>
    <row r="988" spans="1:25" x14ac:dyDescent="0.2">
      <c r="A988" t="s">
        <v>1822</v>
      </c>
      <c r="B988" s="1">
        <v>42701</v>
      </c>
      <c r="C988" s="2" t="str">
        <f t="shared" si="90"/>
        <v>2016</v>
      </c>
      <c r="D988" s="2" t="s">
        <v>181</v>
      </c>
      <c r="E988" s="2" t="s">
        <v>182</v>
      </c>
      <c r="F988" s="2" t="s">
        <v>36</v>
      </c>
      <c r="G988" s="2" t="s">
        <v>37</v>
      </c>
      <c r="H988" s="2" t="s">
        <v>50</v>
      </c>
      <c r="I988" s="2" t="s">
        <v>96</v>
      </c>
      <c r="J988" s="2" t="s">
        <v>52</v>
      </c>
      <c r="K988" s="2" t="s">
        <v>183</v>
      </c>
      <c r="L988" s="2" t="s">
        <v>25</v>
      </c>
      <c r="M988" s="2" t="s">
        <v>26</v>
      </c>
      <c r="N988" s="2" t="s">
        <v>27</v>
      </c>
      <c r="O988" s="1">
        <v>42703</v>
      </c>
      <c r="P988" s="3">
        <v>62.4</v>
      </c>
      <c r="Q988" s="3">
        <v>155.99</v>
      </c>
      <c r="R988" s="3">
        <f t="shared" si="91"/>
        <v>93.59</v>
      </c>
      <c r="S988" s="2">
        <v>24</v>
      </c>
      <c r="T988" s="3">
        <f t="shared" si="92"/>
        <v>3743.76</v>
      </c>
      <c r="U988" s="4">
        <v>0.04</v>
      </c>
      <c r="V988" s="6">
        <f t="shared" si="93"/>
        <v>149.75040000000001</v>
      </c>
      <c r="W988" s="6">
        <f t="shared" si="94"/>
        <v>3594.0096000000003</v>
      </c>
      <c r="X988" s="3">
        <v>8.08</v>
      </c>
      <c r="Y988" s="5">
        <f t="shared" si="95"/>
        <v>3602.0896000000002</v>
      </c>
    </row>
    <row r="989" spans="1:25" x14ac:dyDescent="0.2">
      <c r="A989" t="s">
        <v>1823</v>
      </c>
      <c r="B989" s="1">
        <v>42701</v>
      </c>
      <c r="C989" s="2" t="str">
        <f t="shared" si="90"/>
        <v>2016</v>
      </c>
      <c r="D989" s="2" t="s">
        <v>184</v>
      </c>
      <c r="E989" s="2" t="s">
        <v>185</v>
      </c>
      <c r="F989" s="2" t="s">
        <v>36</v>
      </c>
      <c r="G989" s="2" t="s">
        <v>37</v>
      </c>
      <c r="H989" s="2" t="s">
        <v>42</v>
      </c>
      <c r="I989" s="2" t="s">
        <v>153</v>
      </c>
      <c r="J989" s="2" t="s">
        <v>23</v>
      </c>
      <c r="K989" s="2" t="s">
        <v>186</v>
      </c>
      <c r="L989" s="2" t="s">
        <v>25</v>
      </c>
      <c r="M989" s="2" t="s">
        <v>62</v>
      </c>
      <c r="N989" s="2" t="s">
        <v>63</v>
      </c>
      <c r="O989" s="1">
        <v>42701</v>
      </c>
      <c r="P989" s="3">
        <v>278.99</v>
      </c>
      <c r="Q989" s="3">
        <v>449.99</v>
      </c>
      <c r="R989" s="3">
        <f t="shared" si="91"/>
        <v>171</v>
      </c>
      <c r="S989" s="2">
        <v>18</v>
      </c>
      <c r="T989" s="3">
        <f t="shared" si="92"/>
        <v>8099.82</v>
      </c>
      <c r="U989" s="4">
        <v>0.09</v>
      </c>
      <c r="V989" s="6">
        <f t="shared" si="93"/>
        <v>728.98379999999997</v>
      </c>
      <c r="W989" s="6">
        <f t="shared" si="94"/>
        <v>7370.8361999999997</v>
      </c>
      <c r="X989" s="3">
        <v>49</v>
      </c>
      <c r="Y989" s="5">
        <f t="shared" si="95"/>
        <v>7419.8361999999997</v>
      </c>
    </row>
    <row r="990" spans="1:25" x14ac:dyDescent="0.2">
      <c r="A990" t="s">
        <v>1824</v>
      </c>
      <c r="B990" s="1">
        <v>42702</v>
      </c>
      <c r="C990" s="2" t="str">
        <f t="shared" si="90"/>
        <v>2016</v>
      </c>
      <c r="D990" s="2" t="s">
        <v>178</v>
      </c>
      <c r="E990" s="2" t="s">
        <v>179</v>
      </c>
      <c r="F990" s="2" t="s">
        <v>36</v>
      </c>
      <c r="G990" s="2" t="s">
        <v>37</v>
      </c>
      <c r="H990" s="2" t="s">
        <v>42</v>
      </c>
      <c r="I990" s="2" t="s">
        <v>83</v>
      </c>
      <c r="J990" s="2" t="s">
        <v>66</v>
      </c>
      <c r="K990" s="2" t="s">
        <v>180</v>
      </c>
      <c r="L990" s="2" t="s">
        <v>32</v>
      </c>
      <c r="M990" s="2" t="s">
        <v>26</v>
      </c>
      <c r="N990" s="2" t="s">
        <v>27</v>
      </c>
      <c r="O990" s="1">
        <v>42703</v>
      </c>
      <c r="P990" s="3">
        <v>1.94</v>
      </c>
      <c r="Q990" s="3">
        <v>3.08</v>
      </c>
      <c r="R990" s="3">
        <f t="shared" si="91"/>
        <v>1.1400000000000001</v>
      </c>
      <c r="S990" s="2">
        <v>18</v>
      </c>
      <c r="T990" s="3">
        <f t="shared" si="92"/>
        <v>55.44</v>
      </c>
      <c r="U990" s="4">
        <v>0.02</v>
      </c>
      <c r="V990" s="6">
        <f t="shared" si="93"/>
        <v>1.1088</v>
      </c>
      <c r="W990" s="6">
        <f t="shared" si="94"/>
        <v>54.331199999999995</v>
      </c>
      <c r="X990" s="3">
        <v>0.99</v>
      </c>
      <c r="Y990" s="5">
        <f t="shared" si="95"/>
        <v>55.321199999999997</v>
      </c>
    </row>
    <row r="991" spans="1:25" x14ac:dyDescent="0.2">
      <c r="A991" t="s">
        <v>1825</v>
      </c>
      <c r="B991" s="1">
        <v>42702</v>
      </c>
      <c r="C991" s="2" t="str">
        <f t="shared" si="90"/>
        <v>2016</v>
      </c>
      <c r="D991" s="2" t="s">
        <v>73</v>
      </c>
      <c r="E991" s="2" t="s">
        <v>74</v>
      </c>
      <c r="F991" s="2" t="s">
        <v>36</v>
      </c>
      <c r="G991" s="2" t="s">
        <v>37</v>
      </c>
      <c r="H991" s="2" t="s">
        <v>50</v>
      </c>
      <c r="I991" s="2" t="s">
        <v>75</v>
      </c>
      <c r="J991" s="2" t="s">
        <v>66</v>
      </c>
      <c r="K991" s="2" t="s">
        <v>252</v>
      </c>
      <c r="L991" s="2" t="s">
        <v>32</v>
      </c>
      <c r="M991" s="2" t="s">
        <v>33</v>
      </c>
      <c r="N991" s="2" t="s">
        <v>27</v>
      </c>
      <c r="O991" s="1">
        <v>42705</v>
      </c>
      <c r="P991" s="3">
        <v>2.59</v>
      </c>
      <c r="Q991" s="3">
        <v>3.98</v>
      </c>
      <c r="R991" s="3">
        <f t="shared" si="91"/>
        <v>1.3900000000000001</v>
      </c>
      <c r="S991" s="2">
        <v>11</v>
      </c>
      <c r="T991" s="3">
        <f t="shared" si="92"/>
        <v>43.78</v>
      </c>
      <c r="U991" s="4">
        <v>7.0000000000000007E-2</v>
      </c>
      <c r="V991" s="6">
        <f t="shared" si="93"/>
        <v>3.0646000000000004</v>
      </c>
      <c r="W991" s="6">
        <f t="shared" si="94"/>
        <v>40.715400000000002</v>
      </c>
      <c r="X991" s="3">
        <v>2.97</v>
      </c>
      <c r="Y991" s="5">
        <f t="shared" si="95"/>
        <v>43.685400000000001</v>
      </c>
    </row>
    <row r="992" spans="1:25" x14ac:dyDescent="0.2">
      <c r="A992" s="12" t="s">
        <v>1953</v>
      </c>
      <c r="B992" s="1">
        <v>42703</v>
      </c>
      <c r="C992" s="2" t="str">
        <f t="shared" si="90"/>
        <v>2016</v>
      </c>
      <c r="D992" s="2" t="s">
        <v>175</v>
      </c>
      <c r="E992" s="2" t="s">
        <v>176</v>
      </c>
      <c r="F992" s="2" t="s">
        <v>36</v>
      </c>
      <c r="G992" s="2" t="s">
        <v>37</v>
      </c>
      <c r="H992" s="2" t="s">
        <v>42</v>
      </c>
      <c r="I992" s="2" t="s">
        <v>102</v>
      </c>
      <c r="J992" s="2" t="s">
        <v>52</v>
      </c>
      <c r="K992" s="2" t="s">
        <v>177</v>
      </c>
      <c r="L992" s="2" t="s">
        <v>32</v>
      </c>
      <c r="M992" s="2" t="s">
        <v>33</v>
      </c>
      <c r="N992" s="2" t="s">
        <v>27</v>
      </c>
      <c r="O992" s="1">
        <v>42704</v>
      </c>
      <c r="P992" s="3">
        <v>2.68</v>
      </c>
      <c r="Q992" s="3">
        <v>6.08</v>
      </c>
      <c r="R992" s="3">
        <f t="shared" si="91"/>
        <v>3.4</v>
      </c>
      <c r="S992" s="2">
        <v>49</v>
      </c>
      <c r="T992" s="3">
        <f t="shared" si="92"/>
        <v>297.92</v>
      </c>
      <c r="U992" s="4">
        <v>0.08</v>
      </c>
      <c r="V992" s="6">
        <f t="shared" si="93"/>
        <v>23.833600000000001</v>
      </c>
      <c r="W992" s="6">
        <f t="shared" si="94"/>
        <v>274.08640000000003</v>
      </c>
      <c r="X992" s="3">
        <v>1.17</v>
      </c>
      <c r="Y992" s="5">
        <f t="shared" si="95"/>
        <v>275.25640000000004</v>
      </c>
    </row>
    <row r="993" spans="1:25" x14ac:dyDescent="0.2">
      <c r="A993" t="s">
        <v>1826</v>
      </c>
      <c r="B993" s="1">
        <v>42705</v>
      </c>
      <c r="C993" s="2" t="str">
        <f t="shared" si="90"/>
        <v>2016</v>
      </c>
      <c r="D993" s="2" t="s">
        <v>129</v>
      </c>
      <c r="E993" s="2" t="s">
        <v>130</v>
      </c>
      <c r="F993" s="2" t="s">
        <v>36</v>
      </c>
      <c r="G993" s="2" t="s">
        <v>37</v>
      </c>
      <c r="H993" s="2" t="s">
        <v>29</v>
      </c>
      <c r="I993" s="2" t="s">
        <v>79</v>
      </c>
      <c r="J993" s="2" t="s">
        <v>44</v>
      </c>
      <c r="K993" s="2" t="s">
        <v>174</v>
      </c>
      <c r="L993" s="2" t="s">
        <v>25</v>
      </c>
      <c r="M993" s="2" t="s">
        <v>26</v>
      </c>
      <c r="N993" s="2" t="s">
        <v>27</v>
      </c>
      <c r="O993" s="1">
        <v>42706</v>
      </c>
      <c r="P993" s="3">
        <v>54.52</v>
      </c>
      <c r="Q993" s="3">
        <v>100.97</v>
      </c>
      <c r="R993" s="3">
        <f t="shared" si="91"/>
        <v>46.449999999999996</v>
      </c>
      <c r="S993" s="2">
        <v>42</v>
      </c>
      <c r="T993" s="3">
        <f t="shared" si="92"/>
        <v>4240.74</v>
      </c>
      <c r="U993" s="4">
        <v>0.1</v>
      </c>
      <c r="V993" s="6">
        <f t="shared" si="93"/>
        <v>424.07400000000001</v>
      </c>
      <c r="W993" s="6">
        <f t="shared" si="94"/>
        <v>3816.6659999999997</v>
      </c>
      <c r="X993" s="3">
        <v>7.18</v>
      </c>
      <c r="Y993" s="5">
        <f t="shared" si="95"/>
        <v>3823.8459999999995</v>
      </c>
    </row>
    <row r="994" spans="1:25" x14ac:dyDescent="0.2">
      <c r="A994" t="s">
        <v>1827</v>
      </c>
      <c r="B994" s="1">
        <v>42707</v>
      </c>
      <c r="C994" s="2" t="str">
        <f t="shared" si="90"/>
        <v>2016</v>
      </c>
      <c r="D994" s="2" t="s">
        <v>171</v>
      </c>
      <c r="E994" s="2" t="s">
        <v>1919</v>
      </c>
      <c r="F994" s="2" t="s">
        <v>1881</v>
      </c>
      <c r="G994" s="2" t="s">
        <v>1882</v>
      </c>
      <c r="H994" s="2" t="s">
        <v>42</v>
      </c>
      <c r="I994" s="2" t="s">
        <v>75</v>
      </c>
      <c r="J994" s="2" t="s">
        <v>30</v>
      </c>
      <c r="K994" s="2" t="s">
        <v>173</v>
      </c>
      <c r="L994" s="2" t="s">
        <v>32</v>
      </c>
      <c r="M994" s="2" t="s">
        <v>26</v>
      </c>
      <c r="N994" s="2" t="s">
        <v>27</v>
      </c>
      <c r="O994" s="1">
        <v>42709</v>
      </c>
      <c r="P994" s="3">
        <v>1.84</v>
      </c>
      <c r="Q994" s="3">
        <v>2.88</v>
      </c>
      <c r="R994" s="3">
        <f t="shared" si="91"/>
        <v>1.0399999999999998</v>
      </c>
      <c r="S994" s="2">
        <v>40</v>
      </c>
      <c r="T994" s="3">
        <f t="shared" si="92"/>
        <v>115.19999999999999</v>
      </c>
      <c r="U994" s="4">
        <v>0</v>
      </c>
      <c r="V994" s="6">
        <f t="shared" si="93"/>
        <v>0</v>
      </c>
      <c r="W994" s="6">
        <f t="shared" si="94"/>
        <v>115.19999999999999</v>
      </c>
      <c r="X994" s="3">
        <v>1.49</v>
      </c>
      <c r="Y994" s="5">
        <f t="shared" si="95"/>
        <v>116.68999999999998</v>
      </c>
    </row>
    <row r="995" spans="1:25" x14ac:dyDescent="0.2">
      <c r="A995" t="s">
        <v>1828</v>
      </c>
      <c r="B995" s="1">
        <v>42708</v>
      </c>
      <c r="C995" s="2" t="str">
        <f t="shared" si="90"/>
        <v>2016</v>
      </c>
      <c r="D995" s="2" t="s">
        <v>170</v>
      </c>
      <c r="E995" s="2" t="s">
        <v>91</v>
      </c>
      <c r="F995" s="2" t="s">
        <v>19</v>
      </c>
      <c r="G995" s="2" t="s">
        <v>20</v>
      </c>
      <c r="H995" s="2" t="s">
        <v>21</v>
      </c>
      <c r="I995" s="2" t="s">
        <v>22</v>
      </c>
      <c r="J995" s="2" t="s">
        <v>44</v>
      </c>
      <c r="K995" s="2" t="s">
        <v>24</v>
      </c>
      <c r="L995" s="2" t="s">
        <v>25</v>
      </c>
      <c r="M995" s="2" t="s">
        <v>26</v>
      </c>
      <c r="N995" s="2" t="s">
        <v>27</v>
      </c>
      <c r="O995" s="1">
        <v>42709</v>
      </c>
      <c r="P995" s="3">
        <v>6.39</v>
      </c>
      <c r="Q995" s="3">
        <v>19.98</v>
      </c>
      <c r="R995" s="3">
        <f t="shared" si="91"/>
        <v>13.59</v>
      </c>
      <c r="S995" s="2">
        <v>29</v>
      </c>
      <c r="T995" s="3">
        <f t="shared" si="92"/>
        <v>579.41999999999996</v>
      </c>
      <c r="U995" s="4">
        <v>0.06</v>
      </c>
      <c r="V995" s="6">
        <f t="shared" si="93"/>
        <v>34.765199999999993</v>
      </c>
      <c r="W995" s="6">
        <f t="shared" si="94"/>
        <v>544.65480000000002</v>
      </c>
      <c r="X995" s="3">
        <v>4</v>
      </c>
      <c r="Y995" s="5">
        <f t="shared" si="95"/>
        <v>548.65480000000002</v>
      </c>
    </row>
    <row r="996" spans="1:25" x14ac:dyDescent="0.2">
      <c r="A996" t="s">
        <v>1829</v>
      </c>
      <c r="B996" s="1">
        <v>42709</v>
      </c>
      <c r="C996" s="2" t="str">
        <f t="shared" si="90"/>
        <v>2016</v>
      </c>
      <c r="D996" s="2" t="s">
        <v>169</v>
      </c>
      <c r="E996" s="2" t="s">
        <v>138</v>
      </c>
      <c r="F996" s="2" t="s">
        <v>36</v>
      </c>
      <c r="G996" s="2" t="s">
        <v>37</v>
      </c>
      <c r="H996" s="2" t="s">
        <v>50</v>
      </c>
      <c r="I996" s="2" t="s">
        <v>51</v>
      </c>
      <c r="J996" s="2" t="s">
        <v>44</v>
      </c>
      <c r="K996" s="2" t="s">
        <v>57</v>
      </c>
      <c r="L996" s="2" t="s">
        <v>32</v>
      </c>
      <c r="M996" s="2" t="s">
        <v>58</v>
      </c>
      <c r="N996" s="2" t="s">
        <v>89</v>
      </c>
      <c r="O996" s="1">
        <v>42711</v>
      </c>
      <c r="P996" s="3">
        <v>1.46</v>
      </c>
      <c r="Q996" s="3">
        <v>3.57</v>
      </c>
      <c r="R996" s="3">
        <f t="shared" si="91"/>
        <v>2.11</v>
      </c>
      <c r="S996" s="2">
        <v>10</v>
      </c>
      <c r="T996" s="3">
        <f t="shared" si="92"/>
        <v>35.699999999999996</v>
      </c>
      <c r="U996" s="4">
        <v>0.01</v>
      </c>
      <c r="V996" s="6">
        <f t="shared" si="93"/>
        <v>0.35699999999999998</v>
      </c>
      <c r="W996" s="6">
        <f t="shared" si="94"/>
        <v>35.342999999999996</v>
      </c>
      <c r="X996" s="3">
        <v>4.17</v>
      </c>
      <c r="Y996" s="5">
        <f t="shared" si="95"/>
        <v>39.512999999999998</v>
      </c>
    </row>
    <row r="997" spans="1:25" x14ac:dyDescent="0.2">
      <c r="A997" t="s">
        <v>1830</v>
      </c>
      <c r="B997" s="1">
        <v>42710</v>
      </c>
      <c r="C997" s="2" t="str">
        <f t="shared" si="90"/>
        <v>2016</v>
      </c>
      <c r="D997" s="2" t="s">
        <v>168</v>
      </c>
      <c r="E997" s="2" t="s">
        <v>1928</v>
      </c>
      <c r="F997" s="2" t="s">
        <v>36</v>
      </c>
      <c r="G997" s="2" t="s">
        <v>37</v>
      </c>
      <c r="H997" s="2" t="s">
        <v>50</v>
      </c>
      <c r="I997" s="2" t="s">
        <v>79</v>
      </c>
      <c r="J997" s="2" t="s">
        <v>23</v>
      </c>
      <c r="K997" s="2" t="s">
        <v>117</v>
      </c>
      <c r="L997" s="2" t="s">
        <v>25</v>
      </c>
      <c r="M997" s="2" t="s">
        <v>26</v>
      </c>
      <c r="N997" s="2" t="s">
        <v>27</v>
      </c>
      <c r="O997" s="1">
        <v>42712</v>
      </c>
      <c r="P997" s="3">
        <v>32.020000000000003</v>
      </c>
      <c r="Q997" s="3">
        <v>152.47999999999999</v>
      </c>
      <c r="R997" s="3">
        <f t="shared" si="91"/>
        <v>120.45999999999998</v>
      </c>
      <c r="S997" s="2">
        <v>46</v>
      </c>
      <c r="T997" s="3">
        <f t="shared" si="92"/>
        <v>7014.08</v>
      </c>
      <c r="U997" s="4">
        <v>0.01</v>
      </c>
      <c r="V997" s="6">
        <f t="shared" si="93"/>
        <v>70.140799999999999</v>
      </c>
      <c r="W997" s="6">
        <f t="shared" si="94"/>
        <v>6943.9391999999998</v>
      </c>
      <c r="X997" s="3">
        <v>4</v>
      </c>
      <c r="Y997" s="5">
        <f t="shared" si="95"/>
        <v>6947.9391999999998</v>
      </c>
    </row>
    <row r="998" spans="1:25" x14ac:dyDescent="0.2">
      <c r="A998" t="s">
        <v>943</v>
      </c>
      <c r="B998" s="1">
        <v>42712</v>
      </c>
      <c r="C998" s="2" t="str">
        <f t="shared" si="90"/>
        <v>2016</v>
      </c>
      <c r="D998" s="2" t="s">
        <v>164</v>
      </c>
      <c r="E998" s="2" t="s">
        <v>55</v>
      </c>
      <c r="F998" s="2" t="s">
        <v>36</v>
      </c>
      <c r="G998" s="2" t="s">
        <v>37</v>
      </c>
      <c r="H998" s="2" t="s">
        <v>42</v>
      </c>
      <c r="I998" s="2" t="s">
        <v>56</v>
      </c>
      <c r="J998" s="2" t="s">
        <v>23</v>
      </c>
      <c r="K998" s="2" t="s">
        <v>80</v>
      </c>
      <c r="L998" s="2" t="s">
        <v>32</v>
      </c>
      <c r="M998" s="2" t="s">
        <v>26</v>
      </c>
      <c r="N998" s="2" t="s">
        <v>27</v>
      </c>
      <c r="O998" s="1">
        <v>42719</v>
      </c>
      <c r="P998" s="3">
        <v>4.59</v>
      </c>
      <c r="Q998" s="3">
        <v>7.28</v>
      </c>
      <c r="R998" s="3">
        <f t="shared" si="91"/>
        <v>2.6900000000000004</v>
      </c>
      <c r="S998" s="2">
        <v>18</v>
      </c>
      <c r="T998" s="3">
        <f t="shared" si="92"/>
        <v>131.04</v>
      </c>
      <c r="U998" s="4">
        <v>0.09</v>
      </c>
      <c r="V998" s="6">
        <f t="shared" si="93"/>
        <v>11.7936</v>
      </c>
      <c r="W998" s="6">
        <f t="shared" si="94"/>
        <v>119.24639999999999</v>
      </c>
      <c r="X998" s="3">
        <v>11.15</v>
      </c>
      <c r="Y998" s="5">
        <f t="shared" si="95"/>
        <v>130.3964</v>
      </c>
    </row>
    <row r="999" spans="1:25" x14ac:dyDescent="0.2">
      <c r="A999" t="s">
        <v>944</v>
      </c>
      <c r="B999" s="1">
        <v>42712</v>
      </c>
      <c r="C999" s="2" t="str">
        <f t="shared" si="90"/>
        <v>2016</v>
      </c>
      <c r="D999" s="2" t="s">
        <v>164</v>
      </c>
      <c r="E999" s="2" t="s">
        <v>55</v>
      </c>
      <c r="F999" s="2" t="s">
        <v>36</v>
      </c>
      <c r="G999" s="2" t="s">
        <v>37</v>
      </c>
      <c r="H999" s="2" t="s">
        <v>42</v>
      </c>
      <c r="I999" s="2" t="s">
        <v>56</v>
      </c>
      <c r="J999" s="2" t="s">
        <v>23</v>
      </c>
      <c r="K999" s="2" t="s">
        <v>97</v>
      </c>
      <c r="L999" s="2" t="s">
        <v>32</v>
      </c>
      <c r="M999" s="2" t="s">
        <v>33</v>
      </c>
      <c r="N999" s="2" t="s">
        <v>27</v>
      </c>
      <c r="O999" s="1">
        <v>42716</v>
      </c>
      <c r="P999" s="3">
        <v>0.71</v>
      </c>
      <c r="Q999" s="3">
        <v>1.1399999999999999</v>
      </c>
      <c r="R999" s="3">
        <f t="shared" si="91"/>
        <v>0.42999999999999994</v>
      </c>
      <c r="S999" s="2">
        <v>28</v>
      </c>
      <c r="T999" s="3">
        <f t="shared" si="92"/>
        <v>31.919999999999998</v>
      </c>
      <c r="U999" s="4">
        <v>0.09</v>
      </c>
      <c r="V999" s="6">
        <f t="shared" si="93"/>
        <v>2.8727999999999998</v>
      </c>
      <c r="W999" s="6">
        <f t="shared" si="94"/>
        <v>29.047199999999997</v>
      </c>
      <c r="X999" s="3">
        <v>0.7</v>
      </c>
      <c r="Y999" s="5">
        <f t="shared" si="95"/>
        <v>29.747199999999996</v>
      </c>
    </row>
    <row r="1000" spans="1:25" x14ac:dyDescent="0.2">
      <c r="A1000" t="s">
        <v>1831</v>
      </c>
      <c r="B1000" s="1">
        <v>42712</v>
      </c>
      <c r="C1000" s="2" t="str">
        <f t="shared" si="90"/>
        <v>2016</v>
      </c>
      <c r="D1000" s="2" t="s">
        <v>165</v>
      </c>
      <c r="E1000" s="2" t="s">
        <v>1912</v>
      </c>
      <c r="F1000" s="2" t="s">
        <v>19</v>
      </c>
      <c r="G1000" s="2" t="s">
        <v>20</v>
      </c>
      <c r="H1000" s="2" t="s">
        <v>42</v>
      </c>
      <c r="I1000" s="2" t="s">
        <v>92</v>
      </c>
      <c r="J1000" s="2" t="s">
        <v>44</v>
      </c>
      <c r="K1000" s="2" t="s">
        <v>167</v>
      </c>
      <c r="L1000" s="2" t="s">
        <v>32</v>
      </c>
      <c r="M1000" s="2" t="s">
        <v>26</v>
      </c>
      <c r="N1000" s="2" t="s">
        <v>27</v>
      </c>
      <c r="O1000" s="1">
        <v>42714</v>
      </c>
      <c r="P1000" s="3">
        <v>14.95</v>
      </c>
      <c r="Q1000" s="3">
        <v>34.76</v>
      </c>
      <c r="R1000" s="3">
        <f t="shared" si="91"/>
        <v>19.809999999999999</v>
      </c>
      <c r="S1000" s="2">
        <v>10</v>
      </c>
      <c r="T1000" s="3">
        <f t="shared" si="92"/>
        <v>347.59999999999997</v>
      </c>
      <c r="U1000" s="4">
        <v>0.06</v>
      </c>
      <c r="V1000" s="6">
        <f t="shared" si="93"/>
        <v>20.855999999999998</v>
      </c>
      <c r="W1000" s="6">
        <f t="shared" si="94"/>
        <v>326.74399999999997</v>
      </c>
      <c r="X1000" s="3">
        <v>8.2200000000000006</v>
      </c>
      <c r="Y1000" s="5">
        <f t="shared" si="95"/>
        <v>334.964</v>
      </c>
    </row>
    <row r="1001" spans="1:25" x14ac:dyDescent="0.2">
      <c r="A1001" t="s">
        <v>1832</v>
      </c>
      <c r="B1001" s="1">
        <v>42713</v>
      </c>
      <c r="C1001" s="2" t="str">
        <f t="shared" si="90"/>
        <v>2016</v>
      </c>
      <c r="D1001" s="2" t="s">
        <v>126</v>
      </c>
      <c r="E1001" s="2" t="s">
        <v>127</v>
      </c>
      <c r="F1001" s="2" t="s">
        <v>36</v>
      </c>
      <c r="G1001" s="2" t="s">
        <v>37</v>
      </c>
      <c r="H1001" s="2" t="s">
        <v>50</v>
      </c>
      <c r="I1001" s="2" t="s">
        <v>96</v>
      </c>
      <c r="J1001" s="2" t="s">
        <v>44</v>
      </c>
      <c r="K1001" s="2" t="s">
        <v>163</v>
      </c>
      <c r="L1001" s="2" t="s">
        <v>32</v>
      </c>
      <c r="M1001" s="2" t="s">
        <v>33</v>
      </c>
      <c r="N1001" s="2" t="s">
        <v>27</v>
      </c>
      <c r="O1001" s="1">
        <v>42714</v>
      </c>
      <c r="P1001" s="3">
        <v>1.0900000000000001</v>
      </c>
      <c r="Q1001" s="3">
        <v>2.6</v>
      </c>
      <c r="R1001" s="3">
        <f t="shared" si="91"/>
        <v>1.51</v>
      </c>
      <c r="S1001" s="2">
        <v>8</v>
      </c>
      <c r="T1001" s="3">
        <f t="shared" si="92"/>
        <v>20.8</v>
      </c>
      <c r="U1001" s="4">
        <v>0.02</v>
      </c>
      <c r="V1001" s="6">
        <f t="shared" si="93"/>
        <v>0.41600000000000004</v>
      </c>
      <c r="W1001" s="6">
        <f t="shared" si="94"/>
        <v>20.384</v>
      </c>
      <c r="X1001" s="3">
        <v>2.4</v>
      </c>
      <c r="Y1001" s="5">
        <f t="shared" si="95"/>
        <v>22.783999999999999</v>
      </c>
    </row>
    <row r="1002" spans="1:25" x14ac:dyDescent="0.2">
      <c r="A1002" t="s">
        <v>1833</v>
      </c>
      <c r="B1002" s="1">
        <v>42714</v>
      </c>
      <c r="C1002" s="2" t="str">
        <f t="shared" si="90"/>
        <v>2016</v>
      </c>
      <c r="D1002" s="2" t="s">
        <v>48</v>
      </c>
      <c r="E1002" s="2" t="s">
        <v>1892</v>
      </c>
      <c r="F1002" s="2" t="s">
        <v>1881</v>
      </c>
      <c r="G1002" s="2" t="s">
        <v>1882</v>
      </c>
      <c r="H1002" s="2" t="s">
        <v>50</v>
      </c>
      <c r="I1002" s="2" t="s">
        <v>51</v>
      </c>
      <c r="J1002" s="2" t="s">
        <v>66</v>
      </c>
      <c r="K1002" s="2" t="s">
        <v>155</v>
      </c>
      <c r="L1002" s="2" t="s">
        <v>32</v>
      </c>
      <c r="M1002" s="2" t="s">
        <v>33</v>
      </c>
      <c r="N1002" s="2" t="s">
        <v>27</v>
      </c>
      <c r="O1002" s="1">
        <v>42716</v>
      </c>
      <c r="P1002" s="3">
        <v>0.24</v>
      </c>
      <c r="Q1002" s="3">
        <v>1.26</v>
      </c>
      <c r="R1002" s="3">
        <f t="shared" si="91"/>
        <v>1.02</v>
      </c>
      <c r="S1002" s="2">
        <v>37</v>
      </c>
      <c r="T1002" s="3">
        <f t="shared" si="92"/>
        <v>46.62</v>
      </c>
      <c r="U1002" s="4">
        <v>0.03</v>
      </c>
      <c r="V1002" s="6">
        <f t="shared" si="93"/>
        <v>1.3985999999999998</v>
      </c>
      <c r="W1002" s="6">
        <f t="shared" si="94"/>
        <v>45.221399999999996</v>
      </c>
      <c r="X1002" s="3">
        <v>0.7</v>
      </c>
      <c r="Y1002" s="5">
        <f t="shared" si="95"/>
        <v>45.921399999999998</v>
      </c>
    </row>
    <row r="1003" spans="1:25" x14ac:dyDescent="0.2">
      <c r="A1003" t="s">
        <v>1834</v>
      </c>
      <c r="B1003" s="1">
        <v>42714</v>
      </c>
      <c r="C1003" s="2" t="str">
        <f t="shared" si="90"/>
        <v>2016</v>
      </c>
      <c r="D1003" s="2" t="s">
        <v>156</v>
      </c>
      <c r="E1003" s="2" t="s">
        <v>46</v>
      </c>
      <c r="F1003" s="2" t="s">
        <v>19</v>
      </c>
      <c r="G1003" s="2" t="s">
        <v>20</v>
      </c>
      <c r="H1003" s="2" t="s">
        <v>29</v>
      </c>
      <c r="I1003" s="2" t="s">
        <v>22</v>
      </c>
      <c r="J1003" s="2" t="s">
        <v>23</v>
      </c>
      <c r="K1003" s="2" t="s">
        <v>157</v>
      </c>
      <c r="L1003" s="2" t="s">
        <v>32</v>
      </c>
      <c r="M1003" s="2" t="s">
        <v>33</v>
      </c>
      <c r="N1003" s="2" t="s">
        <v>27</v>
      </c>
      <c r="O1003" s="1">
        <v>42718</v>
      </c>
      <c r="P1003" s="3">
        <v>2.39</v>
      </c>
      <c r="Q1003" s="3">
        <v>4.26</v>
      </c>
      <c r="R1003" s="3">
        <f t="shared" si="91"/>
        <v>1.8699999999999997</v>
      </c>
      <c r="S1003" s="2">
        <v>44</v>
      </c>
      <c r="T1003" s="3">
        <f t="shared" si="92"/>
        <v>187.44</v>
      </c>
      <c r="U1003" s="4">
        <v>0.01</v>
      </c>
      <c r="V1003" s="6">
        <f t="shared" si="93"/>
        <v>1.8744000000000001</v>
      </c>
      <c r="W1003" s="6">
        <f t="shared" si="94"/>
        <v>185.56559999999999</v>
      </c>
      <c r="X1003" s="3">
        <v>1.2</v>
      </c>
      <c r="Y1003" s="5">
        <f t="shared" si="95"/>
        <v>186.76559999999998</v>
      </c>
    </row>
    <row r="1004" spans="1:25" x14ac:dyDescent="0.2">
      <c r="A1004" s="12" t="s">
        <v>1954</v>
      </c>
      <c r="B1004" s="1">
        <v>42714</v>
      </c>
      <c r="C1004" s="2" t="str">
        <f t="shared" si="90"/>
        <v>2016</v>
      </c>
      <c r="D1004" s="2" t="s">
        <v>158</v>
      </c>
      <c r="E1004" s="2" t="s">
        <v>159</v>
      </c>
      <c r="F1004" s="2" t="s">
        <v>36</v>
      </c>
      <c r="G1004" s="2" t="s">
        <v>37</v>
      </c>
      <c r="H1004" s="2" t="s">
        <v>21</v>
      </c>
      <c r="I1004" s="2" t="s">
        <v>83</v>
      </c>
      <c r="J1004" s="2" t="s">
        <v>52</v>
      </c>
      <c r="K1004" s="2" t="s">
        <v>139</v>
      </c>
      <c r="L1004" s="2" t="s">
        <v>32</v>
      </c>
      <c r="M1004" s="2" t="s">
        <v>58</v>
      </c>
      <c r="N1004" s="2" t="s">
        <v>27</v>
      </c>
      <c r="O1004" s="1">
        <v>42716</v>
      </c>
      <c r="P1004" s="3">
        <v>0.94</v>
      </c>
      <c r="Q1004" s="3">
        <v>2.08</v>
      </c>
      <c r="R1004" s="3">
        <f t="shared" si="91"/>
        <v>1.1400000000000001</v>
      </c>
      <c r="S1004" s="2">
        <v>36</v>
      </c>
      <c r="T1004" s="3">
        <f t="shared" si="92"/>
        <v>74.88</v>
      </c>
      <c r="U1004" s="4">
        <v>0.1</v>
      </c>
      <c r="V1004" s="6">
        <f t="shared" si="93"/>
        <v>7.4879999999999995</v>
      </c>
      <c r="W1004" s="6">
        <f t="shared" si="94"/>
        <v>67.391999999999996</v>
      </c>
      <c r="X1004" s="3">
        <v>2.56</v>
      </c>
      <c r="Y1004" s="5">
        <f t="shared" si="95"/>
        <v>69.951999999999998</v>
      </c>
    </row>
    <row r="1005" spans="1:25" x14ac:dyDescent="0.2">
      <c r="A1005" t="s">
        <v>1835</v>
      </c>
      <c r="B1005" s="1">
        <v>42714</v>
      </c>
      <c r="C1005" s="2" t="str">
        <f t="shared" si="90"/>
        <v>2016</v>
      </c>
      <c r="D1005" s="2" t="s">
        <v>160</v>
      </c>
      <c r="E1005" s="2" t="s">
        <v>161</v>
      </c>
      <c r="F1005" s="2" t="s">
        <v>36</v>
      </c>
      <c r="G1005" s="2" t="s">
        <v>37</v>
      </c>
      <c r="H1005" s="2" t="s">
        <v>50</v>
      </c>
      <c r="I1005" s="2" t="s">
        <v>51</v>
      </c>
      <c r="J1005" s="2" t="s">
        <v>23</v>
      </c>
      <c r="K1005" s="2" t="s">
        <v>162</v>
      </c>
      <c r="L1005" s="2" t="s">
        <v>32</v>
      </c>
      <c r="M1005" s="2" t="s">
        <v>33</v>
      </c>
      <c r="N1005" s="2" t="s">
        <v>27</v>
      </c>
      <c r="O1005" s="1">
        <v>42719</v>
      </c>
      <c r="P1005" s="3">
        <v>1.82</v>
      </c>
      <c r="Q1005" s="3">
        <v>2.98</v>
      </c>
      <c r="R1005" s="3">
        <f t="shared" si="91"/>
        <v>1.1599999999999999</v>
      </c>
      <c r="S1005" s="2">
        <v>45</v>
      </c>
      <c r="T1005" s="3">
        <f t="shared" si="92"/>
        <v>134.1</v>
      </c>
      <c r="U1005" s="4">
        <v>0.05</v>
      </c>
      <c r="V1005" s="6">
        <f t="shared" si="93"/>
        <v>6.7050000000000001</v>
      </c>
      <c r="W1005" s="6">
        <f t="shared" si="94"/>
        <v>127.395</v>
      </c>
      <c r="X1005" s="3">
        <v>1.58</v>
      </c>
      <c r="Y1005" s="5">
        <f t="shared" si="95"/>
        <v>128.97499999999999</v>
      </c>
    </row>
    <row r="1006" spans="1:25" x14ac:dyDescent="0.2">
      <c r="A1006" t="s">
        <v>1836</v>
      </c>
      <c r="B1006" s="1">
        <v>42714</v>
      </c>
      <c r="C1006" s="2" t="str">
        <f t="shared" si="90"/>
        <v>2016</v>
      </c>
      <c r="D1006" s="2" t="s">
        <v>501</v>
      </c>
      <c r="E1006" s="2" t="s">
        <v>213</v>
      </c>
      <c r="F1006" s="2" t="s">
        <v>36</v>
      </c>
      <c r="G1006" s="2" t="s">
        <v>37</v>
      </c>
      <c r="H1006" s="2" t="s">
        <v>50</v>
      </c>
      <c r="I1006" s="2" t="s">
        <v>79</v>
      </c>
      <c r="J1006" s="2" t="s">
        <v>66</v>
      </c>
      <c r="K1006" s="2" t="s">
        <v>70</v>
      </c>
      <c r="L1006" s="2" t="s">
        <v>25</v>
      </c>
      <c r="M1006" s="2" t="s">
        <v>26</v>
      </c>
      <c r="N1006" s="2" t="s">
        <v>89</v>
      </c>
      <c r="O1006" s="1">
        <v>42716</v>
      </c>
      <c r="P1006" s="3">
        <v>156.5</v>
      </c>
      <c r="Q1006" s="3">
        <v>300.97000000000003</v>
      </c>
      <c r="R1006" s="3">
        <f t="shared" si="91"/>
        <v>144.47000000000003</v>
      </c>
      <c r="S1006" s="2">
        <v>8</v>
      </c>
      <c r="T1006" s="3">
        <f t="shared" si="92"/>
        <v>2407.7600000000002</v>
      </c>
      <c r="U1006" s="4">
        <v>0.05</v>
      </c>
      <c r="V1006" s="6">
        <f t="shared" si="93"/>
        <v>120.38800000000002</v>
      </c>
      <c r="W1006" s="6">
        <f t="shared" si="94"/>
        <v>2287.3720000000003</v>
      </c>
      <c r="X1006" s="3">
        <v>7.18</v>
      </c>
      <c r="Y1006" s="5">
        <f t="shared" si="95"/>
        <v>2294.5520000000001</v>
      </c>
    </row>
    <row r="1007" spans="1:25" x14ac:dyDescent="0.2">
      <c r="A1007" t="s">
        <v>1837</v>
      </c>
      <c r="B1007" s="1">
        <v>42718</v>
      </c>
      <c r="C1007" s="2" t="str">
        <f t="shared" si="90"/>
        <v>2016</v>
      </c>
      <c r="D1007" s="2" t="s">
        <v>151</v>
      </c>
      <c r="E1007" s="2" t="s">
        <v>152</v>
      </c>
      <c r="F1007" s="2" t="s">
        <v>36</v>
      </c>
      <c r="G1007" s="2" t="s">
        <v>37</v>
      </c>
      <c r="H1007" s="2" t="s">
        <v>21</v>
      </c>
      <c r="I1007" s="2" t="s">
        <v>153</v>
      </c>
      <c r="J1007" s="2" t="s">
        <v>44</v>
      </c>
      <c r="K1007" s="2" t="s">
        <v>154</v>
      </c>
      <c r="L1007" s="2" t="s">
        <v>32</v>
      </c>
      <c r="M1007" s="2" t="s">
        <v>26</v>
      </c>
      <c r="N1007" s="2" t="s">
        <v>27</v>
      </c>
      <c r="O1007" s="1">
        <v>42719</v>
      </c>
      <c r="P1007" s="3">
        <v>8.92</v>
      </c>
      <c r="Q1007" s="3">
        <v>29.74</v>
      </c>
      <c r="R1007" s="3">
        <f t="shared" si="91"/>
        <v>20.82</v>
      </c>
      <c r="S1007" s="2">
        <v>22</v>
      </c>
      <c r="T1007" s="3">
        <f t="shared" si="92"/>
        <v>654.28</v>
      </c>
      <c r="U1007" s="4">
        <v>7.0000000000000007E-2</v>
      </c>
      <c r="V1007" s="6">
        <f t="shared" si="93"/>
        <v>45.799600000000005</v>
      </c>
      <c r="W1007" s="6">
        <f t="shared" si="94"/>
        <v>608.48039999999992</v>
      </c>
      <c r="X1007" s="3">
        <v>6.64</v>
      </c>
      <c r="Y1007" s="5">
        <f t="shared" si="95"/>
        <v>615.1203999999999</v>
      </c>
    </row>
    <row r="1008" spans="1:25" x14ac:dyDescent="0.2">
      <c r="A1008" t="s">
        <v>1838</v>
      </c>
      <c r="B1008" s="1">
        <v>42719</v>
      </c>
      <c r="C1008" s="2" t="str">
        <f t="shared" si="90"/>
        <v>2016</v>
      </c>
      <c r="D1008" s="2" t="s">
        <v>147</v>
      </c>
      <c r="E1008" s="2" t="s">
        <v>148</v>
      </c>
      <c r="F1008" s="2" t="s">
        <v>36</v>
      </c>
      <c r="G1008" s="2" t="s">
        <v>37</v>
      </c>
      <c r="H1008" s="2" t="s">
        <v>50</v>
      </c>
      <c r="I1008" s="2" t="s">
        <v>83</v>
      </c>
      <c r="J1008" s="2" t="s">
        <v>23</v>
      </c>
      <c r="K1008" s="2" t="s">
        <v>149</v>
      </c>
      <c r="L1008" s="2" t="s">
        <v>150</v>
      </c>
      <c r="M1008" s="2" t="s">
        <v>58</v>
      </c>
      <c r="N1008" s="2" t="s">
        <v>89</v>
      </c>
      <c r="O1008" s="1">
        <v>42728</v>
      </c>
      <c r="P1008" s="3">
        <v>5.5</v>
      </c>
      <c r="Q1008" s="3">
        <v>12.22</v>
      </c>
      <c r="R1008" s="3">
        <f t="shared" si="91"/>
        <v>6.7200000000000006</v>
      </c>
      <c r="S1008" s="2">
        <v>17</v>
      </c>
      <c r="T1008" s="3">
        <f t="shared" si="92"/>
        <v>207.74</v>
      </c>
      <c r="U1008" s="4">
        <v>0.01</v>
      </c>
      <c r="V1008" s="6">
        <f t="shared" si="93"/>
        <v>2.0773999999999999</v>
      </c>
      <c r="W1008" s="6">
        <f t="shared" si="94"/>
        <v>205.6626</v>
      </c>
      <c r="X1008" s="3">
        <v>2.85</v>
      </c>
      <c r="Y1008" s="5">
        <f t="shared" si="95"/>
        <v>208.51259999999999</v>
      </c>
    </row>
    <row r="1009" spans="1:25" x14ac:dyDescent="0.2">
      <c r="A1009" t="s">
        <v>1839</v>
      </c>
      <c r="B1009" s="1">
        <v>42721</v>
      </c>
      <c r="C1009" s="2" t="str">
        <f t="shared" si="90"/>
        <v>2016</v>
      </c>
      <c r="D1009" s="2" t="s">
        <v>145</v>
      </c>
      <c r="E1009" s="2" t="s">
        <v>119</v>
      </c>
      <c r="F1009" s="2" t="s">
        <v>36</v>
      </c>
      <c r="G1009" s="2" t="s">
        <v>37</v>
      </c>
      <c r="H1009" s="2" t="s">
        <v>21</v>
      </c>
      <c r="I1009" s="2" t="s">
        <v>51</v>
      </c>
      <c r="J1009" s="2" t="s">
        <v>44</v>
      </c>
      <c r="K1009" s="2" t="s">
        <v>146</v>
      </c>
      <c r="L1009" s="2" t="s">
        <v>32</v>
      </c>
      <c r="M1009" s="2" t="s">
        <v>33</v>
      </c>
      <c r="N1009" s="2" t="s">
        <v>27</v>
      </c>
      <c r="O1009" s="1">
        <v>42723</v>
      </c>
      <c r="P1009" s="3">
        <v>2.52</v>
      </c>
      <c r="Q1009" s="3">
        <v>4</v>
      </c>
      <c r="R1009" s="3">
        <f t="shared" si="91"/>
        <v>1.48</v>
      </c>
      <c r="S1009" s="2">
        <v>28</v>
      </c>
      <c r="T1009" s="3">
        <f t="shared" si="92"/>
        <v>112</v>
      </c>
      <c r="U1009" s="4">
        <v>0.04</v>
      </c>
      <c r="V1009" s="6">
        <f t="shared" si="93"/>
        <v>4.4800000000000004</v>
      </c>
      <c r="W1009" s="6">
        <f t="shared" si="94"/>
        <v>107.52</v>
      </c>
      <c r="X1009" s="3">
        <v>1.3</v>
      </c>
      <c r="Y1009" s="5">
        <f t="shared" si="95"/>
        <v>108.82</v>
      </c>
    </row>
    <row r="1010" spans="1:25" x14ac:dyDescent="0.2">
      <c r="A1010" t="s">
        <v>1840</v>
      </c>
      <c r="B1010" s="1">
        <v>42722</v>
      </c>
      <c r="C1010" s="2" t="str">
        <f t="shared" si="90"/>
        <v>2016</v>
      </c>
      <c r="D1010" s="2" t="s">
        <v>143</v>
      </c>
      <c r="E1010" s="2" t="s">
        <v>1883</v>
      </c>
      <c r="F1010" s="2" t="s">
        <v>1881</v>
      </c>
      <c r="G1010" s="2" t="s">
        <v>1882</v>
      </c>
      <c r="H1010" s="2" t="s">
        <v>21</v>
      </c>
      <c r="I1010" s="2" t="s">
        <v>51</v>
      </c>
      <c r="J1010" s="2" t="s">
        <v>66</v>
      </c>
      <c r="K1010" s="2" t="s">
        <v>144</v>
      </c>
      <c r="L1010" s="2" t="s">
        <v>32</v>
      </c>
      <c r="M1010" s="2" t="s">
        <v>58</v>
      </c>
      <c r="N1010" s="2" t="s">
        <v>27</v>
      </c>
      <c r="O1010" s="1">
        <v>42723</v>
      </c>
      <c r="P1010" s="3">
        <v>4.1900000000000004</v>
      </c>
      <c r="Q1010" s="3">
        <v>10.23</v>
      </c>
      <c r="R1010" s="3">
        <f t="shared" si="91"/>
        <v>6.04</v>
      </c>
      <c r="S1010" s="2">
        <v>19</v>
      </c>
      <c r="T1010" s="3">
        <f t="shared" si="92"/>
        <v>194.37</v>
      </c>
      <c r="U1010" s="4">
        <v>0.05</v>
      </c>
      <c r="V1010" s="6">
        <f t="shared" si="93"/>
        <v>9.7185000000000006</v>
      </c>
      <c r="W1010" s="6">
        <f t="shared" si="94"/>
        <v>184.6515</v>
      </c>
      <c r="X1010" s="3">
        <v>4.68</v>
      </c>
      <c r="Y1010" s="5">
        <f t="shared" si="95"/>
        <v>189.33150000000001</v>
      </c>
    </row>
    <row r="1011" spans="1:25" x14ac:dyDescent="0.2">
      <c r="A1011" t="s">
        <v>1841</v>
      </c>
      <c r="B1011" s="1">
        <v>42723</v>
      </c>
      <c r="C1011" s="2" t="str">
        <f t="shared" si="90"/>
        <v>2016</v>
      </c>
      <c r="D1011" s="2" t="s">
        <v>140</v>
      </c>
      <c r="E1011" s="2" t="s">
        <v>141</v>
      </c>
      <c r="F1011" s="2" t="s">
        <v>36</v>
      </c>
      <c r="G1011" s="2" t="s">
        <v>37</v>
      </c>
      <c r="H1011" s="2" t="s">
        <v>21</v>
      </c>
      <c r="I1011" s="2" t="s">
        <v>142</v>
      </c>
      <c r="J1011" s="2" t="s">
        <v>66</v>
      </c>
      <c r="K1011" s="2" t="s">
        <v>117</v>
      </c>
      <c r="L1011" s="2" t="s">
        <v>25</v>
      </c>
      <c r="M1011" s="2" t="s">
        <v>26</v>
      </c>
      <c r="N1011" s="2" t="s">
        <v>27</v>
      </c>
      <c r="O1011" s="1">
        <v>42725</v>
      </c>
      <c r="P1011" s="3">
        <v>32.020000000000003</v>
      </c>
      <c r="Q1011" s="3">
        <v>152.47999999999999</v>
      </c>
      <c r="R1011" s="3">
        <f t="shared" si="91"/>
        <v>120.45999999999998</v>
      </c>
      <c r="S1011" s="2">
        <v>12</v>
      </c>
      <c r="T1011" s="3">
        <f t="shared" si="92"/>
        <v>1829.7599999999998</v>
      </c>
      <c r="U1011" s="4">
        <v>7.0000000000000007E-2</v>
      </c>
      <c r="V1011" s="6">
        <f t="shared" si="93"/>
        <v>128.08320000000001</v>
      </c>
      <c r="W1011" s="6">
        <f t="shared" si="94"/>
        <v>1701.6767999999997</v>
      </c>
      <c r="X1011" s="3">
        <v>4</v>
      </c>
      <c r="Y1011" s="5">
        <f t="shared" si="95"/>
        <v>1705.6767999999997</v>
      </c>
    </row>
    <row r="1012" spans="1:25" x14ac:dyDescent="0.2">
      <c r="A1012" t="s">
        <v>1842</v>
      </c>
      <c r="B1012" s="1">
        <v>42725</v>
      </c>
      <c r="C1012" s="2" t="str">
        <f t="shared" si="90"/>
        <v>2016</v>
      </c>
      <c r="D1012" s="2" t="s">
        <v>137</v>
      </c>
      <c r="E1012" s="2" t="s">
        <v>1929</v>
      </c>
      <c r="F1012" s="2" t="s">
        <v>36</v>
      </c>
      <c r="G1012" s="2" t="s">
        <v>37</v>
      </c>
      <c r="H1012" s="2" t="s">
        <v>21</v>
      </c>
      <c r="I1012" s="2" t="s">
        <v>51</v>
      </c>
      <c r="J1012" s="2" t="s">
        <v>66</v>
      </c>
      <c r="K1012" s="2" t="s">
        <v>139</v>
      </c>
      <c r="L1012" s="2" t="s">
        <v>32</v>
      </c>
      <c r="M1012" s="2" t="s">
        <v>58</v>
      </c>
      <c r="N1012" s="2" t="s">
        <v>27</v>
      </c>
      <c r="O1012" s="1">
        <v>42726</v>
      </c>
      <c r="P1012" s="3">
        <v>0.94</v>
      </c>
      <c r="Q1012" s="3">
        <v>2.08</v>
      </c>
      <c r="R1012" s="3">
        <f t="shared" si="91"/>
        <v>1.1400000000000001</v>
      </c>
      <c r="S1012" s="2">
        <v>49</v>
      </c>
      <c r="T1012" s="3">
        <f t="shared" si="92"/>
        <v>101.92</v>
      </c>
      <c r="U1012" s="4">
        <v>7.0000000000000007E-2</v>
      </c>
      <c r="V1012" s="6">
        <f t="shared" si="93"/>
        <v>7.1344000000000012</v>
      </c>
      <c r="W1012" s="6">
        <f t="shared" si="94"/>
        <v>94.785600000000002</v>
      </c>
      <c r="X1012" s="3">
        <v>2.56</v>
      </c>
      <c r="Y1012" s="5">
        <f t="shared" si="95"/>
        <v>97.345600000000005</v>
      </c>
    </row>
    <row r="1013" spans="1:25" x14ac:dyDescent="0.2">
      <c r="A1013" t="s">
        <v>1843</v>
      </c>
      <c r="B1013" s="1">
        <v>42726</v>
      </c>
      <c r="C1013" s="2" t="str">
        <f t="shared" si="90"/>
        <v>2016</v>
      </c>
      <c r="D1013" s="2" t="s">
        <v>135</v>
      </c>
      <c r="E1013" s="2" t="s">
        <v>136</v>
      </c>
      <c r="F1013" s="2" t="s">
        <v>36</v>
      </c>
      <c r="G1013" s="2" t="s">
        <v>37</v>
      </c>
      <c r="H1013" s="2" t="s">
        <v>21</v>
      </c>
      <c r="I1013" s="2" t="s">
        <v>43</v>
      </c>
      <c r="J1013" s="2" t="s">
        <v>66</v>
      </c>
      <c r="K1013" s="2" t="s">
        <v>120</v>
      </c>
      <c r="L1013" s="2" t="s">
        <v>32</v>
      </c>
      <c r="M1013" s="2" t="s">
        <v>26</v>
      </c>
      <c r="N1013" s="2" t="s">
        <v>27</v>
      </c>
      <c r="O1013" s="1">
        <v>42727</v>
      </c>
      <c r="P1013" s="3">
        <v>1.18</v>
      </c>
      <c r="Q1013" s="3">
        <v>1.88</v>
      </c>
      <c r="R1013" s="3">
        <f t="shared" si="91"/>
        <v>0.7</v>
      </c>
      <c r="S1013" s="2">
        <v>19</v>
      </c>
      <c r="T1013" s="3">
        <f t="shared" si="92"/>
        <v>35.72</v>
      </c>
      <c r="U1013" s="4">
        <v>0.06</v>
      </c>
      <c r="V1013" s="6">
        <f t="shared" si="93"/>
        <v>2.1431999999999998</v>
      </c>
      <c r="W1013" s="6">
        <f t="shared" si="94"/>
        <v>33.576799999999999</v>
      </c>
      <c r="X1013" s="3">
        <v>1.49</v>
      </c>
      <c r="Y1013" s="5">
        <f t="shared" si="95"/>
        <v>35.066800000000001</v>
      </c>
    </row>
    <row r="1014" spans="1:25" x14ac:dyDescent="0.2">
      <c r="A1014" t="s">
        <v>1844</v>
      </c>
      <c r="B1014" s="1">
        <v>42728</v>
      </c>
      <c r="C1014" s="2" t="str">
        <f t="shared" si="90"/>
        <v>2016</v>
      </c>
      <c r="D1014" s="2" t="s">
        <v>132</v>
      </c>
      <c r="E1014" s="2" t="s">
        <v>133</v>
      </c>
      <c r="F1014" s="2" t="s">
        <v>19</v>
      </c>
      <c r="G1014" s="2" t="s">
        <v>20</v>
      </c>
      <c r="H1014" s="2" t="s">
        <v>21</v>
      </c>
      <c r="I1014" s="2" t="s">
        <v>92</v>
      </c>
      <c r="J1014" s="2" t="s">
        <v>44</v>
      </c>
      <c r="K1014" s="2" t="s">
        <v>134</v>
      </c>
      <c r="L1014" s="2" t="s">
        <v>32</v>
      </c>
      <c r="M1014" s="2" t="s">
        <v>26</v>
      </c>
      <c r="N1014" s="2" t="s">
        <v>27</v>
      </c>
      <c r="O1014" s="1">
        <v>42729</v>
      </c>
      <c r="P1014" s="3">
        <v>2.4500000000000002</v>
      </c>
      <c r="Q1014" s="3">
        <v>3.89</v>
      </c>
      <c r="R1014" s="3">
        <f t="shared" si="91"/>
        <v>1.44</v>
      </c>
      <c r="S1014" s="2">
        <v>3</v>
      </c>
      <c r="T1014" s="3">
        <f t="shared" si="92"/>
        <v>11.67</v>
      </c>
      <c r="U1014" s="4">
        <v>0</v>
      </c>
      <c r="V1014" s="6">
        <f t="shared" si="93"/>
        <v>0</v>
      </c>
      <c r="W1014" s="6">
        <f t="shared" si="94"/>
        <v>11.67</v>
      </c>
      <c r="X1014" s="3">
        <v>7.01</v>
      </c>
      <c r="Y1014" s="5">
        <f t="shared" si="95"/>
        <v>18.68</v>
      </c>
    </row>
    <row r="1015" spans="1:25" x14ac:dyDescent="0.2">
      <c r="A1015" t="s">
        <v>1845</v>
      </c>
      <c r="B1015" s="1">
        <v>42729</v>
      </c>
      <c r="C1015" s="2" t="str">
        <f t="shared" si="90"/>
        <v>2016</v>
      </c>
      <c r="D1015" s="2" t="s">
        <v>129</v>
      </c>
      <c r="E1015" s="2" t="s">
        <v>130</v>
      </c>
      <c r="F1015" s="2" t="s">
        <v>36</v>
      </c>
      <c r="G1015" s="2" t="s">
        <v>37</v>
      </c>
      <c r="H1015" s="2" t="s">
        <v>42</v>
      </c>
      <c r="I1015" s="2" t="s">
        <v>79</v>
      </c>
      <c r="J1015" s="2" t="s">
        <v>52</v>
      </c>
      <c r="K1015" s="2" t="s">
        <v>131</v>
      </c>
      <c r="L1015" s="2" t="s">
        <v>32</v>
      </c>
      <c r="M1015" s="2" t="s">
        <v>26</v>
      </c>
      <c r="N1015" s="2" t="s">
        <v>27</v>
      </c>
      <c r="O1015" s="1">
        <v>42730</v>
      </c>
      <c r="P1015" s="3">
        <v>52.07</v>
      </c>
      <c r="Q1015" s="3">
        <v>83.98</v>
      </c>
      <c r="R1015" s="3">
        <f t="shared" si="91"/>
        <v>31.910000000000004</v>
      </c>
      <c r="S1015" s="2">
        <v>38</v>
      </c>
      <c r="T1015" s="3">
        <f t="shared" si="92"/>
        <v>3191.2400000000002</v>
      </c>
      <c r="U1015" s="4">
        <v>0</v>
      </c>
      <c r="V1015" s="6">
        <f t="shared" si="93"/>
        <v>0</v>
      </c>
      <c r="W1015" s="6">
        <f t="shared" si="94"/>
        <v>3191.2400000000002</v>
      </c>
      <c r="X1015" s="3">
        <v>5.01</v>
      </c>
      <c r="Y1015" s="5">
        <f t="shared" si="95"/>
        <v>3196.2500000000005</v>
      </c>
    </row>
    <row r="1016" spans="1:25" x14ac:dyDescent="0.2">
      <c r="A1016" t="s">
        <v>1846</v>
      </c>
      <c r="B1016" s="1">
        <v>42732</v>
      </c>
      <c r="C1016" s="2" t="str">
        <f t="shared" si="90"/>
        <v>2016</v>
      </c>
      <c r="D1016" s="2" t="s">
        <v>48</v>
      </c>
      <c r="E1016" s="2" t="s">
        <v>1892</v>
      </c>
      <c r="F1016" s="2" t="s">
        <v>1881</v>
      </c>
      <c r="G1016" s="2" t="s">
        <v>1882</v>
      </c>
      <c r="H1016" s="2" t="s">
        <v>29</v>
      </c>
      <c r="I1016" s="2" t="s">
        <v>51</v>
      </c>
      <c r="J1016" s="2" t="s">
        <v>44</v>
      </c>
      <c r="K1016" s="2" t="s">
        <v>121</v>
      </c>
      <c r="L1016" s="2" t="s">
        <v>32</v>
      </c>
      <c r="M1016" s="2" t="s">
        <v>26</v>
      </c>
      <c r="N1016" s="2" t="s">
        <v>27</v>
      </c>
      <c r="O1016" s="1">
        <v>42734</v>
      </c>
      <c r="P1016" s="3">
        <v>3.75</v>
      </c>
      <c r="Q1016" s="3">
        <v>5.77</v>
      </c>
      <c r="R1016" s="3">
        <f t="shared" si="91"/>
        <v>2.0199999999999996</v>
      </c>
      <c r="S1016" s="2">
        <v>42</v>
      </c>
      <c r="T1016" s="3">
        <f t="shared" si="92"/>
        <v>242.33999999999997</v>
      </c>
      <c r="U1016" s="4">
        <v>0</v>
      </c>
      <c r="V1016" s="6">
        <f t="shared" si="93"/>
        <v>0</v>
      </c>
      <c r="W1016" s="6">
        <f t="shared" si="94"/>
        <v>242.33999999999997</v>
      </c>
      <c r="X1016" s="3">
        <v>4.97</v>
      </c>
      <c r="Y1016" s="5">
        <f t="shared" si="95"/>
        <v>247.30999999999997</v>
      </c>
    </row>
    <row r="1017" spans="1:25" x14ac:dyDescent="0.2">
      <c r="A1017" t="s">
        <v>1847</v>
      </c>
      <c r="B1017" s="1">
        <v>42732</v>
      </c>
      <c r="C1017" s="2" t="str">
        <f t="shared" si="90"/>
        <v>2016</v>
      </c>
      <c r="D1017" s="2" t="s">
        <v>122</v>
      </c>
      <c r="E1017" s="2" t="s">
        <v>123</v>
      </c>
      <c r="F1017" s="2" t="s">
        <v>36</v>
      </c>
      <c r="G1017" s="2" t="s">
        <v>37</v>
      </c>
      <c r="H1017" s="2" t="s">
        <v>29</v>
      </c>
      <c r="I1017" s="2" t="s">
        <v>124</v>
      </c>
      <c r="J1017" s="2" t="s">
        <v>30</v>
      </c>
      <c r="K1017" s="2" t="s">
        <v>125</v>
      </c>
      <c r="L1017" s="2" t="s">
        <v>32</v>
      </c>
      <c r="M1017" s="2" t="s">
        <v>33</v>
      </c>
      <c r="N1017" s="2" t="s">
        <v>27</v>
      </c>
      <c r="O1017" s="1">
        <v>42733</v>
      </c>
      <c r="P1017" s="3">
        <v>1.17</v>
      </c>
      <c r="Q1017" s="3">
        <v>2.78</v>
      </c>
      <c r="R1017" s="3">
        <f t="shared" si="91"/>
        <v>1.6099999999999999</v>
      </c>
      <c r="S1017" s="2">
        <v>48</v>
      </c>
      <c r="T1017" s="3">
        <f t="shared" si="92"/>
        <v>133.44</v>
      </c>
      <c r="U1017" s="4">
        <v>0.03</v>
      </c>
      <c r="V1017" s="6">
        <f t="shared" si="93"/>
        <v>4.0031999999999996</v>
      </c>
      <c r="W1017" s="6">
        <f t="shared" si="94"/>
        <v>129.43680000000001</v>
      </c>
      <c r="X1017" s="3">
        <v>1.2</v>
      </c>
      <c r="Y1017" s="5">
        <f t="shared" si="95"/>
        <v>130.63679999999999</v>
      </c>
    </row>
    <row r="1018" spans="1:25" x14ac:dyDescent="0.2">
      <c r="A1018" t="s">
        <v>1848</v>
      </c>
      <c r="B1018" s="1">
        <v>42732</v>
      </c>
      <c r="C1018" s="2" t="str">
        <f t="shared" si="90"/>
        <v>2016</v>
      </c>
      <c r="D1018" s="2" t="s">
        <v>126</v>
      </c>
      <c r="E1018" s="2" t="s">
        <v>127</v>
      </c>
      <c r="F1018" s="2" t="s">
        <v>36</v>
      </c>
      <c r="G1018" s="2" t="s">
        <v>37</v>
      </c>
      <c r="H1018" s="2" t="s">
        <v>50</v>
      </c>
      <c r="I1018" s="2" t="s">
        <v>96</v>
      </c>
      <c r="J1018" s="2" t="s">
        <v>30</v>
      </c>
      <c r="K1018" s="2" t="s">
        <v>128</v>
      </c>
      <c r="L1018" s="2" t="s">
        <v>25</v>
      </c>
      <c r="M1018" s="2" t="s">
        <v>26</v>
      </c>
      <c r="N1018" s="2" t="s">
        <v>27</v>
      </c>
      <c r="O1018" s="1">
        <v>42733</v>
      </c>
      <c r="P1018" s="3">
        <v>10.07</v>
      </c>
      <c r="Q1018" s="3">
        <v>15.98</v>
      </c>
      <c r="R1018" s="3">
        <f t="shared" si="91"/>
        <v>5.91</v>
      </c>
      <c r="S1018" s="2">
        <v>14</v>
      </c>
      <c r="T1018" s="3">
        <f t="shared" si="92"/>
        <v>223.72</v>
      </c>
      <c r="U1018" s="4">
        <v>0.05</v>
      </c>
      <c r="V1018" s="6">
        <f t="shared" si="93"/>
        <v>11.186</v>
      </c>
      <c r="W1018" s="6">
        <f t="shared" si="94"/>
        <v>212.53399999999999</v>
      </c>
      <c r="X1018" s="3">
        <v>4</v>
      </c>
      <c r="Y1018" s="5">
        <f t="shared" si="95"/>
        <v>216.53399999999999</v>
      </c>
    </row>
    <row r="1019" spans="1:25" x14ac:dyDescent="0.2">
      <c r="A1019" t="s">
        <v>1849</v>
      </c>
      <c r="B1019" s="1">
        <v>42735</v>
      </c>
      <c r="C1019" s="2" t="str">
        <f t="shared" si="90"/>
        <v>2016</v>
      </c>
      <c r="D1019" s="2" t="s">
        <v>118</v>
      </c>
      <c r="E1019" s="2" t="s">
        <v>119</v>
      </c>
      <c r="F1019" s="2" t="s">
        <v>36</v>
      </c>
      <c r="G1019" s="2" t="s">
        <v>37</v>
      </c>
      <c r="H1019" s="2" t="s">
        <v>50</v>
      </c>
      <c r="I1019" s="2" t="s">
        <v>75</v>
      </c>
      <c r="J1019" s="2" t="s">
        <v>23</v>
      </c>
      <c r="K1019" s="2" t="s">
        <v>120</v>
      </c>
      <c r="L1019" s="2" t="s">
        <v>32</v>
      </c>
      <c r="M1019" s="2" t="s">
        <v>26</v>
      </c>
      <c r="N1019" s="2" t="s">
        <v>27</v>
      </c>
      <c r="O1019" s="1">
        <v>42739</v>
      </c>
      <c r="P1019" s="3">
        <v>1.18</v>
      </c>
      <c r="Q1019" s="3">
        <v>1.88</v>
      </c>
      <c r="R1019" s="3">
        <f t="shared" si="91"/>
        <v>0.7</v>
      </c>
      <c r="S1019" s="2">
        <v>22</v>
      </c>
      <c r="T1019" s="3">
        <f t="shared" si="92"/>
        <v>41.36</v>
      </c>
      <c r="U1019" s="4">
        <v>0.04</v>
      </c>
      <c r="V1019" s="6">
        <f t="shared" si="93"/>
        <v>1.6544000000000001</v>
      </c>
      <c r="W1019" s="6">
        <f t="shared" si="94"/>
        <v>39.705599999999997</v>
      </c>
      <c r="X1019" s="3">
        <v>1.49</v>
      </c>
      <c r="Y1019" s="5">
        <f t="shared" si="95"/>
        <v>41.195599999999999</v>
      </c>
    </row>
    <row r="1020" spans="1:25" x14ac:dyDescent="0.2">
      <c r="A1020" t="s">
        <v>1850</v>
      </c>
      <c r="B1020" s="1">
        <v>42738</v>
      </c>
      <c r="C1020" s="2" t="str">
        <f t="shared" si="90"/>
        <v>2017</v>
      </c>
      <c r="D1020" s="2" t="s">
        <v>77</v>
      </c>
      <c r="E1020" s="2" t="s">
        <v>78</v>
      </c>
      <c r="F1020" s="2" t="s">
        <v>36</v>
      </c>
      <c r="G1020" s="2" t="s">
        <v>37</v>
      </c>
      <c r="H1020" s="2" t="s">
        <v>21</v>
      </c>
      <c r="I1020" s="2" t="s">
        <v>79</v>
      </c>
      <c r="J1020" s="2" t="s">
        <v>52</v>
      </c>
      <c r="K1020" s="2" t="s">
        <v>117</v>
      </c>
      <c r="L1020" s="2" t="s">
        <v>25</v>
      </c>
      <c r="M1020" s="2" t="s">
        <v>26</v>
      </c>
      <c r="N1020" s="2" t="s">
        <v>27</v>
      </c>
      <c r="O1020" s="1">
        <v>42739</v>
      </c>
      <c r="P1020" s="3">
        <v>32.020000000000003</v>
      </c>
      <c r="Q1020" s="3">
        <v>152.47999999999999</v>
      </c>
      <c r="R1020" s="3">
        <f t="shared" si="91"/>
        <v>120.45999999999998</v>
      </c>
      <c r="S1020" s="2">
        <v>46</v>
      </c>
      <c r="T1020" s="3">
        <f t="shared" si="92"/>
        <v>7014.08</v>
      </c>
      <c r="U1020" s="4">
        <v>0.04</v>
      </c>
      <c r="V1020" s="6">
        <f t="shared" si="93"/>
        <v>280.56319999999999</v>
      </c>
      <c r="W1020" s="6">
        <f t="shared" si="94"/>
        <v>6733.5168000000003</v>
      </c>
      <c r="X1020" s="3">
        <v>4</v>
      </c>
      <c r="Y1020" s="5">
        <f t="shared" si="95"/>
        <v>6737.5168000000003</v>
      </c>
    </row>
    <row r="1021" spans="1:25" x14ac:dyDescent="0.2">
      <c r="A1021" t="s">
        <v>1851</v>
      </c>
      <c r="B1021" s="1">
        <v>42739</v>
      </c>
      <c r="C1021" s="2" t="str">
        <f t="shared" si="90"/>
        <v>2017</v>
      </c>
      <c r="D1021" s="2" t="s">
        <v>112</v>
      </c>
      <c r="E1021" s="2" t="s">
        <v>113</v>
      </c>
      <c r="F1021" s="2" t="s">
        <v>36</v>
      </c>
      <c r="G1021" s="2" t="s">
        <v>37</v>
      </c>
      <c r="H1021" s="2" t="s">
        <v>29</v>
      </c>
      <c r="I1021" s="2" t="s">
        <v>56</v>
      </c>
      <c r="J1021" s="2"/>
      <c r="K1021" s="2" t="s">
        <v>108</v>
      </c>
      <c r="L1021" s="2" t="s">
        <v>32</v>
      </c>
      <c r="M1021" s="2" t="s">
        <v>26</v>
      </c>
      <c r="N1021" s="2" t="s">
        <v>27</v>
      </c>
      <c r="O1021" s="1">
        <v>42740</v>
      </c>
      <c r="P1021" s="3">
        <v>1.84</v>
      </c>
      <c r="Q1021" s="3">
        <v>2.88</v>
      </c>
      <c r="R1021" s="3">
        <f t="shared" si="91"/>
        <v>1.0399999999999998</v>
      </c>
      <c r="S1021" s="2">
        <v>26</v>
      </c>
      <c r="T1021" s="3">
        <f t="shared" si="92"/>
        <v>74.88</v>
      </c>
      <c r="U1021" s="4">
        <v>0.01</v>
      </c>
      <c r="V1021" s="6">
        <f t="shared" si="93"/>
        <v>0.74880000000000002</v>
      </c>
      <c r="W1021" s="6">
        <f t="shared" si="94"/>
        <v>74.131199999999993</v>
      </c>
      <c r="X1021" s="3">
        <v>0.99</v>
      </c>
      <c r="Y1021" s="5">
        <f t="shared" si="95"/>
        <v>75.121199999999988</v>
      </c>
    </row>
    <row r="1022" spans="1:25" x14ac:dyDescent="0.2">
      <c r="A1022" t="s">
        <v>1852</v>
      </c>
      <c r="B1022" s="1">
        <v>42739</v>
      </c>
      <c r="C1022" s="2" t="str">
        <f t="shared" si="90"/>
        <v>2017</v>
      </c>
      <c r="D1022" s="2" t="s">
        <v>114</v>
      </c>
      <c r="E1022" s="2" t="s">
        <v>115</v>
      </c>
      <c r="F1022" s="2" t="s">
        <v>36</v>
      </c>
      <c r="G1022" s="2" t="s">
        <v>37</v>
      </c>
      <c r="H1022" s="2" t="s">
        <v>42</v>
      </c>
      <c r="I1022" s="2" t="s">
        <v>51</v>
      </c>
      <c r="J1022" s="2" t="s">
        <v>30</v>
      </c>
      <c r="K1022" s="2" t="s">
        <v>116</v>
      </c>
      <c r="L1022" s="2" t="s">
        <v>32</v>
      </c>
      <c r="M1022" s="2" t="s">
        <v>33</v>
      </c>
      <c r="N1022" s="2" t="s">
        <v>27</v>
      </c>
      <c r="O1022" s="1">
        <v>42741</v>
      </c>
      <c r="P1022" s="3">
        <v>1.6</v>
      </c>
      <c r="Q1022" s="3">
        <v>2.62</v>
      </c>
      <c r="R1022" s="3">
        <f t="shared" si="91"/>
        <v>1.02</v>
      </c>
      <c r="S1022" s="2">
        <v>35</v>
      </c>
      <c r="T1022" s="3">
        <f t="shared" si="92"/>
        <v>91.7</v>
      </c>
      <c r="U1022" s="4">
        <v>0.04</v>
      </c>
      <c r="V1022" s="6">
        <f t="shared" si="93"/>
        <v>3.6680000000000001</v>
      </c>
      <c r="W1022" s="6">
        <f t="shared" si="94"/>
        <v>88.031999999999996</v>
      </c>
      <c r="X1022" s="3">
        <v>0.8</v>
      </c>
      <c r="Y1022" s="5">
        <f t="shared" si="95"/>
        <v>88.831999999999994</v>
      </c>
    </row>
    <row r="1023" spans="1:25" x14ac:dyDescent="0.2">
      <c r="A1023" t="s">
        <v>1853</v>
      </c>
      <c r="B1023" s="1">
        <v>42741</v>
      </c>
      <c r="C1023" s="2" t="str">
        <f t="shared" si="90"/>
        <v>2017</v>
      </c>
      <c r="D1023" s="2" t="s">
        <v>109</v>
      </c>
      <c r="E1023" s="2" t="s">
        <v>110</v>
      </c>
      <c r="F1023" s="2" t="s">
        <v>36</v>
      </c>
      <c r="G1023" s="2" t="s">
        <v>37</v>
      </c>
      <c r="H1023" s="2" t="s">
        <v>29</v>
      </c>
      <c r="I1023" s="2" t="s">
        <v>75</v>
      </c>
      <c r="J1023" s="2" t="s">
        <v>30</v>
      </c>
      <c r="K1023" s="2" t="s">
        <v>111</v>
      </c>
      <c r="L1023" s="2" t="s">
        <v>25</v>
      </c>
      <c r="M1023" s="2" t="s">
        <v>26</v>
      </c>
      <c r="N1023" s="2" t="s">
        <v>27</v>
      </c>
      <c r="O1023" s="1">
        <v>42742</v>
      </c>
      <c r="P1023" s="3">
        <v>60.59</v>
      </c>
      <c r="Q1023" s="3">
        <v>100.98</v>
      </c>
      <c r="R1023" s="3">
        <f t="shared" si="91"/>
        <v>40.39</v>
      </c>
      <c r="S1023" s="2">
        <v>12</v>
      </c>
      <c r="T1023" s="3">
        <f t="shared" si="92"/>
        <v>1211.76</v>
      </c>
      <c r="U1023" s="4">
        <v>0</v>
      </c>
      <c r="V1023" s="6">
        <f t="shared" si="93"/>
        <v>0</v>
      </c>
      <c r="W1023" s="6">
        <f t="shared" si="94"/>
        <v>1211.76</v>
      </c>
      <c r="X1023" s="3">
        <v>7.18</v>
      </c>
      <c r="Y1023" s="5">
        <f t="shared" si="95"/>
        <v>1218.94</v>
      </c>
    </row>
    <row r="1024" spans="1:25" x14ac:dyDescent="0.2">
      <c r="A1024" t="s">
        <v>1854</v>
      </c>
      <c r="B1024" s="1">
        <v>42745</v>
      </c>
      <c r="C1024" s="2" t="str">
        <f t="shared" si="90"/>
        <v>2017</v>
      </c>
      <c r="D1024" s="2" t="s">
        <v>106</v>
      </c>
      <c r="E1024" s="2" t="s">
        <v>107</v>
      </c>
      <c r="F1024" s="2" t="s">
        <v>36</v>
      </c>
      <c r="G1024" s="2" t="s">
        <v>37</v>
      </c>
      <c r="H1024" s="2" t="s">
        <v>21</v>
      </c>
      <c r="I1024" s="2" t="s">
        <v>83</v>
      </c>
      <c r="J1024" s="2" t="s">
        <v>30</v>
      </c>
      <c r="K1024" s="2" t="s">
        <v>108</v>
      </c>
      <c r="L1024" s="2" t="s">
        <v>32</v>
      </c>
      <c r="M1024" s="2" t="s">
        <v>26</v>
      </c>
      <c r="N1024" s="2" t="s">
        <v>27</v>
      </c>
      <c r="O1024" s="1">
        <v>42746</v>
      </c>
      <c r="P1024" s="3">
        <v>1.84</v>
      </c>
      <c r="Q1024" s="3">
        <v>2.88</v>
      </c>
      <c r="R1024" s="3">
        <f t="shared" si="91"/>
        <v>1.0399999999999998</v>
      </c>
      <c r="S1024" s="2">
        <v>22</v>
      </c>
      <c r="T1024" s="3">
        <f t="shared" si="92"/>
        <v>63.36</v>
      </c>
      <c r="U1024" s="4">
        <v>0.02</v>
      </c>
      <c r="V1024" s="6">
        <f t="shared" si="93"/>
        <v>1.2672000000000001</v>
      </c>
      <c r="W1024" s="6">
        <f t="shared" si="94"/>
        <v>62.092799999999997</v>
      </c>
      <c r="X1024" s="3">
        <v>0.99</v>
      </c>
      <c r="Y1024" s="5">
        <f t="shared" si="95"/>
        <v>63.082799999999999</v>
      </c>
    </row>
    <row r="1025" spans="1:25" x14ac:dyDescent="0.2">
      <c r="A1025" t="s">
        <v>1855</v>
      </c>
      <c r="B1025" s="1">
        <v>42746</v>
      </c>
      <c r="C1025" s="2" t="str">
        <f t="shared" si="90"/>
        <v>2017</v>
      </c>
      <c r="D1025" s="2" t="s">
        <v>104</v>
      </c>
      <c r="E1025" s="2" t="s">
        <v>1927</v>
      </c>
      <c r="F1025" s="2" t="s">
        <v>36</v>
      </c>
      <c r="G1025" s="2" t="s">
        <v>37</v>
      </c>
      <c r="H1025" s="2" t="s">
        <v>50</v>
      </c>
      <c r="I1025" s="2" t="s">
        <v>56</v>
      </c>
      <c r="J1025" s="2" t="s">
        <v>66</v>
      </c>
      <c r="K1025" s="2" t="s">
        <v>88</v>
      </c>
      <c r="L1025" s="2" t="s">
        <v>32</v>
      </c>
      <c r="M1025" s="2" t="s">
        <v>58</v>
      </c>
      <c r="N1025" s="2" t="s">
        <v>27</v>
      </c>
      <c r="O1025" s="1">
        <v>42748</v>
      </c>
      <c r="P1025" s="3">
        <v>5.19</v>
      </c>
      <c r="Q1025" s="3">
        <v>12.98</v>
      </c>
      <c r="R1025" s="3">
        <f t="shared" si="91"/>
        <v>7.79</v>
      </c>
      <c r="S1025" s="2">
        <v>49</v>
      </c>
      <c r="T1025" s="3">
        <f t="shared" si="92"/>
        <v>636.02</v>
      </c>
      <c r="U1025" s="4">
        <v>0.02</v>
      </c>
      <c r="V1025" s="6">
        <f t="shared" si="93"/>
        <v>12.7204</v>
      </c>
      <c r="W1025" s="6">
        <f t="shared" si="94"/>
        <v>623.29959999999994</v>
      </c>
      <c r="X1025" s="3">
        <v>3.14</v>
      </c>
      <c r="Y1025" s="5">
        <f t="shared" si="95"/>
        <v>626.43959999999993</v>
      </c>
    </row>
    <row r="1026" spans="1:25" x14ac:dyDescent="0.2">
      <c r="A1026" t="s">
        <v>1856</v>
      </c>
      <c r="B1026" s="1">
        <v>42749</v>
      </c>
      <c r="C1026" s="2" t="str">
        <f t="shared" si="90"/>
        <v>2017</v>
      </c>
      <c r="D1026" s="2" t="s">
        <v>100</v>
      </c>
      <c r="E1026" s="2" t="s">
        <v>101</v>
      </c>
      <c r="F1026" s="2" t="s">
        <v>36</v>
      </c>
      <c r="G1026" s="2" t="s">
        <v>37</v>
      </c>
      <c r="H1026" s="2" t="s">
        <v>21</v>
      </c>
      <c r="I1026" s="2" t="s">
        <v>102</v>
      </c>
      <c r="J1026" s="2" t="s">
        <v>30</v>
      </c>
      <c r="K1026" s="2" t="s">
        <v>103</v>
      </c>
      <c r="L1026" s="2" t="s">
        <v>32</v>
      </c>
      <c r="M1026" s="2" t="s">
        <v>26</v>
      </c>
      <c r="N1026" s="2" t="s">
        <v>27</v>
      </c>
      <c r="O1026" s="1">
        <v>42750</v>
      </c>
      <c r="P1026" s="3">
        <v>2.2599999999999998</v>
      </c>
      <c r="Q1026" s="3">
        <v>3.58</v>
      </c>
      <c r="R1026" s="3">
        <f t="shared" si="91"/>
        <v>1.3200000000000003</v>
      </c>
      <c r="S1026" s="2">
        <v>38</v>
      </c>
      <c r="T1026" s="3">
        <f t="shared" si="92"/>
        <v>136.04</v>
      </c>
      <c r="U1026" s="4">
        <v>0.03</v>
      </c>
      <c r="V1026" s="6">
        <f t="shared" si="93"/>
        <v>4.0811999999999999</v>
      </c>
      <c r="W1026" s="6">
        <f t="shared" si="94"/>
        <v>131.9588</v>
      </c>
      <c r="X1026" s="3">
        <v>5.47</v>
      </c>
      <c r="Y1026" s="5">
        <f t="shared" si="95"/>
        <v>137.4288</v>
      </c>
    </row>
    <row r="1027" spans="1:25" x14ac:dyDescent="0.2">
      <c r="A1027" t="s">
        <v>1857</v>
      </c>
      <c r="B1027" s="1">
        <v>42752</v>
      </c>
      <c r="C1027" s="2" t="str">
        <f t="shared" si="90"/>
        <v>2017</v>
      </c>
      <c r="D1027" s="2" t="s">
        <v>98</v>
      </c>
      <c r="E1027" s="2" t="s">
        <v>1918</v>
      </c>
      <c r="F1027" s="2" t="s">
        <v>36</v>
      </c>
      <c r="G1027" s="2" t="s">
        <v>37</v>
      </c>
      <c r="H1027" s="2" t="s">
        <v>50</v>
      </c>
      <c r="I1027" s="2" t="s">
        <v>56</v>
      </c>
      <c r="J1027" s="2" t="s">
        <v>66</v>
      </c>
      <c r="K1027" s="2" t="s">
        <v>80</v>
      </c>
      <c r="L1027" s="2" t="s">
        <v>32</v>
      </c>
      <c r="M1027" s="2" t="s">
        <v>26</v>
      </c>
      <c r="N1027" s="2" t="s">
        <v>27</v>
      </c>
      <c r="O1027" s="1">
        <v>42753</v>
      </c>
      <c r="P1027" s="3">
        <v>4.59</v>
      </c>
      <c r="Q1027" s="3">
        <v>7.28</v>
      </c>
      <c r="R1027" s="3">
        <f t="shared" si="91"/>
        <v>2.6900000000000004</v>
      </c>
      <c r="S1027" s="2">
        <v>39</v>
      </c>
      <c r="T1027" s="3">
        <f t="shared" si="92"/>
        <v>283.92</v>
      </c>
      <c r="U1027" s="4">
        <v>0.08</v>
      </c>
      <c r="V1027" s="6">
        <f t="shared" si="93"/>
        <v>22.713600000000003</v>
      </c>
      <c r="W1027" s="6">
        <f t="shared" si="94"/>
        <v>261.20640000000003</v>
      </c>
      <c r="X1027" s="3">
        <v>11.15</v>
      </c>
      <c r="Y1027" s="5">
        <f t="shared" si="95"/>
        <v>272.35640000000001</v>
      </c>
    </row>
    <row r="1028" spans="1:25" x14ac:dyDescent="0.2">
      <c r="A1028" t="s">
        <v>1858</v>
      </c>
      <c r="B1028" s="1">
        <v>42753</v>
      </c>
      <c r="C1028" s="2" t="str">
        <f t="shared" si="90"/>
        <v>2017</v>
      </c>
      <c r="D1028" s="2" t="s">
        <v>94</v>
      </c>
      <c r="E1028" s="2" t="s">
        <v>95</v>
      </c>
      <c r="F1028" s="2" t="s">
        <v>36</v>
      </c>
      <c r="G1028" s="2" t="s">
        <v>37</v>
      </c>
      <c r="H1028" s="2" t="s">
        <v>21</v>
      </c>
      <c r="I1028" s="2" t="s">
        <v>96</v>
      </c>
      <c r="J1028" s="2" t="s">
        <v>52</v>
      </c>
      <c r="K1028" s="2" t="s">
        <v>97</v>
      </c>
      <c r="L1028" s="2" t="s">
        <v>32</v>
      </c>
      <c r="M1028" s="2" t="s">
        <v>33</v>
      </c>
      <c r="N1028" s="2" t="s">
        <v>89</v>
      </c>
      <c r="O1028" s="1">
        <v>42755</v>
      </c>
      <c r="P1028" s="3">
        <v>0.71</v>
      </c>
      <c r="Q1028" s="3">
        <v>1.1399999999999999</v>
      </c>
      <c r="R1028" s="3">
        <f t="shared" si="91"/>
        <v>0.42999999999999994</v>
      </c>
      <c r="S1028" s="2">
        <v>14</v>
      </c>
      <c r="T1028" s="3">
        <f t="shared" si="92"/>
        <v>15.959999999999999</v>
      </c>
      <c r="U1028" s="4">
        <v>0</v>
      </c>
      <c r="V1028" s="6">
        <f t="shared" si="93"/>
        <v>0</v>
      </c>
      <c r="W1028" s="6">
        <f t="shared" si="94"/>
        <v>15.959999999999999</v>
      </c>
      <c r="X1028" s="3">
        <v>0.7</v>
      </c>
      <c r="Y1028" s="5">
        <f t="shared" si="95"/>
        <v>16.66</v>
      </c>
    </row>
    <row r="1029" spans="1:25" x14ac:dyDescent="0.2">
      <c r="A1029" t="s">
        <v>1859</v>
      </c>
      <c r="B1029" s="1">
        <v>42754</v>
      </c>
      <c r="C1029" s="2" t="str">
        <f t="shared" si="90"/>
        <v>2017</v>
      </c>
      <c r="D1029" s="2" t="s">
        <v>81</v>
      </c>
      <c r="E1029" s="2" t="s">
        <v>82</v>
      </c>
      <c r="F1029" s="2" t="s">
        <v>36</v>
      </c>
      <c r="G1029" s="2" t="s">
        <v>37</v>
      </c>
      <c r="H1029" s="2" t="s">
        <v>50</v>
      </c>
      <c r="I1029" s="2" t="s">
        <v>83</v>
      </c>
      <c r="J1029" s="2" t="s">
        <v>52</v>
      </c>
      <c r="K1029" s="2" t="s">
        <v>84</v>
      </c>
      <c r="L1029" s="2" t="s">
        <v>25</v>
      </c>
      <c r="M1029" s="2" t="s">
        <v>85</v>
      </c>
      <c r="N1029" s="2" t="s">
        <v>27</v>
      </c>
      <c r="O1029" s="1">
        <v>42756</v>
      </c>
      <c r="P1029" s="3">
        <v>8.82</v>
      </c>
      <c r="Q1029" s="3">
        <v>20.99</v>
      </c>
      <c r="R1029" s="3">
        <f t="shared" si="91"/>
        <v>12.169999999999998</v>
      </c>
      <c r="S1029" s="2">
        <v>29</v>
      </c>
      <c r="T1029" s="3">
        <f t="shared" si="92"/>
        <v>608.70999999999992</v>
      </c>
      <c r="U1029" s="4">
        <v>0.03</v>
      </c>
      <c r="V1029" s="6">
        <f t="shared" si="93"/>
        <v>18.261299999999999</v>
      </c>
      <c r="W1029" s="6">
        <f t="shared" si="94"/>
        <v>590.44869999999992</v>
      </c>
      <c r="X1029" s="3">
        <v>4.8099999999999996</v>
      </c>
      <c r="Y1029" s="5">
        <f t="shared" si="95"/>
        <v>595.25869999999986</v>
      </c>
    </row>
    <row r="1030" spans="1:25" x14ac:dyDescent="0.2">
      <c r="A1030" t="s">
        <v>1860</v>
      </c>
      <c r="B1030" s="1">
        <v>42754</v>
      </c>
      <c r="C1030" s="2" t="str">
        <f t="shared" ref="C1030:C1044" si="96">TEXT(B1030,"yyyy")</f>
        <v>2017</v>
      </c>
      <c r="D1030" s="2" t="s">
        <v>86</v>
      </c>
      <c r="E1030" s="2" t="s">
        <v>87</v>
      </c>
      <c r="F1030" s="2" t="s">
        <v>36</v>
      </c>
      <c r="G1030" s="2" t="s">
        <v>37</v>
      </c>
      <c r="H1030" s="2" t="s">
        <v>21</v>
      </c>
      <c r="I1030" s="2" t="s">
        <v>43</v>
      </c>
      <c r="J1030" s="2" t="s">
        <v>30</v>
      </c>
      <c r="K1030" s="2" t="s">
        <v>88</v>
      </c>
      <c r="L1030" s="2" t="s">
        <v>32</v>
      </c>
      <c r="M1030" s="2" t="s">
        <v>58</v>
      </c>
      <c r="N1030" s="2" t="s">
        <v>89</v>
      </c>
      <c r="O1030" s="1">
        <v>42756</v>
      </c>
      <c r="P1030" s="3">
        <v>5.19</v>
      </c>
      <c r="Q1030" s="3">
        <v>12.98</v>
      </c>
      <c r="R1030" s="3">
        <f t="shared" ref="R1030:R1044" si="97">Q1030-P1030</f>
        <v>7.79</v>
      </c>
      <c r="S1030" s="2">
        <v>10</v>
      </c>
      <c r="T1030" s="3">
        <f t="shared" ref="T1030:T1044" si="98">Q1030*S1030</f>
        <v>129.80000000000001</v>
      </c>
      <c r="U1030" s="4">
        <v>0.05</v>
      </c>
      <c r="V1030" s="6">
        <f t="shared" ref="V1030:V1044" si="99">T1030*U1030</f>
        <v>6.4900000000000011</v>
      </c>
      <c r="W1030" s="6">
        <f t="shared" ref="W1030:W1044" si="100">T1030-V1030</f>
        <v>123.31000000000002</v>
      </c>
      <c r="X1030" s="3">
        <v>3.14</v>
      </c>
      <c r="Y1030" s="5">
        <f t="shared" ref="Y1030:Y1044" si="101">W1030+X1030</f>
        <v>126.45000000000002</v>
      </c>
    </row>
    <row r="1031" spans="1:25" x14ac:dyDescent="0.2">
      <c r="A1031" t="s">
        <v>1861</v>
      </c>
      <c r="B1031" s="1">
        <v>42754</v>
      </c>
      <c r="C1031" s="2" t="str">
        <f t="shared" si="96"/>
        <v>2017</v>
      </c>
      <c r="D1031" s="2" t="s">
        <v>90</v>
      </c>
      <c r="E1031" s="2" t="s">
        <v>91</v>
      </c>
      <c r="F1031" s="2" t="s">
        <v>19</v>
      </c>
      <c r="G1031" s="2" t="s">
        <v>20</v>
      </c>
      <c r="H1031" s="2" t="s">
        <v>42</v>
      </c>
      <c r="I1031" s="2" t="s">
        <v>92</v>
      </c>
      <c r="J1031" s="2" t="s">
        <v>23</v>
      </c>
      <c r="K1031" s="2" t="s">
        <v>93</v>
      </c>
      <c r="L1031" s="2" t="s">
        <v>32</v>
      </c>
      <c r="M1031" s="2" t="s">
        <v>26</v>
      </c>
      <c r="N1031" s="2" t="s">
        <v>89</v>
      </c>
      <c r="O1031" s="1">
        <v>42761</v>
      </c>
      <c r="P1031" s="3">
        <v>19.829999999999998</v>
      </c>
      <c r="Q1031" s="3">
        <v>30.98</v>
      </c>
      <c r="R1031" s="3">
        <f t="shared" si="97"/>
        <v>11.150000000000002</v>
      </c>
      <c r="S1031" s="2">
        <v>41</v>
      </c>
      <c r="T1031" s="3">
        <f t="shared" si="98"/>
        <v>1270.18</v>
      </c>
      <c r="U1031" s="4">
        <v>0.04</v>
      </c>
      <c r="V1031" s="6">
        <f t="shared" si="99"/>
        <v>50.807200000000002</v>
      </c>
      <c r="W1031" s="6">
        <f t="shared" si="100"/>
        <v>1219.3728000000001</v>
      </c>
      <c r="X1031" s="3">
        <v>19.510000000000002</v>
      </c>
      <c r="Y1031" s="5">
        <f t="shared" si="101"/>
        <v>1238.8828000000001</v>
      </c>
    </row>
    <row r="1032" spans="1:25" x14ac:dyDescent="0.2">
      <c r="A1032" t="s">
        <v>1862</v>
      </c>
      <c r="B1032" s="1">
        <v>42755</v>
      </c>
      <c r="C1032" s="2" t="str">
        <f t="shared" si="96"/>
        <v>2017</v>
      </c>
      <c r="D1032" s="2" t="s">
        <v>77</v>
      </c>
      <c r="E1032" s="2" t="s">
        <v>78</v>
      </c>
      <c r="F1032" s="2" t="s">
        <v>36</v>
      </c>
      <c r="G1032" s="2" t="s">
        <v>37</v>
      </c>
      <c r="H1032" s="2" t="s">
        <v>50</v>
      </c>
      <c r="I1032" s="2" t="s">
        <v>79</v>
      </c>
      <c r="J1032" s="2" t="s">
        <v>52</v>
      </c>
      <c r="K1032" s="2" t="s">
        <v>80</v>
      </c>
      <c r="L1032" s="2" t="s">
        <v>32</v>
      </c>
      <c r="M1032" s="2" t="s">
        <v>26</v>
      </c>
      <c r="N1032" s="2" t="s">
        <v>27</v>
      </c>
      <c r="O1032" s="1">
        <v>42756</v>
      </c>
      <c r="P1032" s="3">
        <v>4.59</v>
      </c>
      <c r="Q1032" s="3">
        <v>7.28</v>
      </c>
      <c r="R1032" s="3">
        <f t="shared" si="97"/>
        <v>2.6900000000000004</v>
      </c>
      <c r="S1032" s="2">
        <v>24</v>
      </c>
      <c r="T1032" s="3">
        <f t="shared" si="98"/>
        <v>174.72</v>
      </c>
      <c r="U1032" s="4">
        <v>0.1</v>
      </c>
      <c r="V1032" s="6">
        <f t="shared" si="99"/>
        <v>17.472000000000001</v>
      </c>
      <c r="W1032" s="6">
        <f t="shared" si="100"/>
        <v>157.24799999999999</v>
      </c>
      <c r="X1032" s="3">
        <v>11.15</v>
      </c>
      <c r="Y1032" s="5">
        <f t="shared" si="101"/>
        <v>168.398</v>
      </c>
    </row>
    <row r="1033" spans="1:25" x14ac:dyDescent="0.2">
      <c r="A1033" t="s">
        <v>1863</v>
      </c>
      <c r="B1033" s="1">
        <v>42758</v>
      </c>
      <c r="C1033" s="2" t="str">
        <f t="shared" si="96"/>
        <v>2017</v>
      </c>
      <c r="D1033" s="2" t="s">
        <v>73</v>
      </c>
      <c r="E1033" s="2" t="s">
        <v>74</v>
      </c>
      <c r="F1033" s="2" t="s">
        <v>36</v>
      </c>
      <c r="G1033" s="2" t="s">
        <v>37</v>
      </c>
      <c r="H1033" s="2" t="s">
        <v>50</v>
      </c>
      <c r="I1033" s="2" t="s">
        <v>75</v>
      </c>
      <c r="J1033" s="2" t="s">
        <v>52</v>
      </c>
      <c r="K1033" s="2" t="s">
        <v>76</v>
      </c>
      <c r="L1033" s="2" t="s">
        <v>32</v>
      </c>
      <c r="M1033" s="2" t="s">
        <v>33</v>
      </c>
      <c r="N1033" s="2" t="s">
        <v>27</v>
      </c>
      <c r="O1033" s="1">
        <v>42760</v>
      </c>
      <c r="P1033" s="3">
        <v>2.16</v>
      </c>
      <c r="Q1033" s="3">
        <v>3.85</v>
      </c>
      <c r="R1033" s="3">
        <f t="shared" si="97"/>
        <v>1.69</v>
      </c>
      <c r="S1033" s="2">
        <v>18</v>
      </c>
      <c r="T1033" s="3">
        <f t="shared" si="98"/>
        <v>69.3</v>
      </c>
      <c r="U1033" s="4">
        <v>0.04</v>
      </c>
      <c r="V1033" s="6">
        <f t="shared" si="99"/>
        <v>2.7719999999999998</v>
      </c>
      <c r="W1033" s="6">
        <f t="shared" si="100"/>
        <v>66.527999999999992</v>
      </c>
      <c r="X1033" s="3">
        <v>0.7</v>
      </c>
      <c r="Y1033" s="5">
        <f t="shared" si="101"/>
        <v>67.227999999999994</v>
      </c>
    </row>
    <row r="1034" spans="1:25" x14ac:dyDescent="0.2">
      <c r="A1034" t="s">
        <v>1864</v>
      </c>
      <c r="B1034" s="1">
        <v>42759</v>
      </c>
      <c r="C1034" s="2" t="str">
        <f t="shared" si="96"/>
        <v>2017</v>
      </c>
      <c r="D1034" s="2" t="s">
        <v>71</v>
      </c>
      <c r="E1034" s="2" t="s">
        <v>41</v>
      </c>
      <c r="F1034" s="2" t="s">
        <v>36</v>
      </c>
      <c r="G1034" s="2" t="s">
        <v>37</v>
      </c>
      <c r="H1034" s="2" t="s">
        <v>50</v>
      </c>
      <c r="I1034" s="2" t="s">
        <v>43</v>
      </c>
      <c r="J1034" s="2" t="s">
        <v>52</v>
      </c>
      <c r="K1034" s="2" t="s">
        <v>72</v>
      </c>
      <c r="L1034" s="2" t="s">
        <v>32</v>
      </c>
      <c r="M1034" s="2" t="s">
        <v>26</v>
      </c>
      <c r="N1034" s="2" t="s">
        <v>27</v>
      </c>
      <c r="O1034" s="1">
        <v>42761</v>
      </c>
      <c r="P1034" s="3">
        <v>3.5</v>
      </c>
      <c r="Q1034" s="3">
        <v>5.74</v>
      </c>
      <c r="R1034" s="3">
        <f t="shared" si="97"/>
        <v>2.2400000000000002</v>
      </c>
      <c r="S1034" s="2">
        <v>46</v>
      </c>
      <c r="T1034" s="3">
        <f t="shared" si="98"/>
        <v>264.04000000000002</v>
      </c>
      <c r="U1034" s="4">
        <v>0.05</v>
      </c>
      <c r="V1034" s="6">
        <f t="shared" si="99"/>
        <v>13.202000000000002</v>
      </c>
      <c r="W1034" s="6">
        <f t="shared" si="100"/>
        <v>250.83800000000002</v>
      </c>
      <c r="X1034" s="3">
        <v>5.01</v>
      </c>
      <c r="Y1034" s="5">
        <f t="shared" si="101"/>
        <v>255.84800000000001</v>
      </c>
    </row>
    <row r="1035" spans="1:25" x14ac:dyDescent="0.2">
      <c r="A1035" t="s">
        <v>1865</v>
      </c>
      <c r="B1035" s="1">
        <v>42761</v>
      </c>
      <c r="C1035" s="2" t="str">
        <f t="shared" si="96"/>
        <v>2017</v>
      </c>
      <c r="D1035" s="2" t="s">
        <v>68</v>
      </c>
      <c r="E1035" s="2" t="s">
        <v>69</v>
      </c>
      <c r="F1035" s="2" t="s">
        <v>19</v>
      </c>
      <c r="G1035" s="2" t="s">
        <v>20</v>
      </c>
      <c r="H1035" s="2" t="s">
        <v>42</v>
      </c>
      <c r="I1035" s="2" t="s">
        <v>22</v>
      </c>
      <c r="J1035" s="2" t="s">
        <v>44</v>
      </c>
      <c r="K1035" s="2" t="s">
        <v>70</v>
      </c>
      <c r="L1035" s="2" t="s">
        <v>25</v>
      </c>
      <c r="M1035" s="2" t="s">
        <v>26</v>
      </c>
      <c r="N1035" s="2" t="s">
        <v>27</v>
      </c>
      <c r="O1035" s="1">
        <v>42762</v>
      </c>
      <c r="P1035" s="3">
        <v>156.5</v>
      </c>
      <c r="Q1035" s="3">
        <v>300.97000000000003</v>
      </c>
      <c r="R1035" s="3">
        <f t="shared" si="97"/>
        <v>144.47000000000003</v>
      </c>
      <c r="S1035" s="2">
        <v>29</v>
      </c>
      <c r="T1035" s="3">
        <f t="shared" si="98"/>
        <v>8728.130000000001</v>
      </c>
      <c r="U1035" s="4">
        <v>0.03</v>
      </c>
      <c r="V1035" s="6">
        <f t="shared" si="99"/>
        <v>261.84390000000002</v>
      </c>
      <c r="W1035" s="6">
        <f t="shared" si="100"/>
        <v>8466.2861000000012</v>
      </c>
      <c r="X1035" s="3">
        <v>7.18</v>
      </c>
      <c r="Y1035" s="5">
        <f t="shared" si="101"/>
        <v>8473.4661000000015</v>
      </c>
    </row>
    <row r="1036" spans="1:25" x14ac:dyDescent="0.2">
      <c r="A1036" t="s">
        <v>1866</v>
      </c>
      <c r="B1036" s="1">
        <v>42762</v>
      </c>
      <c r="C1036" s="2" t="str">
        <f t="shared" si="96"/>
        <v>2017</v>
      </c>
      <c r="D1036" s="2" t="s">
        <v>64</v>
      </c>
      <c r="E1036" s="2" t="s">
        <v>1904</v>
      </c>
      <c r="F1036" s="2" t="s">
        <v>1881</v>
      </c>
      <c r="G1036" s="2" t="s">
        <v>1882</v>
      </c>
      <c r="H1036" s="2" t="s">
        <v>50</v>
      </c>
      <c r="I1036" s="2" t="s">
        <v>43</v>
      </c>
      <c r="J1036" s="2" t="s">
        <v>66</v>
      </c>
      <c r="K1036" s="2" t="s">
        <v>67</v>
      </c>
      <c r="L1036" s="2" t="s">
        <v>32</v>
      </c>
      <c r="M1036" s="2" t="s">
        <v>26</v>
      </c>
      <c r="N1036" s="2" t="s">
        <v>27</v>
      </c>
      <c r="O1036" s="1">
        <v>42763</v>
      </c>
      <c r="P1036" s="3">
        <v>3.99</v>
      </c>
      <c r="Q1036" s="3">
        <v>6.23</v>
      </c>
      <c r="R1036" s="3">
        <f t="shared" si="97"/>
        <v>2.2400000000000002</v>
      </c>
      <c r="S1036" s="2">
        <v>25</v>
      </c>
      <c r="T1036" s="3">
        <f t="shared" si="98"/>
        <v>155.75</v>
      </c>
      <c r="U1036" s="4">
        <v>7.0000000000000007E-2</v>
      </c>
      <c r="V1036" s="6">
        <f t="shared" si="99"/>
        <v>10.902500000000002</v>
      </c>
      <c r="W1036" s="6">
        <f t="shared" si="100"/>
        <v>144.8475</v>
      </c>
      <c r="X1036" s="3">
        <v>6.97</v>
      </c>
      <c r="Y1036" s="5">
        <f t="shared" si="101"/>
        <v>151.8175</v>
      </c>
    </row>
    <row r="1037" spans="1:25" x14ac:dyDescent="0.2">
      <c r="A1037" t="s">
        <v>1867</v>
      </c>
      <c r="B1037" s="1">
        <v>42765</v>
      </c>
      <c r="C1037" s="2" t="str">
        <f t="shared" si="96"/>
        <v>2017</v>
      </c>
      <c r="D1037" s="2" t="s">
        <v>59</v>
      </c>
      <c r="E1037" s="2" t="s">
        <v>60</v>
      </c>
      <c r="F1037" s="2" t="s">
        <v>36</v>
      </c>
      <c r="G1037" s="2" t="s">
        <v>37</v>
      </c>
      <c r="H1037" s="2" t="s">
        <v>21</v>
      </c>
      <c r="I1037" s="2" t="s">
        <v>56</v>
      </c>
      <c r="J1037" s="2" t="s">
        <v>52</v>
      </c>
      <c r="K1037" s="2" t="s">
        <v>61</v>
      </c>
      <c r="L1037" s="2" t="s">
        <v>25</v>
      </c>
      <c r="M1037" s="2" t="s">
        <v>62</v>
      </c>
      <c r="N1037" s="2" t="s">
        <v>63</v>
      </c>
      <c r="O1037" s="1">
        <v>42768</v>
      </c>
      <c r="P1037" s="3">
        <v>75</v>
      </c>
      <c r="Q1037" s="3">
        <v>120.97</v>
      </c>
      <c r="R1037" s="3">
        <f t="shared" si="97"/>
        <v>45.97</v>
      </c>
      <c r="S1037" s="2">
        <v>4</v>
      </c>
      <c r="T1037" s="3">
        <f t="shared" si="98"/>
        <v>483.88</v>
      </c>
      <c r="U1037" s="4">
        <v>7.0000000000000007E-2</v>
      </c>
      <c r="V1037" s="6">
        <f t="shared" si="99"/>
        <v>33.871600000000001</v>
      </c>
      <c r="W1037" s="6">
        <f t="shared" si="100"/>
        <v>450.00839999999999</v>
      </c>
      <c r="X1037" s="3">
        <v>26.3</v>
      </c>
      <c r="Y1037" s="5">
        <f t="shared" si="101"/>
        <v>476.30840000000001</v>
      </c>
    </row>
    <row r="1038" spans="1:25" x14ac:dyDescent="0.2">
      <c r="A1038" t="s">
        <v>1868</v>
      </c>
      <c r="B1038" s="1">
        <v>42767</v>
      </c>
      <c r="C1038" s="2" t="str">
        <f t="shared" si="96"/>
        <v>2017</v>
      </c>
      <c r="D1038" s="2" t="s">
        <v>54</v>
      </c>
      <c r="E1038" s="2" t="s">
        <v>55</v>
      </c>
      <c r="F1038" s="2" t="s">
        <v>36</v>
      </c>
      <c r="G1038" s="2" t="s">
        <v>37</v>
      </c>
      <c r="H1038" s="2" t="s">
        <v>50</v>
      </c>
      <c r="I1038" s="2" t="s">
        <v>56</v>
      </c>
      <c r="J1038" s="2" t="s">
        <v>23</v>
      </c>
      <c r="K1038" s="2" t="s">
        <v>57</v>
      </c>
      <c r="L1038" s="2" t="s">
        <v>32</v>
      </c>
      <c r="M1038" s="2" t="s">
        <v>58</v>
      </c>
      <c r="N1038" s="2" t="s">
        <v>27</v>
      </c>
      <c r="O1038" s="1">
        <v>42771</v>
      </c>
      <c r="P1038" s="3">
        <v>1.46</v>
      </c>
      <c r="Q1038" s="3">
        <v>3.57</v>
      </c>
      <c r="R1038" s="3">
        <f t="shared" si="97"/>
        <v>2.11</v>
      </c>
      <c r="S1038" s="2">
        <v>25</v>
      </c>
      <c r="T1038" s="3">
        <f t="shared" si="98"/>
        <v>89.25</v>
      </c>
      <c r="U1038" s="4">
        <v>0.01</v>
      </c>
      <c r="V1038" s="6">
        <f t="shared" si="99"/>
        <v>0.89250000000000007</v>
      </c>
      <c r="W1038" s="6">
        <f t="shared" si="100"/>
        <v>88.357500000000002</v>
      </c>
      <c r="X1038" s="3">
        <v>4.17</v>
      </c>
      <c r="Y1038" s="5">
        <f t="shared" si="101"/>
        <v>92.527500000000003</v>
      </c>
    </row>
    <row r="1039" spans="1:25" x14ac:dyDescent="0.2">
      <c r="A1039" t="s">
        <v>1869</v>
      </c>
      <c r="B1039" s="1">
        <v>42768</v>
      </c>
      <c r="C1039" s="2" t="str">
        <f t="shared" si="96"/>
        <v>2017</v>
      </c>
      <c r="D1039" s="2" t="s">
        <v>48</v>
      </c>
      <c r="E1039" s="2" t="s">
        <v>1892</v>
      </c>
      <c r="F1039" s="2" t="s">
        <v>1881</v>
      </c>
      <c r="G1039" s="2" t="s">
        <v>1882</v>
      </c>
      <c r="H1039" s="2" t="s">
        <v>50</v>
      </c>
      <c r="I1039" s="2" t="s">
        <v>51</v>
      </c>
      <c r="J1039" s="2"/>
      <c r="K1039" s="2" t="s">
        <v>53</v>
      </c>
      <c r="L1039" s="2" t="s">
        <v>32</v>
      </c>
      <c r="M1039" s="2" t="s">
        <v>33</v>
      </c>
      <c r="N1039" s="2" t="s">
        <v>27</v>
      </c>
      <c r="O1039" s="1">
        <v>42770</v>
      </c>
      <c r="P1039" s="3">
        <v>3.75</v>
      </c>
      <c r="Q1039" s="3">
        <v>7.08</v>
      </c>
      <c r="R1039" s="3">
        <f t="shared" si="97"/>
        <v>3.33</v>
      </c>
      <c r="S1039" s="2">
        <v>46</v>
      </c>
      <c r="T1039" s="3">
        <f t="shared" si="98"/>
        <v>325.68</v>
      </c>
      <c r="U1039" s="4">
        <v>0.1</v>
      </c>
      <c r="V1039" s="6">
        <f t="shared" si="99"/>
        <v>32.568000000000005</v>
      </c>
      <c r="W1039" s="6">
        <f t="shared" si="100"/>
        <v>293.11200000000002</v>
      </c>
      <c r="X1039" s="3">
        <v>2.35</v>
      </c>
      <c r="Y1039" s="5">
        <f t="shared" si="101"/>
        <v>295.46200000000005</v>
      </c>
    </row>
    <row r="1040" spans="1:25" x14ac:dyDescent="0.2">
      <c r="A1040" t="s">
        <v>1870</v>
      </c>
      <c r="B1040" s="1">
        <v>42769</v>
      </c>
      <c r="C1040" s="2" t="str">
        <f t="shared" si="96"/>
        <v>2017</v>
      </c>
      <c r="D1040" s="2" t="s">
        <v>45</v>
      </c>
      <c r="E1040" s="2" t="s">
        <v>1910</v>
      </c>
      <c r="F1040" s="2" t="s">
        <v>19</v>
      </c>
      <c r="G1040" s="2" t="s">
        <v>20</v>
      </c>
      <c r="H1040" s="2" t="s">
        <v>21</v>
      </c>
      <c r="I1040" s="2" t="s">
        <v>22</v>
      </c>
      <c r="J1040" s="2" t="s">
        <v>44</v>
      </c>
      <c r="K1040" s="2" t="s">
        <v>47</v>
      </c>
      <c r="L1040" s="2" t="s">
        <v>32</v>
      </c>
      <c r="M1040" s="2" t="s">
        <v>26</v>
      </c>
      <c r="N1040" s="2" t="s">
        <v>27</v>
      </c>
      <c r="O1040" s="1">
        <v>42771</v>
      </c>
      <c r="P1040" s="3">
        <v>1.59</v>
      </c>
      <c r="Q1040" s="3">
        <v>2.61</v>
      </c>
      <c r="R1040" s="3">
        <f t="shared" si="97"/>
        <v>1.0199999999999998</v>
      </c>
      <c r="S1040" s="2">
        <v>38</v>
      </c>
      <c r="T1040" s="3">
        <f t="shared" si="98"/>
        <v>99.179999999999993</v>
      </c>
      <c r="U1040" s="4">
        <v>0.04</v>
      </c>
      <c r="V1040" s="6">
        <f t="shared" si="99"/>
        <v>3.9671999999999996</v>
      </c>
      <c r="W1040" s="6">
        <f t="shared" si="100"/>
        <v>95.212799999999987</v>
      </c>
      <c r="X1040" s="3">
        <v>0.5</v>
      </c>
      <c r="Y1040" s="5">
        <f t="shared" si="101"/>
        <v>95.712799999999987</v>
      </c>
    </row>
    <row r="1041" spans="1:25" x14ac:dyDescent="0.2">
      <c r="A1041" t="s">
        <v>1871</v>
      </c>
      <c r="B1041" s="1">
        <v>42770</v>
      </c>
      <c r="C1041" s="2" t="str">
        <f t="shared" si="96"/>
        <v>2017</v>
      </c>
      <c r="D1041" s="2" t="s">
        <v>40</v>
      </c>
      <c r="E1041" s="2" t="s">
        <v>41</v>
      </c>
      <c r="F1041" s="2" t="s">
        <v>36</v>
      </c>
      <c r="G1041" s="2" t="s">
        <v>37</v>
      </c>
      <c r="H1041" s="2" t="s">
        <v>42</v>
      </c>
      <c r="I1041" s="2" t="s">
        <v>43</v>
      </c>
      <c r="J1041" s="2" t="s">
        <v>44</v>
      </c>
      <c r="K1041" s="2" t="s">
        <v>39</v>
      </c>
      <c r="L1041" s="2" t="s">
        <v>32</v>
      </c>
      <c r="M1041" s="2" t="s">
        <v>26</v>
      </c>
      <c r="N1041" s="2" t="s">
        <v>27</v>
      </c>
      <c r="O1041" s="1">
        <v>42771</v>
      </c>
      <c r="P1041" s="3">
        <v>13.64</v>
      </c>
      <c r="Q1041" s="3">
        <v>20.98</v>
      </c>
      <c r="R1041" s="3">
        <f t="shared" si="97"/>
        <v>7.34</v>
      </c>
      <c r="S1041" s="2">
        <v>41</v>
      </c>
      <c r="T1041" s="3">
        <f t="shared" si="98"/>
        <v>860.18000000000006</v>
      </c>
      <c r="U1041" s="4">
        <v>0.05</v>
      </c>
      <c r="V1041" s="6">
        <f t="shared" si="99"/>
        <v>43.009000000000007</v>
      </c>
      <c r="W1041" s="6">
        <f t="shared" si="100"/>
        <v>817.17100000000005</v>
      </c>
      <c r="X1041" s="3">
        <v>1.49</v>
      </c>
      <c r="Y1041" s="5">
        <f t="shared" si="101"/>
        <v>818.66100000000006</v>
      </c>
    </row>
    <row r="1042" spans="1:25" x14ac:dyDescent="0.2">
      <c r="A1042" t="s">
        <v>1872</v>
      </c>
      <c r="B1042" s="1">
        <v>42771</v>
      </c>
      <c r="C1042" s="2" t="str">
        <f t="shared" si="96"/>
        <v>2017</v>
      </c>
      <c r="D1042" s="2" t="s">
        <v>34</v>
      </c>
      <c r="E1042" s="2" t="s">
        <v>1920</v>
      </c>
      <c r="F1042" s="2" t="s">
        <v>36</v>
      </c>
      <c r="G1042" s="2" t="s">
        <v>37</v>
      </c>
      <c r="H1042" s="2" t="s">
        <v>21</v>
      </c>
      <c r="I1042" s="2" t="s">
        <v>38</v>
      </c>
      <c r="J1042" s="2" t="s">
        <v>30</v>
      </c>
      <c r="K1042" s="2" t="s">
        <v>39</v>
      </c>
      <c r="L1042" s="2" t="s">
        <v>32</v>
      </c>
      <c r="M1042" s="2" t="s">
        <v>26</v>
      </c>
      <c r="N1042" s="2" t="s">
        <v>27</v>
      </c>
      <c r="O1042" s="1">
        <v>42773</v>
      </c>
      <c r="P1042" s="3">
        <v>13.64</v>
      </c>
      <c r="Q1042" s="3">
        <v>20.98</v>
      </c>
      <c r="R1042" s="3">
        <f t="shared" si="97"/>
        <v>7.34</v>
      </c>
      <c r="S1042" s="2">
        <v>2</v>
      </c>
      <c r="T1042" s="3">
        <f t="shared" si="98"/>
        <v>41.96</v>
      </c>
      <c r="U1042" s="4">
        <v>0.01</v>
      </c>
      <c r="V1042" s="6">
        <f t="shared" si="99"/>
        <v>0.41960000000000003</v>
      </c>
      <c r="W1042" s="6">
        <f t="shared" si="100"/>
        <v>41.540399999999998</v>
      </c>
      <c r="X1042" s="3">
        <v>1.49</v>
      </c>
      <c r="Y1042" s="5">
        <f t="shared" si="101"/>
        <v>43.0304</v>
      </c>
    </row>
    <row r="1043" spans="1:25" x14ac:dyDescent="0.2">
      <c r="A1043" t="s">
        <v>1873</v>
      </c>
      <c r="B1043" s="1">
        <v>42773</v>
      </c>
      <c r="C1043" s="2" t="str">
        <f t="shared" si="96"/>
        <v>2017</v>
      </c>
      <c r="D1043" s="2" t="s">
        <v>17</v>
      </c>
      <c r="E1043" s="2" t="s">
        <v>18</v>
      </c>
      <c r="F1043" s="2" t="s">
        <v>19</v>
      </c>
      <c r="G1043" s="2" t="s">
        <v>20</v>
      </c>
      <c r="H1043" s="2" t="s">
        <v>21</v>
      </c>
      <c r="I1043" s="2" t="s">
        <v>22</v>
      </c>
      <c r="J1043" s="2" t="s">
        <v>23</v>
      </c>
      <c r="K1043" s="2" t="s">
        <v>24</v>
      </c>
      <c r="L1043" s="2" t="s">
        <v>25</v>
      </c>
      <c r="M1043" s="2" t="s">
        <v>26</v>
      </c>
      <c r="N1043" s="2" t="s">
        <v>27</v>
      </c>
      <c r="O1043" s="1"/>
      <c r="P1043" s="3">
        <v>6.39</v>
      </c>
      <c r="Q1043" s="3">
        <v>19.98</v>
      </c>
      <c r="R1043" s="3">
        <f t="shared" si="97"/>
        <v>13.59</v>
      </c>
      <c r="S1043" s="2">
        <v>31</v>
      </c>
      <c r="T1043" s="3">
        <f t="shared" si="98"/>
        <v>619.38</v>
      </c>
      <c r="U1043" s="4">
        <v>0</v>
      </c>
      <c r="V1043" s="6">
        <f t="shared" si="99"/>
        <v>0</v>
      </c>
      <c r="W1043" s="6">
        <f t="shared" si="100"/>
        <v>619.38</v>
      </c>
      <c r="X1043" s="3">
        <v>4</v>
      </c>
      <c r="Y1043" s="5">
        <f t="shared" si="101"/>
        <v>623.38</v>
      </c>
    </row>
    <row r="1044" spans="1:25" x14ac:dyDescent="0.2">
      <c r="A1044" t="s">
        <v>1874</v>
      </c>
      <c r="B1044" s="1">
        <v>42773</v>
      </c>
      <c r="C1044" s="2" t="str">
        <f t="shared" si="96"/>
        <v>2017</v>
      </c>
      <c r="D1044" s="2" t="s">
        <v>28</v>
      </c>
      <c r="E1044" s="2" t="s">
        <v>18</v>
      </c>
      <c r="F1044" s="2" t="s">
        <v>19</v>
      </c>
      <c r="G1044" s="2" t="s">
        <v>20</v>
      </c>
      <c r="H1044" s="2" t="s">
        <v>29</v>
      </c>
      <c r="I1044" s="2" t="s">
        <v>22</v>
      </c>
      <c r="J1044" s="2" t="s">
        <v>30</v>
      </c>
      <c r="K1044" s="2" t="s">
        <v>31</v>
      </c>
      <c r="L1044" s="2" t="s">
        <v>32</v>
      </c>
      <c r="M1044" s="2" t="s">
        <v>33</v>
      </c>
      <c r="N1044" s="2" t="s">
        <v>27</v>
      </c>
      <c r="O1044" s="1"/>
      <c r="P1044" s="3">
        <v>0.93</v>
      </c>
      <c r="Q1044" s="3">
        <v>1.48</v>
      </c>
      <c r="R1044" s="3">
        <f t="shared" si="97"/>
        <v>0.54999999999999993</v>
      </c>
      <c r="S1044" s="2">
        <v>10</v>
      </c>
      <c r="T1044" s="3">
        <f t="shared" si="98"/>
        <v>14.8</v>
      </c>
      <c r="U1044" s="4">
        <v>0.1</v>
      </c>
      <c r="V1044" s="6">
        <f t="shared" si="99"/>
        <v>1.4800000000000002</v>
      </c>
      <c r="W1044" s="6">
        <f t="shared" si="100"/>
        <v>13.32</v>
      </c>
      <c r="X1044" s="3">
        <v>0.7</v>
      </c>
      <c r="Y1044" s="5">
        <f t="shared" si="101"/>
        <v>14.02</v>
      </c>
    </row>
  </sheetData>
  <sortState xmlns:xlrd2="http://schemas.microsoft.com/office/spreadsheetml/2017/richdata2" ref="A6:Y1044">
    <sortCondition ref="B6:B1044"/>
    <sortCondition ref="A6:A1044"/>
  </sortState>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G7"/>
  <sheetViews>
    <sheetView workbookViewId="0">
      <selection activeCell="A3" activeCellId="1" sqref="A1:B1 A3:G7"/>
      <pivotSelection pane="bottomRight" showHeader="1" activeRow="2" previousRow="2" click="1" r:id="rId1">
        <pivotArea type="all" dataOnly="0" outline="0" fieldPosition="0"/>
      </pivotSelection>
    </sheetView>
  </sheetViews>
  <sheetFormatPr baseColWidth="10" defaultColWidth="8.83203125" defaultRowHeight="15" x14ac:dyDescent="0.2"/>
  <cols>
    <col min="1" max="1" width="14.33203125" bestFit="1" customWidth="1"/>
    <col min="2" max="2" width="14.6640625" bestFit="1" customWidth="1"/>
    <col min="3" max="3" width="9.33203125" bestFit="1" customWidth="1"/>
    <col min="4" max="4" width="7.6640625" bestFit="1" customWidth="1"/>
    <col min="5" max="5" width="6.6640625" bestFit="1" customWidth="1"/>
    <col min="6" max="6" width="9.33203125" bestFit="1" customWidth="1"/>
    <col min="7" max="7" width="10" bestFit="1" customWidth="1"/>
    <col min="8" max="8" width="8.83203125" bestFit="1" customWidth="1"/>
    <col min="9" max="9" width="9.83203125" bestFit="1" customWidth="1"/>
    <col min="10" max="10" width="7.5" bestFit="1" customWidth="1"/>
    <col min="11" max="11" width="9.83203125" bestFit="1" customWidth="1"/>
    <col min="12" max="12" width="10.5" bestFit="1" customWidth="1"/>
  </cols>
  <sheetData>
    <row r="1" spans="1:7" x14ac:dyDescent="0.2">
      <c r="A1" s="13" t="s">
        <v>6</v>
      </c>
      <c r="B1" t="s">
        <v>38</v>
      </c>
    </row>
    <row r="3" spans="1:7" x14ac:dyDescent="0.2">
      <c r="A3" s="13" t="s">
        <v>1957</v>
      </c>
      <c r="B3" s="13" t="s">
        <v>1961</v>
      </c>
    </row>
    <row r="4" spans="1:7" x14ac:dyDescent="0.2">
      <c r="B4" t="s">
        <v>1958</v>
      </c>
      <c r="C4" t="s">
        <v>1962</v>
      </c>
      <c r="D4" t="s">
        <v>1959</v>
      </c>
      <c r="E4" t="s">
        <v>1959</v>
      </c>
      <c r="F4" t="s">
        <v>1963</v>
      </c>
      <c r="G4" t="s">
        <v>1956</v>
      </c>
    </row>
    <row r="5" spans="1:7" x14ac:dyDescent="0.2">
      <c r="A5" s="13" t="s">
        <v>1955</v>
      </c>
      <c r="B5" s="14" t="s">
        <v>1964</v>
      </c>
      <c r="D5" s="14" t="s">
        <v>1964</v>
      </c>
      <c r="E5" s="14" t="s">
        <v>1965</v>
      </c>
    </row>
    <row r="6" spans="1:7" x14ac:dyDescent="0.2">
      <c r="A6" s="11" t="s">
        <v>37</v>
      </c>
      <c r="B6" s="5">
        <v>455.70100000000002</v>
      </c>
      <c r="C6" s="5">
        <v>455.70100000000002</v>
      </c>
      <c r="D6" s="5">
        <v>357.75519999999995</v>
      </c>
      <c r="E6" s="5">
        <v>88.304400000000001</v>
      </c>
      <c r="F6" s="5">
        <v>446.05959999999993</v>
      </c>
      <c r="G6" s="5">
        <v>901.76059999999995</v>
      </c>
    </row>
    <row r="7" spans="1:7" x14ac:dyDescent="0.2">
      <c r="A7" s="11" t="s">
        <v>1956</v>
      </c>
      <c r="B7" s="5">
        <v>455.70100000000002</v>
      </c>
      <c r="C7" s="5">
        <v>455.70100000000002</v>
      </c>
      <c r="D7" s="5">
        <v>357.75519999999995</v>
      </c>
      <c r="E7" s="5">
        <v>88.304400000000001</v>
      </c>
      <c r="F7" s="5">
        <v>446.05959999999993</v>
      </c>
      <c r="G7" s="5">
        <v>901.76059999999995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L7"/>
  <sheetViews>
    <sheetView workbookViewId="0">
      <selection activeCell="D35" sqref="D35"/>
    </sheetView>
  </sheetViews>
  <sheetFormatPr baseColWidth="10" defaultColWidth="8.83203125" defaultRowHeight="15" x14ac:dyDescent="0.2"/>
  <cols>
    <col min="1" max="1" width="14.33203125" bestFit="1" customWidth="1"/>
    <col min="2" max="2" width="16" bestFit="1" customWidth="1"/>
    <col min="3" max="3" width="6.6640625" bestFit="1" customWidth="1"/>
    <col min="4" max="5" width="9" bestFit="1" customWidth="1"/>
    <col min="6" max="6" width="10" bestFit="1" customWidth="1"/>
    <col min="7" max="8" width="9" bestFit="1" customWidth="1"/>
    <col min="9" max="9" width="7.6640625" bestFit="1" customWidth="1"/>
    <col min="10" max="12" width="10" bestFit="1" customWidth="1"/>
  </cols>
  <sheetData>
    <row r="1" spans="1:12" x14ac:dyDescent="0.2">
      <c r="A1" s="13" t="s">
        <v>6</v>
      </c>
      <c r="B1" t="s">
        <v>79</v>
      </c>
    </row>
    <row r="3" spans="1:12" x14ac:dyDescent="0.2">
      <c r="A3" s="13" t="s">
        <v>1957</v>
      </c>
      <c r="B3" s="13" t="s">
        <v>1961</v>
      </c>
    </row>
    <row r="4" spans="1:12" x14ac:dyDescent="0.2">
      <c r="B4" t="s">
        <v>1958</v>
      </c>
      <c r="C4" t="s">
        <v>1958</v>
      </c>
      <c r="D4" t="s">
        <v>1958</v>
      </c>
      <c r="E4" t="s">
        <v>1958</v>
      </c>
      <c r="F4" t="s">
        <v>1962</v>
      </c>
      <c r="G4" t="s">
        <v>1959</v>
      </c>
      <c r="H4" t="s">
        <v>1959</v>
      </c>
      <c r="I4" t="s">
        <v>1959</v>
      </c>
      <c r="J4" t="s">
        <v>1959</v>
      </c>
      <c r="K4" t="s">
        <v>1963</v>
      </c>
      <c r="L4" t="s">
        <v>1956</v>
      </c>
    </row>
    <row r="5" spans="1:12" x14ac:dyDescent="0.2">
      <c r="A5" s="13" t="s">
        <v>1955</v>
      </c>
      <c r="B5" s="14" t="s">
        <v>1964</v>
      </c>
      <c r="C5" s="14" t="s">
        <v>1965</v>
      </c>
      <c r="D5" s="14" t="s">
        <v>1966</v>
      </c>
      <c r="E5" s="14" t="s">
        <v>1967</v>
      </c>
      <c r="G5" s="14" t="s">
        <v>1964</v>
      </c>
      <c r="H5" s="14" t="s">
        <v>1965</v>
      </c>
      <c r="I5" s="14" t="s">
        <v>1966</v>
      </c>
      <c r="J5" s="14" t="s">
        <v>1967</v>
      </c>
    </row>
    <row r="6" spans="1:12" x14ac:dyDescent="0.2">
      <c r="A6" s="11" t="s">
        <v>37</v>
      </c>
      <c r="B6" s="5">
        <v>12411.059300000001</v>
      </c>
      <c r="C6" s="5">
        <v>42.154000000000003</v>
      </c>
      <c r="D6" s="5">
        <v>9930.648799999999</v>
      </c>
      <c r="E6" s="5">
        <v>9524.0187999999998</v>
      </c>
      <c r="F6" s="5">
        <v>31907.880899999996</v>
      </c>
      <c r="G6" s="5">
        <v>7376.6054000000004</v>
      </c>
      <c r="H6" s="5">
        <v>1121.0601999999999</v>
      </c>
      <c r="I6" s="5">
        <v>314.98840000000001</v>
      </c>
      <c r="J6" s="5">
        <v>18005.634000000002</v>
      </c>
      <c r="K6" s="5">
        <v>26818.288</v>
      </c>
      <c r="L6" s="5">
        <v>58726.168900000004</v>
      </c>
    </row>
    <row r="7" spans="1:12" x14ac:dyDescent="0.2">
      <c r="A7" s="11" t="s">
        <v>1956</v>
      </c>
      <c r="B7" s="5">
        <v>12411.059300000001</v>
      </c>
      <c r="C7" s="5">
        <v>42.154000000000003</v>
      </c>
      <c r="D7" s="5">
        <v>9930.648799999999</v>
      </c>
      <c r="E7" s="5">
        <v>9524.0187999999998</v>
      </c>
      <c r="F7" s="5">
        <v>31907.880899999996</v>
      </c>
      <c r="G7" s="5">
        <v>7376.6054000000004</v>
      </c>
      <c r="H7" s="5">
        <v>1121.0601999999999</v>
      </c>
      <c r="I7" s="5">
        <v>314.98840000000001</v>
      </c>
      <c r="J7" s="5">
        <v>18005.634000000002</v>
      </c>
      <c r="K7" s="5">
        <v>26818.288</v>
      </c>
      <c r="L7" s="5">
        <v>58726.168900000004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8"/>
  <sheetViews>
    <sheetView workbookViewId="0">
      <selection activeCell="G35" sqref="G35"/>
    </sheetView>
  </sheetViews>
  <sheetFormatPr baseColWidth="10" defaultColWidth="8.83203125" defaultRowHeight="15" x14ac:dyDescent="0.2"/>
  <cols>
    <col min="1" max="1" width="14.33203125" bestFit="1" customWidth="1"/>
    <col min="2" max="2" width="14.6640625" bestFit="1" customWidth="1"/>
    <col min="3" max="6" width="10" bestFit="1" customWidth="1"/>
    <col min="7" max="10" width="7.6640625" bestFit="1" customWidth="1"/>
    <col min="11" max="11" width="9.33203125" bestFit="1" customWidth="1"/>
    <col min="12" max="12" width="10" bestFit="1" customWidth="1"/>
  </cols>
  <sheetData>
    <row r="1" spans="1:12" x14ac:dyDescent="0.2">
      <c r="A1" s="13" t="s">
        <v>6</v>
      </c>
      <c r="B1" t="s">
        <v>75</v>
      </c>
    </row>
    <row r="3" spans="1:12" x14ac:dyDescent="0.2">
      <c r="A3" s="13" t="s">
        <v>1957</v>
      </c>
      <c r="B3" s="13" t="s">
        <v>1961</v>
      </c>
    </row>
    <row r="4" spans="1:12" x14ac:dyDescent="0.2">
      <c r="B4" t="s">
        <v>1958</v>
      </c>
      <c r="C4" t="s">
        <v>1958</v>
      </c>
      <c r="D4" t="s">
        <v>1958</v>
      </c>
      <c r="E4" t="s">
        <v>1958</v>
      </c>
      <c r="F4" t="s">
        <v>1962</v>
      </c>
      <c r="G4" t="s">
        <v>1959</v>
      </c>
      <c r="H4" t="s">
        <v>1959</v>
      </c>
      <c r="I4" t="s">
        <v>1959</v>
      </c>
      <c r="J4" t="s">
        <v>1959</v>
      </c>
      <c r="K4" t="s">
        <v>1963</v>
      </c>
      <c r="L4" t="s">
        <v>1956</v>
      </c>
    </row>
    <row r="5" spans="1:12" x14ac:dyDescent="0.2">
      <c r="A5" s="13" t="s">
        <v>1955</v>
      </c>
      <c r="B5" s="14" t="s">
        <v>1964</v>
      </c>
      <c r="C5" s="14" t="s">
        <v>1965</v>
      </c>
      <c r="D5" s="14" t="s">
        <v>1966</v>
      </c>
      <c r="E5" s="14" t="s">
        <v>1967</v>
      </c>
      <c r="G5" s="14" t="s">
        <v>1964</v>
      </c>
      <c r="H5" s="14" t="s">
        <v>1965</v>
      </c>
      <c r="I5" s="14" t="s">
        <v>1966</v>
      </c>
      <c r="J5" s="14" t="s">
        <v>1967</v>
      </c>
    </row>
    <row r="6" spans="1:12" x14ac:dyDescent="0.2">
      <c r="A6" s="11" t="s">
        <v>1882</v>
      </c>
      <c r="B6" s="5"/>
      <c r="C6" s="5">
        <v>2477.0902999999998</v>
      </c>
      <c r="D6" s="5">
        <v>81.868000000000009</v>
      </c>
      <c r="E6" s="5">
        <v>1815.7670000000001</v>
      </c>
      <c r="F6" s="5">
        <v>4374.7253000000001</v>
      </c>
      <c r="G6" s="5">
        <v>149.83199999999999</v>
      </c>
      <c r="H6" s="5">
        <v>532.22540000000004</v>
      </c>
      <c r="I6" s="5"/>
      <c r="J6" s="5">
        <v>116.68999999999998</v>
      </c>
      <c r="K6" s="5">
        <v>798.74739999999997</v>
      </c>
      <c r="L6" s="5">
        <v>5173.4727000000003</v>
      </c>
    </row>
    <row r="7" spans="1:12" x14ac:dyDescent="0.2">
      <c r="A7" s="11" t="s">
        <v>37</v>
      </c>
      <c r="B7" s="5">
        <v>615.36779999999999</v>
      </c>
      <c r="C7" s="5">
        <v>23016.227899999998</v>
      </c>
      <c r="D7" s="5">
        <v>27471.289800000002</v>
      </c>
      <c r="E7" s="5">
        <v>12741.547999999999</v>
      </c>
      <c r="F7" s="5">
        <v>63844.433499999999</v>
      </c>
      <c r="G7" s="5">
        <v>244.24</v>
      </c>
      <c r="H7" s="5">
        <v>397.07339999999994</v>
      </c>
      <c r="I7" s="5">
        <v>814.5652</v>
      </c>
      <c r="J7" s="5">
        <v>552.65769999999998</v>
      </c>
      <c r="K7" s="5">
        <v>2008.5363</v>
      </c>
      <c r="L7" s="5">
        <v>65852.969799999992</v>
      </c>
    </row>
    <row r="8" spans="1:12" x14ac:dyDescent="0.2">
      <c r="A8" s="11" t="s">
        <v>1956</v>
      </c>
      <c r="B8" s="5">
        <v>615.36779999999999</v>
      </c>
      <c r="C8" s="5">
        <v>25493.318199999998</v>
      </c>
      <c r="D8" s="5">
        <v>27553.157800000001</v>
      </c>
      <c r="E8" s="5">
        <v>14557.314999999999</v>
      </c>
      <c r="F8" s="5">
        <v>68219.158800000005</v>
      </c>
      <c r="G8" s="5">
        <v>394.072</v>
      </c>
      <c r="H8" s="5">
        <v>929.29880000000003</v>
      </c>
      <c r="I8" s="5">
        <v>814.5652</v>
      </c>
      <c r="J8" s="5">
        <v>669.34769999999992</v>
      </c>
      <c r="K8" s="5">
        <v>2807.2837</v>
      </c>
      <c r="L8" s="5">
        <v>71026.44249999999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Z35"/>
  <sheetViews>
    <sheetView tabSelected="1" zoomScale="116" workbookViewId="0">
      <selection activeCell="O15" sqref="O15"/>
    </sheetView>
  </sheetViews>
  <sheetFormatPr baseColWidth="10" defaultColWidth="8.83203125" defaultRowHeight="15" x14ac:dyDescent="0.2"/>
  <cols>
    <col min="1" max="1" width="12" bestFit="1" customWidth="1"/>
    <col min="2" max="2" width="14.6640625" bestFit="1" customWidth="1"/>
    <col min="3" max="5" width="11" bestFit="1" customWidth="1"/>
    <col min="6" max="6" width="10.83203125" customWidth="1"/>
    <col min="7" max="10" width="9.83203125" customWidth="1"/>
    <col min="11" max="12" width="10.83203125" customWidth="1"/>
    <col min="13" max="13" width="5.83203125" customWidth="1"/>
    <col min="14" max="14" width="9.83203125" customWidth="1"/>
    <col min="15" max="15" width="12" bestFit="1" customWidth="1"/>
    <col min="16" max="16" width="11.83203125" bestFit="1" customWidth="1"/>
    <col min="17" max="20" width="9.83203125" customWidth="1"/>
    <col min="21" max="21" width="10.83203125" customWidth="1"/>
    <col min="22" max="23" width="9.83203125" customWidth="1"/>
    <col min="24" max="24" width="12.5" customWidth="1"/>
    <col min="25" max="26" width="10.5" customWidth="1"/>
    <col min="27" max="33" width="9.5" customWidth="1"/>
    <col min="34" max="46" width="10.5" customWidth="1"/>
    <col min="47" max="48" width="9.5" customWidth="1"/>
    <col min="49" max="49" width="9.83203125" bestFit="1" customWidth="1"/>
    <col min="50" max="52" width="9.5" customWidth="1"/>
    <col min="53" max="63" width="10.5" customWidth="1"/>
    <col min="64" max="68" width="9.5" customWidth="1"/>
    <col min="69" max="73" width="10.5" customWidth="1"/>
    <col min="74" max="84" width="10.5" bestFit="1" customWidth="1"/>
    <col min="85" max="88" width="9.5" bestFit="1" customWidth="1"/>
    <col min="89" max="89" width="9.83203125" bestFit="1" customWidth="1"/>
    <col min="90" max="102" width="10.5" bestFit="1" customWidth="1"/>
    <col min="103" max="107" width="9.5" bestFit="1" customWidth="1"/>
    <col min="108" max="118" width="10.5" bestFit="1" customWidth="1"/>
    <col min="119" max="124" width="9.5" bestFit="1" customWidth="1"/>
    <col min="125" max="133" width="10.5" bestFit="1" customWidth="1"/>
    <col min="134" max="139" width="9.5" bestFit="1" customWidth="1"/>
    <col min="140" max="149" width="10.5" bestFit="1" customWidth="1"/>
    <col min="150" max="152" width="9.5" bestFit="1" customWidth="1"/>
    <col min="153" max="162" width="10.5" bestFit="1" customWidth="1"/>
    <col min="163" max="165" width="9.5" bestFit="1" customWidth="1"/>
    <col min="166" max="177" width="10.5" bestFit="1" customWidth="1"/>
    <col min="178" max="179" width="9.5" bestFit="1" customWidth="1"/>
    <col min="180" max="181" width="9.83203125" bestFit="1" customWidth="1"/>
    <col min="182" max="182" width="9.5" bestFit="1" customWidth="1"/>
    <col min="183" max="192" width="10.5" bestFit="1" customWidth="1"/>
    <col min="193" max="194" width="9.5" bestFit="1" customWidth="1"/>
    <col min="195" max="205" width="10.5" bestFit="1" customWidth="1"/>
    <col min="206" max="210" width="9.5" bestFit="1" customWidth="1"/>
    <col min="211" max="211" width="9.83203125" bestFit="1" customWidth="1"/>
    <col min="212" max="214" width="10.5" bestFit="1" customWidth="1"/>
    <col min="215" max="219" width="9.5" bestFit="1" customWidth="1"/>
    <col min="220" max="226" width="10.5" bestFit="1" customWidth="1"/>
    <col min="227" max="228" width="9.5" bestFit="1" customWidth="1"/>
    <col min="229" max="229" width="9.83203125" bestFit="1" customWidth="1"/>
    <col min="230" max="233" width="9.5" bestFit="1" customWidth="1"/>
    <col min="234" max="244" width="10.5" bestFit="1" customWidth="1"/>
    <col min="245" max="246" width="9.5" bestFit="1" customWidth="1"/>
    <col min="247" max="257" width="10.5" bestFit="1" customWidth="1"/>
    <col min="258" max="261" width="9.5" bestFit="1" customWidth="1"/>
    <col min="262" max="268" width="10.5" bestFit="1" customWidth="1"/>
    <col min="269" max="272" width="9.5" bestFit="1" customWidth="1"/>
    <col min="273" max="282" width="10.5" bestFit="1" customWidth="1"/>
    <col min="283" max="289" width="9.5" bestFit="1" customWidth="1"/>
    <col min="290" max="304" width="10.5" bestFit="1" customWidth="1"/>
    <col min="305" max="307" width="9.5" bestFit="1" customWidth="1"/>
    <col min="308" max="308" width="9.83203125" bestFit="1" customWidth="1"/>
    <col min="309" max="319" width="10.5" bestFit="1" customWidth="1"/>
    <col min="320" max="325" width="9.5" bestFit="1" customWidth="1"/>
    <col min="326" max="334" width="10.5" bestFit="1" customWidth="1"/>
    <col min="335" max="338" width="9.5" bestFit="1" customWidth="1"/>
    <col min="339" max="354" width="10.5" bestFit="1" customWidth="1"/>
    <col min="355" max="360" width="9.5" bestFit="1" customWidth="1"/>
    <col min="361" max="368" width="10.5" bestFit="1" customWidth="1"/>
    <col min="369" max="373" width="9.5" bestFit="1" customWidth="1"/>
    <col min="374" max="385" width="10.5" bestFit="1" customWidth="1"/>
    <col min="386" max="387" width="9.5" bestFit="1" customWidth="1"/>
    <col min="388" max="400" width="10.5" bestFit="1" customWidth="1"/>
    <col min="401" max="405" width="9.5" bestFit="1" customWidth="1"/>
    <col min="406" max="421" width="10.5" bestFit="1" customWidth="1"/>
    <col min="422" max="422" width="9.5" bestFit="1" customWidth="1"/>
    <col min="423" max="423" width="9.83203125" bestFit="1" customWidth="1"/>
    <col min="424" max="433" width="10.5" bestFit="1" customWidth="1"/>
    <col min="434" max="437" width="9.5" bestFit="1" customWidth="1"/>
    <col min="438" max="453" width="10.5" bestFit="1" customWidth="1"/>
    <col min="454" max="454" width="9.5" bestFit="1" customWidth="1"/>
    <col min="455" max="455" width="9.83203125" bestFit="1" customWidth="1"/>
    <col min="456" max="458" width="9.5" bestFit="1" customWidth="1"/>
    <col min="459" max="471" width="10.5" bestFit="1" customWidth="1"/>
    <col min="472" max="477" width="9.5" bestFit="1" customWidth="1"/>
    <col min="478" max="488" width="10.5" bestFit="1" customWidth="1"/>
    <col min="489" max="489" width="9.5" bestFit="1" customWidth="1"/>
    <col min="490" max="490" width="9.83203125" bestFit="1" customWidth="1"/>
    <col min="491" max="498" width="10.5" bestFit="1" customWidth="1"/>
    <col min="499" max="501" width="9.5" bestFit="1" customWidth="1"/>
    <col min="502" max="512" width="10.5" bestFit="1" customWidth="1"/>
    <col min="513" max="516" width="9.5" bestFit="1" customWidth="1"/>
    <col min="517" max="523" width="10.5" bestFit="1" customWidth="1"/>
    <col min="524" max="525" width="9.5" bestFit="1" customWidth="1"/>
    <col min="526" max="533" width="10.5" bestFit="1" customWidth="1"/>
    <col min="534" max="539" width="9.5" bestFit="1" customWidth="1"/>
    <col min="540" max="550" width="10.5" bestFit="1" customWidth="1"/>
    <col min="551" max="554" width="9.5" bestFit="1" customWidth="1"/>
    <col min="555" max="566" width="10.5" bestFit="1" customWidth="1"/>
    <col min="567" max="570" width="9.5" bestFit="1" customWidth="1"/>
    <col min="571" max="579" width="10.5" bestFit="1" customWidth="1"/>
    <col min="580" max="584" width="9.5" bestFit="1" customWidth="1"/>
    <col min="585" max="598" width="10.5" bestFit="1" customWidth="1"/>
    <col min="599" max="600" width="9.5" bestFit="1" customWidth="1"/>
    <col min="601" max="611" width="10.5" bestFit="1" customWidth="1"/>
    <col min="612" max="615" width="9.5" bestFit="1" customWidth="1"/>
    <col min="616" max="621" width="10.5" bestFit="1" customWidth="1"/>
    <col min="622" max="627" width="9.5" bestFit="1" customWidth="1"/>
    <col min="628" max="636" width="10.5" bestFit="1" customWidth="1"/>
    <col min="637" max="640" width="9.5" bestFit="1" customWidth="1"/>
    <col min="641" max="653" width="10.5" bestFit="1" customWidth="1"/>
    <col min="654" max="656" width="9.5" bestFit="1" customWidth="1"/>
    <col min="657" max="672" width="10.5" bestFit="1" customWidth="1"/>
    <col min="673" max="677" width="9.5" bestFit="1" customWidth="1"/>
    <col min="678" max="690" width="10.5" bestFit="1" customWidth="1"/>
    <col min="691" max="697" width="9.5" bestFit="1" customWidth="1"/>
    <col min="698" max="709" width="10.5" bestFit="1" customWidth="1"/>
    <col min="710" max="712" width="9.5" bestFit="1" customWidth="1"/>
    <col min="713" max="724" width="10.5" bestFit="1" customWidth="1"/>
    <col min="725" max="730" width="9.5" bestFit="1" customWidth="1"/>
    <col min="731" max="731" width="12.5" bestFit="1" customWidth="1"/>
  </cols>
  <sheetData>
    <row r="1" spans="1:26" ht="34" customHeight="1" x14ac:dyDescent="0.35">
      <c r="A1" s="9" t="s">
        <v>1968</v>
      </c>
      <c r="B1" s="8"/>
      <c r="C1" s="8"/>
      <c r="D1" s="8"/>
      <c r="E1" s="8"/>
      <c r="F1" s="8"/>
      <c r="G1" s="8"/>
      <c r="H1" s="8"/>
      <c r="I1" s="8"/>
      <c r="J1" s="8"/>
      <c r="K1" s="8"/>
      <c r="L1" s="8"/>
      <c r="M1" s="8"/>
      <c r="N1" s="8"/>
      <c r="O1" s="8"/>
      <c r="P1" s="8"/>
      <c r="Q1" s="8"/>
      <c r="R1" s="8"/>
      <c r="S1" s="8"/>
      <c r="T1" s="8"/>
      <c r="U1" s="8"/>
      <c r="V1" s="8"/>
      <c r="W1" s="8"/>
      <c r="X1" s="8"/>
      <c r="Y1" s="8"/>
      <c r="Z1" s="8"/>
    </row>
    <row r="3" spans="1:26" x14ac:dyDescent="0.2">
      <c r="O3" s="13" t="s">
        <v>1955</v>
      </c>
      <c r="P3" t="s">
        <v>1960</v>
      </c>
    </row>
    <row r="4" spans="1:26" x14ac:dyDescent="0.2">
      <c r="O4" s="11" t="s">
        <v>29</v>
      </c>
      <c r="P4">
        <v>177</v>
      </c>
    </row>
    <row r="5" spans="1:26" x14ac:dyDescent="0.2">
      <c r="O5" s="11" t="s">
        <v>42</v>
      </c>
      <c r="P5">
        <v>221</v>
      </c>
    </row>
    <row r="6" spans="1:26" x14ac:dyDescent="0.2">
      <c r="O6" s="11" t="s">
        <v>21</v>
      </c>
      <c r="P6">
        <v>264</v>
      </c>
    </row>
    <row r="7" spans="1:26" x14ac:dyDescent="0.2">
      <c r="O7" s="11" t="s">
        <v>50</v>
      </c>
      <c r="P7">
        <v>377</v>
      </c>
    </row>
    <row r="8" spans="1:26" x14ac:dyDescent="0.2">
      <c r="O8" s="11" t="s">
        <v>1956</v>
      </c>
      <c r="P8">
        <v>1039</v>
      </c>
    </row>
    <row r="19" spans="1:5" x14ac:dyDescent="0.2">
      <c r="A19" s="13" t="s">
        <v>1957</v>
      </c>
      <c r="B19" s="13" t="s">
        <v>1961</v>
      </c>
    </row>
    <row r="20" spans="1:5" x14ac:dyDescent="0.2">
      <c r="A20" s="13" t="s">
        <v>1955</v>
      </c>
      <c r="B20" t="s">
        <v>1882</v>
      </c>
      <c r="C20" t="s">
        <v>20</v>
      </c>
      <c r="D20" t="s">
        <v>37</v>
      </c>
      <c r="E20" t="s">
        <v>1956</v>
      </c>
    </row>
    <row r="21" spans="1:5" x14ac:dyDescent="0.2">
      <c r="A21" s="11" t="s">
        <v>1958</v>
      </c>
      <c r="B21" s="5"/>
      <c r="C21" s="5"/>
      <c r="D21" s="5"/>
      <c r="E21" s="5"/>
    </row>
    <row r="22" spans="1:5" x14ac:dyDescent="0.2">
      <c r="A22" s="15" t="s">
        <v>1964</v>
      </c>
      <c r="B22" s="5">
        <v>3148.0843</v>
      </c>
      <c r="C22" s="5">
        <v>33085.339099999997</v>
      </c>
      <c r="D22" s="5">
        <v>45614.359200000014</v>
      </c>
      <c r="E22" s="5">
        <v>81847.78260000002</v>
      </c>
    </row>
    <row r="23" spans="1:5" x14ac:dyDescent="0.2">
      <c r="A23" s="15" t="s">
        <v>1965</v>
      </c>
      <c r="B23" s="5">
        <v>7910.5563999999995</v>
      </c>
      <c r="C23" s="5">
        <v>27044.158900000002</v>
      </c>
      <c r="D23" s="5">
        <v>77060.204899999997</v>
      </c>
      <c r="E23" s="5">
        <v>112014.92019999999</v>
      </c>
    </row>
    <row r="24" spans="1:5" x14ac:dyDescent="0.2">
      <c r="A24" s="15" t="s">
        <v>1966</v>
      </c>
      <c r="B24" s="5">
        <v>4132.2871999999998</v>
      </c>
      <c r="C24" s="5">
        <v>10324.0574</v>
      </c>
      <c r="D24" s="5">
        <v>62475.234900000003</v>
      </c>
      <c r="E24" s="5">
        <v>76931.579500000007</v>
      </c>
    </row>
    <row r="25" spans="1:5" x14ac:dyDescent="0.2">
      <c r="A25" s="15" t="s">
        <v>1967</v>
      </c>
      <c r="B25" s="5">
        <v>4997.7249000000002</v>
      </c>
      <c r="C25" s="5">
        <v>6975.8998000000001</v>
      </c>
      <c r="D25" s="5">
        <v>69995.039199999985</v>
      </c>
      <c r="E25" s="5">
        <v>81968.663899999985</v>
      </c>
    </row>
    <row r="26" spans="1:5" x14ac:dyDescent="0.2">
      <c r="A26" s="11" t="s">
        <v>1962</v>
      </c>
      <c r="B26" s="5">
        <v>20188.6528</v>
      </c>
      <c r="C26" s="5">
        <v>77429.455199999997</v>
      </c>
      <c r="D26" s="5">
        <v>255144.8382</v>
      </c>
      <c r="E26" s="5">
        <v>352762.94620000001</v>
      </c>
    </row>
    <row r="27" spans="1:5" x14ac:dyDescent="0.2">
      <c r="A27" s="11"/>
      <c r="B27" s="5"/>
      <c r="C27" s="5"/>
      <c r="D27" s="5"/>
      <c r="E27" s="5"/>
    </row>
    <row r="28" spans="1:5" x14ac:dyDescent="0.2">
      <c r="A28" s="11" t="s">
        <v>1959</v>
      </c>
      <c r="B28" s="5"/>
      <c r="C28" s="5"/>
      <c r="D28" s="5"/>
      <c r="E28" s="5"/>
    </row>
    <row r="29" spans="1:5" x14ac:dyDescent="0.2">
      <c r="A29" s="15" t="s">
        <v>1964</v>
      </c>
      <c r="B29" s="5">
        <v>3630.0371999999998</v>
      </c>
      <c r="C29" s="5">
        <v>23729.875599999996</v>
      </c>
      <c r="D29" s="5">
        <v>62364.591300000015</v>
      </c>
      <c r="E29" s="5">
        <v>89724.50410000002</v>
      </c>
    </row>
    <row r="30" spans="1:5" x14ac:dyDescent="0.2">
      <c r="A30" s="15" t="s">
        <v>1965</v>
      </c>
      <c r="B30" s="5">
        <v>5208.7814000000008</v>
      </c>
      <c r="C30" s="5">
        <v>20411.773300000001</v>
      </c>
      <c r="D30" s="5">
        <v>29577.634400000003</v>
      </c>
      <c r="E30" s="5">
        <v>55198.189100000003</v>
      </c>
    </row>
    <row r="31" spans="1:5" x14ac:dyDescent="0.2">
      <c r="A31" s="15" t="s">
        <v>1966</v>
      </c>
      <c r="B31" s="5">
        <v>12716.390100000001</v>
      </c>
      <c r="C31" s="5">
        <v>6232.9407999999985</v>
      </c>
      <c r="D31" s="5">
        <v>44971.108999999997</v>
      </c>
      <c r="E31" s="5">
        <v>63920.439899999998</v>
      </c>
    </row>
    <row r="32" spans="1:5" x14ac:dyDescent="0.2">
      <c r="A32" s="15" t="s">
        <v>1967</v>
      </c>
      <c r="B32" s="5">
        <v>2938.4452999999999</v>
      </c>
      <c r="C32" s="5">
        <v>11460.5463</v>
      </c>
      <c r="D32" s="5">
        <v>49046.571500000013</v>
      </c>
      <c r="E32" s="5">
        <v>63445.563100000014</v>
      </c>
    </row>
    <row r="33" spans="1:5" x14ac:dyDescent="0.2">
      <c r="A33" s="11" t="s">
        <v>1963</v>
      </c>
      <c r="B33" s="5">
        <v>24493.654000000002</v>
      </c>
      <c r="C33" s="5">
        <v>61835.135999999999</v>
      </c>
      <c r="D33" s="5">
        <v>185959.90620000003</v>
      </c>
      <c r="E33" s="5">
        <v>272288.69620000006</v>
      </c>
    </row>
    <row r="34" spans="1:5" x14ac:dyDescent="0.2">
      <c r="A34" s="11"/>
      <c r="B34" s="5"/>
      <c r="C34" s="5"/>
      <c r="D34" s="5"/>
      <c r="E34" s="5"/>
    </row>
    <row r="35" spans="1:5" x14ac:dyDescent="0.2">
      <c r="A35" s="11" t="s">
        <v>1956</v>
      </c>
      <c r="B35" s="5">
        <v>44682.306799999998</v>
      </c>
      <c r="C35" s="5">
        <v>139264.5912</v>
      </c>
      <c r="D35" s="5">
        <v>441104.74440000003</v>
      </c>
      <c r="E35" s="5">
        <v>625051.64240000013</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24</vt:i4>
      </vt:variant>
    </vt:vector>
  </HeadingPairs>
  <TitlesOfParts>
    <vt:vector size="29" baseType="lpstr">
      <vt:lpstr>Shipping Data</vt:lpstr>
      <vt:lpstr>Stevie Bacata</vt:lpstr>
      <vt:lpstr>Leighton Forrest</vt:lpstr>
      <vt:lpstr>Mihael Khan</vt:lpstr>
      <vt:lpstr>Main Pivots</vt:lpstr>
      <vt:lpstr>Account_Manager</vt:lpstr>
      <vt:lpstr>Address</vt:lpstr>
      <vt:lpstr>City</vt:lpstr>
      <vt:lpstr>Cost_Price</vt:lpstr>
      <vt:lpstr>Customer_Name</vt:lpstr>
      <vt:lpstr>Customer_Type</vt:lpstr>
      <vt:lpstr>Discount</vt:lpstr>
      <vt:lpstr>Order_Date</vt:lpstr>
      <vt:lpstr>Order_No</vt:lpstr>
      <vt:lpstr>Order_Priority</vt:lpstr>
      <vt:lpstr>Order_Quantity</vt:lpstr>
      <vt:lpstr>Order_Total</vt:lpstr>
      <vt:lpstr>Order_Year</vt:lpstr>
      <vt:lpstr>Product_Category</vt:lpstr>
      <vt:lpstr>Product_Container</vt:lpstr>
      <vt:lpstr>Product_Name</vt:lpstr>
      <vt:lpstr>Profit_Margin</vt:lpstr>
      <vt:lpstr>Retail_Price</vt:lpstr>
      <vt:lpstr>Ship_Date</vt:lpstr>
      <vt:lpstr>Ship_Mode</vt:lpstr>
      <vt:lpstr>Shipping_Cost</vt:lpstr>
      <vt:lpstr>State</vt:lpstr>
      <vt:lpstr>Sub_Total</vt:lpstr>
      <vt:lpstr>Total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dc:creator>
  <cp:lastModifiedBy>Шаршеналиева Эльвира Болотовна</cp:lastModifiedBy>
  <dcterms:created xsi:type="dcterms:W3CDTF">2017-05-01T13:03:22Z</dcterms:created>
  <dcterms:modified xsi:type="dcterms:W3CDTF">2024-06-23T04:31:46Z</dcterms:modified>
</cp:coreProperties>
</file>